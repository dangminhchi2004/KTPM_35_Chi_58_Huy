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37E7BEE8-AAA3-4D93-8361-63669FB5C74D}" xr6:coauthVersionLast="47" xr6:coauthVersionMax="47" xr10:uidLastSave="{00000000-0000-0000-0000-000000000000}"/>
  <bookViews>
    <workbookView xWindow="-110" yWindow="-110" windowWidth="19420" windowHeight="11020" tabRatio="415" xr2:uid="{00000000-000D-0000-FFFF-FFFF00000000}"/>
  </bookViews>
  <sheets>
    <sheet name="Data" sheetId="20" r:id="rId1"/>
    <sheet name="Light" sheetId="17" r:id="rId2"/>
  </sheets>
  <definedNames>
    <definedName name="_xlnm.Print_Titles" localSheetId="1">Light!$6:$9</definedName>
    <definedName name="Project_Start" localSheetId="1">Light!$C$6</definedName>
    <definedName name="Project_Start">#REF!</definedName>
    <definedName name="query" localSheetId="0" hidden="1">Data!$A$1:$N$13</definedName>
    <definedName name="Scrolling_Increment" localSheetId="1">Light!$C$7</definedName>
    <definedName name="Scrolling_Increment">#REF!</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7" l="1" a="1"/>
  <c r="B13" i="17"/>
  <c r="D13" i="17" a="1"/>
  <c r="D13" i="17"/>
  <c r="E13" i="17" a="1"/>
  <c r="E13" i="17"/>
  <c r="F13" i="17" a="1"/>
  <c r="F13" i="17"/>
  <c r="G13" i="17" a="1"/>
  <c r="G13" i="17"/>
  <c r="B14" i="17" a="1"/>
  <c r="B14" i="17"/>
  <c r="D14" i="17" a="1"/>
  <c r="D14" i="17"/>
  <c r="E14" i="17" a="1"/>
  <c r="E14" i="17"/>
  <c r="F14" i="17" a="1"/>
  <c r="F14" i="17"/>
  <c r="G14" i="17" a="1"/>
  <c r="G14" i="17"/>
  <c r="B15" i="17" a="1"/>
  <c r="B15" i="17"/>
  <c r="D15" i="17" a="1"/>
  <c r="D15" i="17"/>
  <c r="E15" i="17" a="1"/>
  <c r="E15" i="17"/>
  <c r="F15" i="17" a="1"/>
  <c r="F15" i="17"/>
  <c r="G15" i="17" a="1"/>
  <c r="G15" i="17" s="1"/>
  <c r="B16" i="17" a="1"/>
  <c r="B16" i="17" s="1"/>
  <c r="D16" i="17" a="1"/>
  <c r="D16" i="17" s="1"/>
  <c r="E16" i="17" a="1"/>
  <c r="E16" i="17" s="1"/>
  <c r="F16" i="17" a="1"/>
  <c r="F16" i="17" s="1"/>
  <c r="G16" i="17" a="1"/>
  <c r="G16" i="17" s="1"/>
  <c r="B17" i="17" a="1"/>
  <c r="B17" i="17" s="1"/>
  <c r="D17" i="17" a="1"/>
  <c r="D17" i="17" s="1"/>
  <c r="E17" i="17" a="1"/>
  <c r="E17" i="17" s="1"/>
  <c r="F17" i="17" a="1"/>
  <c r="F17" i="17"/>
  <c r="G17" i="17" a="1"/>
  <c r="G17" i="17" s="1"/>
  <c r="B18" i="17" a="1"/>
  <c r="B18" i="17"/>
  <c r="D18" i="17" a="1"/>
  <c r="D18" i="17" s="1"/>
  <c r="E18" i="17" a="1"/>
  <c r="E18" i="17"/>
  <c r="F18" i="17" a="1"/>
  <c r="F18" i="17" s="1"/>
  <c r="G18" i="17" a="1"/>
  <c r="G18" i="17" s="1"/>
  <c r="B19" i="17" a="1"/>
  <c r="B19" i="17" s="1"/>
  <c r="D19" i="17" a="1"/>
  <c r="D19" i="17"/>
  <c r="E19" i="17" a="1"/>
  <c r="E19" i="17" s="1"/>
  <c r="F19" i="17" a="1"/>
  <c r="F19" i="17" s="1"/>
  <c r="G19" i="17" a="1"/>
  <c r="G19" i="17" s="1"/>
  <c r="B20" i="17" a="1"/>
  <c r="B20" i="17" s="1"/>
  <c r="D20" i="17" a="1"/>
  <c r="D20" i="17" s="1"/>
  <c r="E20" i="17" a="1"/>
  <c r="E20" i="17"/>
  <c r="F20" i="17" a="1"/>
  <c r="F20" i="17" s="1"/>
  <c r="G20" i="17" a="1"/>
  <c r="G20" i="17" s="1"/>
  <c r="B21" i="17" a="1"/>
  <c r="B21" i="17" s="1"/>
  <c r="D21" i="17" a="1"/>
  <c r="D21" i="17" s="1"/>
  <c r="E21" i="17" a="1"/>
  <c r="E21" i="17" s="1"/>
  <c r="F21" i="17" a="1"/>
  <c r="F21" i="17" s="1"/>
  <c r="G21" i="17" a="1"/>
  <c r="G21" i="17" s="1"/>
  <c r="B22" i="17" a="1"/>
  <c r="B22" i="17" s="1"/>
  <c r="D22" i="17" a="1"/>
  <c r="D22" i="17" s="1"/>
  <c r="E22" i="17" a="1"/>
  <c r="E22" i="17" s="1"/>
  <c r="F22" i="17" a="1"/>
  <c r="F22" i="17" s="1"/>
  <c r="G22" i="17" a="1"/>
  <c r="G22" i="17" s="1"/>
  <c r="B23" i="17" a="1"/>
  <c r="B23" i="17" s="1"/>
  <c r="D23" i="17" a="1"/>
  <c r="D23" i="17" s="1"/>
  <c r="E23" i="17" a="1"/>
  <c r="E23" i="17" s="1"/>
  <c r="F23" i="17" a="1"/>
  <c r="F23" i="17" s="1"/>
  <c r="G23" i="17" a="1"/>
  <c r="G23" i="17" s="1"/>
  <c r="B24" i="17" a="1"/>
  <c r="B24" i="17" s="1"/>
  <c r="E24" i="17" a="1"/>
  <c r="E24" i="17" s="1"/>
  <c r="F24" i="17" a="1"/>
  <c r="F24" i="17" s="1"/>
  <c r="G24" i="17" a="1"/>
  <c r="G24" i="17" s="1"/>
  <c r="D12" i="17" a="1"/>
  <c r="D12" i="17" s="1"/>
  <c r="G12" i="17" a="1"/>
  <c r="G12" i="17" s="1"/>
  <c r="F12" i="17" a="1"/>
  <c r="F12" i="17" s="1"/>
  <c r="E12" i="17" a="1"/>
  <c r="E12" i="17" s="1"/>
  <c r="B12" i="17" a="1"/>
  <c r="B12" i="17" s="1"/>
  <c r="I7" i="17" l="1"/>
  <c r="I48" i="17" s="1"/>
  <c r="J7" i="17" l="1"/>
  <c r="J48" i="17" s="1"/>
  <c r="I9" i="17"/>
  <c r="I36" i="17"/>
  <c r="I40" i="17"/>
  <c r="I13" i="17"/>
  <c r="I11" i="17"/>
  <c r="I37" i="17"/>
  <c r="I42" i="17"/>
  <c r="I34" i="17"/>
  <c r="I35" i="17"/>
  <c r="I38" i="17"/>
  <c r="I16" i="17"/>
  <c r="I39" i="17"/>
  <c r="I45" i="17"/>
  <c r="I44" i="17"/>
  <c r="I12" i="17"/>
  <c r="I30" i="17"/>
  <c r="I15" i="17"/>
  <c r="I32" i="17"/>
  <c r="I43" i="17"/>
  <c r="I46" i="17"/>
  <c r="I14" i="17"/>
  <c r="I6" i="17"/>
  <c r="I31" i="17"/>
  <c r="I47" i="17"/>
  <c r="I33" i="17"/>
  <c r="I41" i="17"/>
  <c r="J15" i="17" l="1"/>
  <c r="J41" i="17"/>
  <c r="J14" i="17"/>
  <c r="J45" i="17"/>
  <c r="J16" i="17"/>
  <c r="J39" i="17"/>
  <c r="J37" i="17"/>
  <c r="J33" i="17"/>
  <c r="J31" i="17"/>
  <c r="J46" i="17"/>
  <c r="K7" i="17"/>
  <c r="K46" i="17" s="1"/>
  <c r="J30" i="17"/>
  <c r="J36" i="17"/>
  <c r="J42" i="17"/>
  <c r="J47" i="17"/>
  <c r="J9" i="17"/>
  <c r="J12" i="17"/>
  <c r="J34" i="17"/>
  <c r="J32" i="17"/>
  <c r="J43" i="17"/>
  <c r="J11" i="17"/>
  <c r="J13" i="17"/>
  <c r="J38" i="17"/>
  <c r="J35" i="17"/>
  <c r="J40" i="17"/>
  <c r="J44" i="17"/>
  <c r="K48" i="17" l="1"/>
  <c r="K37" i="17"/>
  <c r="K31" i="17"/>
  <c r="K41" i="17"/>
  <c r="K9" i="17"/>
  <c r="K13" i="17"/>
  <c r="K44" i="17"/>
  <c r="K12" i="17"/>
  <c r="K35" i="17"/>
  <c r="K11" i="17"/>
  <c r="K34" i="17"/>
  <c r="K47" i="17"/>
  <c r="K33" i="17"/>
  <c r="K30" i="17"/>
  <c r="K43" i="17"/>
  <c r="K32" i="17"/>
  <c r="K38" i="17"/>
  <c r="K39" i="17"/>
  <c r="K36" i="17"/>
  <c r="K45" i="17"/>
  <c r="K14" i="17"/>
  <c r="K15" i="17"/>
  <c r="L7" i="17"/>
  <c r="L48" i="17" s="1"/>
  <c r="K16" i="17"/>
  <c r="K42" i="17"/>
  <c r="K40" i="17"/>
  <c r="L35" i="17" l="1"/>
  <c r="L33" i="17"/>
  <c r="L39" i="17"/>
  <c r="L15" i="17"/>
  <c r="L16" i="17"/>
  <c r="L45" i="17"/>
  <c r="L13" i="17"/>
  <c r="M7" i="17"/>
  <c r="L30" i="17"/>
  <c r="L46" i="17"/>
  <c r="L32" i="17"/>
  <c r="L37" i="17"/>
  <c r="L42" i="17"/>
  <c r="L31" i="17"/>
  <c r="L9" i="17"/>
  <c r="L12" i="17"/>
  <c r="L38" i="17"/>
  <c r="L34" i="17"/>
  <c r="L43" i="17"/>
  <c r="L47" i="17"/>
  <c r="L14" i="17"/>
  <c r="L11" i="17"/>
  <c r="L36" i="17"/>
  <c r="L40" i="17"/>
  <c r="L41" i="17"/>
  <c r="L44" i="17"/>
  <c r="M44" i="17" l="1"/>
  <c r="M48" i="17"/>
  <c r="M12" i="17"/>
  <c r="M34" i="17"/>
  <c r="M40" i="17"/>
  <c r="M31" i="17"/>
  <c r="M32" i="17"/>
  <c r="M47" i="17"/>
  <c r="M14" i="17"/>
  <c r="M37" i="17"/>
  <c r="M41" i="17"/>
  <c r="M30" i="17"/>
  <c r="M15" i="17"/>
  <c r="M39" i="17"/>
  <c r="M46" i="17"/>
  <c r="M16" i="17"/>
  <c r="M33" i="17"/>
  <c r="M42" i="17"/>
  <c r="M9" i="17"/>
  <c r="M35" i="17"/>
  <c r="M43" i="17"/>
  <c r="N7" i="17"/>
  <c r="N48" i="17" s="1"/>
  <c r="M13" i="17"/>
  <c r="M11" i="17"/>
  <c r="M36" i="17"/>
  <c r="M38" i="17"/>
  <c r="M45" i="17"/>
  <c r="N11" i="17" l="1"/>
  <c r="N30" i="17"/>
  <c r="N34" i="17"/>
  <c r="N42" i="17"/>
  <c r="N15" i="17"/>
  <c r="N36" i="17"/>
  <c r="N45" i="17"/>
  <c r="N38" i="17"/>
  <c r="O7" i="17"/>
  <c r="O46" i="17" s="1"/>
  <c r="N39" i="17"/>
  <c r="N32" i="17"/>
  <c r="N46" i="17"/>
  <c r="N12" i="17"/>
  <c r="N14" i="17"/>
  <c r="N41" i="17"/>
  <c r="N9" i="17"/>
  <c r="N16" i="17"/>
  <c r="N13" i="17"/>
  <c r="N31" i="17"/>
  <c r="N37" i="17"/>
  <c r="N43" i="17"/>
  <c r="N47" i="17"/>
  <c r="N33" i="17"/>
  <c r="N35" i="17"/>
  <c r="N40" i="17"/>
  <c r="N44" i="17"/>
  <c r="O12" i="17" l="1"/>
  <c r="O43" i="17"/>
  <c r="O47" i="17"/>
  <c r="O33" i="17"/>
  <c r="O16" i="17"/>
  <c r="O9" i="17"/>
  <c r="O35" i="17"/>
  <c r="O11" i="17"/>
  <c r="O32" i="17"/>
  <c r="O38" i="17"/>
  <c r="O30" i="17"/>
  <c r="O36" i="17"/>
  <c r="O44" i="17"/>
  <c r="O48" i="17"/>
  <c r="O15" i="17"/>
  <c r="O37" i="17"/>
  <c r="O39" i="17"/>
  <c r="O34" i="17"/>
  <c r="O42" i="17"/>
  <c r="O45" i="17"/>
  <c r="O14" i="17"/>
  <c r="P7" i="17"/>
  <c r="P46" i="17" s="1"/>
  <c r="O13" i="17"/>
  <c r="O41" i="17"/>
  <c r="O31" i="17"/>
  <c r="O40" i="17"/>
  <c r="P15" i="17" l="1"/>
  <c r="P43" i="17"/>
  <c r="P12" i="17"/>
  <c r="P47" i="17"/>
  <c r="P38" i="17"/>
  <c r="P36" i="17"/>
  <c r="P40" i="17"/>
  <c r="P14" i="17"/>
  <c r="P31" i="17"/>
  <c r="P32" i="17"/>
  <c r="P16" i="17"/>
  <c r="P41" i="17"/>
  <c r="P44" i="17"/>
  <c r="P48" i="17"/>
  <c r="P35" i="17"/>
  <c r="P6" i="17"/>
  <c r="P9" i="17"/>
  <c r="P37" i="17"/>
  <c r="P30" i="17"/>
  <c r="P42" i="17"/>
  <c r="P45" i="17"/>
  <c r="P13" i="17"/>
  <c r="P11" i="17"/>
  <c r="Q7" i="17"/>
  <c r="Q45" i="17" s="1"/>
  <c r="P33" i="17"/>
  <c r="P34" i="17"/>
  <c r="P39" i="17"/>
  <c r="Q47" i="17" l="1"/>
  <c r="Q31" i="17"/>
  <c r="Q32" i="17"/>
  <c r="Q13" i="17"/>
  <c r="Q33" i="17"/>
  <c r="Q30" i="17"/>
  <c r="Q41" i="17"/>
  <c r="Q34" i="17"/>
  <c r="Q9" i="17"/>
  <c r="Q35" i="17"/>
  <c r="Q37" i="17"/>
  <c r="Q38" i="17"/>
  <c r="Q42" i="17"/>
  <c r="Q14" i="17"/>
  <c r="Q11" i="17"/>
  <c r="Q36" i="17"/>
  <c r="Q39" i="17"/>
  <c r="Q44" i="17"/>
  <c r="Q43" i="17"/>
  <c r="Q12" i="17"/>
  <c r="R7" i="17"/>
  <c r="R46" i="17" s="1"/>
  <c r="Q16" i="17"/>
  <c r="Q15" i="17"/>
  <c r="Q48" i="17"/>
  <c r="Q46" i="17"/>
  <c r="Q40" i="17"/>
  <c r="R34" i="17" l="1"/>
  <c r="R32" i="17"/>
  <c r="S7" i="17"/>
  <c r="S45" i="17" s="1"/>
  <c r="R41" i="17"/>
  <c r="R13" i="17"/>
  <c r="R47" i="17"/>
  <c r="R11" i="17"/>
  <c r="R12" i="17"/>
  <c r="R14" i="17"/>
  <c r="R31" i="17"/>
  <c r="R37" i="17"/>
  <c r="R43" i="17"/>
  <c r="R48" i="17"/>
  <c r="R9" i="17"/>
  <c r="R38" i="17"/>
  <c r="R16" i="17"/>
  <c r="R35" i="17"/>
  <c r="R39" i="17"/>
  <c r="R44" i="17"/>
  <c r="R15" i="17"/>
  <c r="R33" i="17"/>
  <c r="R30" i="17"/>
  <c r="R36" i="17"/>
  <c r="R40" i="17"/>
  <c r="R45" i="17"/>
  <c r="R42" i="17"/>
  <c r="S33" i="17" l="1"/>
  <c r="S16" i="17"/>
  <c r="S43" i="17"/>
  <c r="S38" i="17"/>
  <c r="S15" i="17"/>
  <c r="S40" i="17"/>
  <c r="T7" i="17"/>
  <c r="T45" i="17" s="1"/>
  <c r="S14" i="17"/>
  <c r="S41" i="17"/>
  <c r="S46" i="17"/>
  <c r="S32" i="17"/>
  <c r="S12" i="17"/>
  <c r="S31" i="17"/>
  <c r="S47" i="17"/>
  <c r="S9" i="17"/>
  <c r="S30" i="17"/>
  <c r="S39" i="17"/>
  <c r="S13" i="17"/>
  <c r="S35" i="17"/>
  <c r="S44" i="17"/>
  <c r="S48" i="17"/>
  <c r="S11" i="17"/>
  <c r="S42" i="17"/>
  <c r="S37" i="17"/>
  <c r="S34" i="17"/>
  <c r="S36" i="17"/>
  <c r="T31" i="17" l="1"/>
  <c r="T46" i="17"/>
  <c r="T15" i="17"/>
  <c r="T30" i="17"/>
  <c r="T36" i="17"/>
  <c r="T39" i="17"/>
  <c r="T37" i="17"/>
  <c r="T40" i="17"/>
  <c r="T33" i="17"/>
  <c r="T34" i="17"/>
  <c r="T43" i="17"/>
  <c r="T47" i="17"/>
  <c r="T13" i="17"/>
  <c r="U7" i="17"/>
  <c r="U43" i="17" s="1"/>
  <c r="T14" i="17"/>
  <c r="T9" i="17"/>
  <c r="T12" i="17"/>
  <c r="T38" i="17"/>
  <c r="T41" i="17"/>
  <c r="T44" i="17"/>
  <c r="T48" i="17"/>
  <c r="T32" i="17"/>
  <c r="T11" i="17"/>
  <c r="T35" i="17"/>
  <c r="T16" i="17"/>
  <c r="T42" i="17"/>
  <c r="U30" i="17" l="1"/>
  <c r="U32" i="17"/>
  <c r="U15" i="17"/>
  <c r="U44" i="17"/>
  <c r="U48" i="17"/>
  <c r="U45" i="17"/>
  <c r="U11" i="17"/>
  <c r="U31" i="17"/>
  <c r="U37" i="17"/>
  <c r="U47" i="17"/>
  <c r="V7" i="17"/>
  <c r="V46" i="17" s="1"/>
  <c r="U34" i="17"/>
  <c r="U35" i="17"/>
  <c r="U38" i="17"/>
  <c r="U41" i="17"/>
  <c r="U16" i="17"/>
  <c r="U14" i="17"/>
  <c r="U39" i="17"/>
  <c r="U40" i="17"/>
  <c r="U42" i="17"/>
  <c r="U12" i="17"/>
  <c r="U13" i="17"/>
  <c r="U9" i="17"/>
  <c r="U36" i="17"/>
  <c r="U33" i="17"/>
  <c r="U46" i="17"/>
  <c r="V11" i="17" l="1"/>
  <c r="V16" i="17"/>
  <c r="V37" i="17"/>
  <c r="V35" i="17"/>
  <c r="V43" i="17"/>
  <c r="V47" i="17"/>
  <c r="V38" i="17"/>
  <c r="V14" i="17"/>
  <c r="W7" i="17"/>
  <c r="W44" i="17" s="1"/>
  <c r="V41" i="17"/>
  <c r="V15" i="17"/>
  <c r="V30" i="17"/>
  <c r="V36" i="17"/>
  <c r="V40" i="17"/>
  <c r="V44" i="17"/>
  <c r="V48" i="17"/>
  <c r="V13" i="17"/>
  <c r="V34" i="17"/>
  <c r="V39" i="17"/>
  <c r="V45" i="17"/>
  <c r="V9" i="17"/>
  <c r="V12" i="17"/>
  <c r="V33" i="17"/>
  <c r="V31" i="17"/>
  <c r="V32" i="17"/>
  <c r="V42" i="17"/>
  <c r="W37" i="17" l="1"/>
  <c r="W14" i="17"/>
  <c r="W42" i="17"/>
  <c r="W30" i="17"/>
  <c r="W35" i="17"/>
  <c r="X7" i="17"/>
  <c r="W39" i="17"/>
  <c r="W11" i="17"/>
  <c r="W36" i="17"/>
  <c r="W32" i="17"/>
  <c r="W40" i="17"/>
  <c r="W43" i="17"/>
  <c r="W13" i="17"/>
  <c r="W33" i="17"/>
  <c r="W6" i="17"/>
  <c r="W16" i="17"/>
  <c r="W45" i="17"/>
  <c r="W46" i="17"/>
  <c r="W15" i="17"/>
  <c r="W31" i="17"/>
  <c r="W47" i="17"/>
  <c r="W9" i="17"/>
  <c r="W38" i="17"/>
  <c r="W41" i="17"/>
  <c r="W48" i="17"/>
  <c r="W12" i="17"/>
  <c r="W34" i="17"/>
  <c r="X45" i="17" l="1"/>
  <c r="X48" i="17"/>
  <c r="X46" i="17"/>
  <c r="X15" i="17"/>
  <c r="X30" i="17"/>
  <c r="X44" i="17"/>
  <c r="X13" i="17"/>
  <c r="X43" i="17"/>
  <c r="X14" i="17"/>
  <c r="X35" i="17"/>
  <c r="X32" i="17"/>
  <c r="X40" i="17"/>
  <c r="X33" i="17"/>
  <c r="X11" i="17"/>
  <c r="X38" i="17"/>
  <c r="X47" i="17"/>
  <c r="X34" i="17"/>
  <c r="Y7" i="17"/>
  <c r="Y46" i="17" s="1"/>
  <c r="X41" i="17"/>
  <c r="X31" i="17"/>
  <c r="X12" i="17"/>
  <c r="X39" i="17"/>
  <c r="X9" i="17"/>
  <c r="X37" i="17"/>
  <c r="X42" i="17"/>
  <c r="X36" i="17"/>
  <c r="X16" i="17"/>
  <c r="Y34" i="17" l="1"/>
  <c r="Y45" i="17"/>
  <c r="Y9" i="17"/>
  <c r="Y41" i="17"/>
  <c r="Y31" i="17"/>
  <c r="Y42" i="17"/>
  <c r="Y48" i="17"/>
  <c r="Y43" i="17"/>
  <c r="Y35" i="17"/>
  <c r="Y13" i="17"/>
  <c r="Y37" i="17"/>
  <c r="Y14" i="17"/>
  <c r="Y38" i="17"/>
  <c r="Y16" i="17"/>
  <c r="Y39" i="17"/>
  <c r="Y32" i="17"/>
  <c r="Y30" i="17"/>
  <c r="Y36" i="17"/>
  <c r="Y40" i="17"/>
  <c r="Y12" i="17"/>
  <c r="Y47" i="17"/>
  <c r="Y44" i="17"/>
  <c r="Y11" i="17"/>
  <c r="Z7" i="17"/>
  <c r="Z43" i="17" s="1"/>
  <c r="Y15" i="17"/>
  <c r="Y33" i="17"/>
  <c r="Z36" i="17" l="1"/>
  <c r="Z32" i="17"/>
  <c r="Z30" i="17"/>
  <c r="Z44" i="17"/>
  <c r="Z15" i="17"/>
  <c r="Z45" i="17"/>
  <c r="Z13" i="17"/>
  <c r="Z39" i="17"/>
  <c r="Z14" i="17"/>
  <c r="Z9" i="17"/>
  <c r="Z16" i="17"/>
  <c r="Z37" i="17"/>
  <c r="Z46" i="17"/>
  <c r="Z33" i="17"/>
  <c r="Z34" i="17"/>
  <c r="Z41" i="17"/>
  <c r="Z11" i="17"/>
  <c r="Z38" i="17"/>
  <c r="Z40" i="17"/>
  <c r="Z48" i="17"/>
  <c r="AA7" i="17"/>
  <c r="AA33" i="17" s="1"/>
  <c r="Z31" i="17"/>
  <c r="Z42" i="17"/>
  <c r="Z47" i="17"/>
  <c r="Z12" i="17"/>
  <c r="Z35" i="17"/>
  <c r="AA39" i="17" l="1"/>
  <c r="AA47" i="17"/>
  <c r="AA48" i="17"/>
  <c r="AA35" i="17"/>
  <c r="AA11" i="17"/>
  <c r="AA37" i="17"/>
  <c r="AA13" i="17"/>
  <c r="AA40" i="17"/>
  <c r="AA32" i="17"/>
  <c r="AA43" i="17"/>
  <c r="AA16" i="17"/>
  <c r="AA30" i="17"/>
  <c r="AA9" i="17"/>
  <c r="AA34" i="17"/>
  <c r="AA41" i="17"/>
  <c r="AA36" i="17"/>
  <c r="AB7" i="17"/>
  <c r="AB43" i="17" s="1"/>
  <c r="AA42" i="17"/>
  <c r="AA45" i="17"/>
  <c r="AA44" i="17"/>
  <c r="AA14" i="17"/>
  <c r="AA12" i="17"/>
  <c r="AA31" i="17"/>
  <c r="AA46" i="17"/>
  <c r="AA15" i="17"/>
  <c r="AA38" i="17"/>
  <c r="AB34" i="17" l="1"/>
  <c r="AB11" i="17"/>
  <c r="AB12" i="17"/>
  <c r="AB48" i="17"/>
  <c r="AB31" i="17"/>
  <c r="AB44" i="17"/>
  <c r="AB14" i="17"/>
  <c r="AB47" i="17"/>
  <c r="AB36" i="17"/>
  <c r="AB40" i="17"/>
  <c r="AB41" i="17"/>
  <c r="AB15" i="17"/>
  <c r="AB16" i="17"/>
  <c r="AB45" i="17"/>
  <c r="AB13" i="17"/>
  <c r="AC7" i="17"/>
  <c r="AC48" i="17" s="1"/>
  <c r="AB30" i="17"/>
  <c r="AB46" i="17"/>
  <c r="AB37" i="17"/>
  <c r="AB35" i="17"/>
  <c r="AB39" i="17"/>
  <c r="AB32" i="17"/>
  <c r="AB42" i="17"/>
  <c r="AB33" i="17"/>
  <c r="AB9" i="17"/>
  <c r="AB38" i="17"/>
  <c r="AC14" i="17" l="1"/>
  <c r="AC39" i="17"/>
  <c r="AC41" i="17"/>
  <c r="AC32" i="17"/>
  <c r="AC42" i="17"/>
  <c r="AC37" i="17"/>
  <c r="AC12" i="17"/>
  <c r="AC34" i="17"/>
  <c r="AC43" i="17"/>
  <c r="AC13" i="17"/>
  <c r="AC35" i="17"/>
  <c r="AC45" i="17"/>
  <c r="AC31" i="17"/>
  <c r="AC36" i="17"/>
  <c r="AC47" i="17"/>
  <c r="AD7" i="17"/>
  <c r="AD42" i="17" s="1"/>
  <c r="AC9" i="17"/>
  <c r="AC33" i="17"/>
  <c r="AC44" i="17"/>
  <c r="AC30" i="17"/>
  <c r="AC11" i="17"/>
  <c r="AC38" i="17"/>
  <c r="AC46" i="17"/>
  <c r="AC16" i="17"/>
  <c r="AC15" i="17"/>
  <c r="AC40" i="17"/>
  <c r="AD32" i="17" l="1"/>
  <c r="AD38" i="17"/>
  <c r="AD35" i="17"/>
  <c r="AD36" i="17"/>
  <c r="AD43" i="17"/>
  <c r="AD11" i="17"/>
  <c r="AD44" i="17"/>
  <c r="AD30" i="17"/>
  <c r="AD45" i="17"/>
  <c r="AD33" i="17"/>
  <c r="AD46" i="17"/>
  <c r="AD47" i="17"/>
  <c r="AD9" i="17"/>
  <c r="AD15" i="17"/>
  <c r="AD48" i="17"/>
  <c r="AD37" i="17"/>
  <c r="AD39" i="17"/>
  <c r="AD40" i="17"/>
  <c r="AD12" i="17"/>
  <c r="AD34" i="17"/>
  <c r="AD41" i="17"/>
  <c r="AD6" i="17"/>
  <c r="AD13" i="17"/>
  <c r="AE7" i="17"/>
  <c r="AE44" i="17" s="1"/>
  <c r="AD14" i="17"/>
  <c r="AD16" i="17"/>
  <c r="AD31" i="17"/>
  <c r="AE33" i="17" l="1"/>
  <c r="AE35" i="17"/>
  <c r="AE31" i="17"/>
  <c r="AE45" i="17"/>
  <c r="AE14" i="17"/>
  <c r="AE46" i="17"/>
  <c r="AE37" i="17"/>
  <c r="AE13" i="17"/>
  <c r="AE48" i="17"/>
  <c r="AE9" i="17"/>
  <c r="AE11" i="17"/>
  <c r="AE38" i="17"/>
  <c r="AE42" i="17"/>
  <c r="AE41" i="17"/>
  <c r="AE40" i="17"/>
  <c r="AE36" i="17"/>
  <c r="AE39" i="17"/>
  <c r="AE43" i="17"/>
  <c r="AE47" i="17"/>
  <c r="AE15" i="17"/>
  <c r="AF7" i="17"/>
  <c r="AE16" i="17"/>
  <c r="AE12" i="17"/>
  <c r="AE30" i="17"/>
  <c r="AE32" i="17"/>
  <c r="AE34" i="17"/>
  <c r="AF43" i="17" l="1"/>
  <c r="AF44" i="17"/>
  <c r="AF41" i="17"/>
  <c r="AF16" i="17"/>
  <c r="AF12" i="17"/>
  <c r="AF36" i="17"/>
  <c r="AF13" i="17"/>
  <c r="AF48" i="17"/>
  <c r="AG7" i="17"/>
  <c r="AG42" i="17" s="1"/>
  <c r="AF30" i="17"/>
  <c r="AF35" i="17"/>
  <c r="AF45" i="17"/>
  <c r="AF37" i="17"/>
  <c r="AF15" i="17"/>
  <c r="AF42" i="17"/>
  <c r="AF9" i="17"/>
  <c r="AF34" i="17"/>
  <c r="AF46" i="17"/>
  <c r="AF14" i="17"/>
  <c r="AF32" i="17"/>
  <c r="AF40" i="17"/>
  <c r="AF47" i="17"/>
  <c r="AF11" i="17"/>
  <c r="AF33" i="17"/>
  <c r="AF39" i="17"/>
  <c r="AF31" i="17"/>
  <c r="AF38" i="17"/>
  <c r="AG46" i="17" l="1"/>
  <c r="AG41" i="17"/>
  <c r="AG40" i="17"/>
  <c r="AG37" i="17"/>
  <c r="AG32" i="17"/>
  <c r="AG39" i="17"/>
  <c r="AG30" i="17"/>
  <c r="AG16" i="17"/>
  <c r="AG14" i="17"/>
  <c r="AH7" i="17"/>
  <c r="AH47" i="17" s="1"/>
  <c r="AG11" i="17"/>
  <c r="AG45" i="17"/>
  <c r="AG33" i="17"/>
  <c r="AG15" i="17"/>
  <c r="AG12" i="17"/>
  <c r="AG9" i="17"/>
  <c r="AG48" i="17"/>
  <c r="AG43" i="17"/>
  <c r="AG34" i="17"/>
  <c r="AG31" i="17"/>
  <c r="AG47" i="17"/>
  <c r="AG44" i="17"/>
  <c r="AG35" i="17"/>
  <c r="AG38" i="17"/>
  <c r="AG13" i="17"/>
  <c r="AG36" i="17"/>
  <c r="AH35" i="17" l="1"/>
  <c r="AH38" i="17"/>
  <c r="AH42" i="17"/>
  <c r="AH40" i="17"/>
  <c r="AH12" i="17"/>
  <c r="AI7" i="17"/>
  <c r="AH41" i="17"/>
  <c r="AH13" i="17"/>
  <c r="AH43" i="17"/>
  <c r="AH30" i="17"/>
  <c r="AH48" i="17"/>
  <c r="AH34" i="17"/>
  <c r="AH31" i="17"/>
  <c r="AH32" i="17"/>
  <c r="AH45" i="17"/>
  <c r="AH15" i="17"/>
  <c r="AH36" i="17"/>
  <c r="AH44" i="17"/>
  <c r="AH33" i="17"/>
  <c r="AH11" i="17"/>
  <c r="AH14" i="17"/>
  <c r="AH37" i="17"/>
  <c r="AH46" i="17"/>
  <c r="AH9" i="17"/>
  <c r="AH16" i="17"/>
  <c r="AH39" i="17"/>
  <c r="AI47" i="17" l="1"/>
  <c r="AI45" i="17"/>
  <c r="AI44" i="17"/>
  <c r="AI43" i="17"/>
  <c r="AI35" i="17"/>
  <c r="AI41" i="17"/>
  <c r="AI40" i="17"/>
  <c r="AI34" i="17"/>
  <c r="AI30" i="17"/>
  <c r="AI37" i="17"/>
  <c r="AI15" i="17"/>
  <c r="AI13" i="17"/>
  <c r="AI12" i="17"/>
  <c r="AJ7" i="17"/>
  <c r="AI32" i="17"/>
  <c r="AI14" i="17"/>
  <c r="AI31" i="17"/>
  <c r="AI46" i="17"/>
  <c r="AI9" i="17"/>
  <c r="AI36" i="17"/>
  <c r="AI48" i="17"/>
  <c r="AI33" i="17"/>
  <c r="AI11" i="17"/>
  <c r="AI38" i="17"/>
  <c r="AI39" i="17"/>
  <c r="AI42" i="17"/>
  <c r="AI16" i="17"/>
  <c r="AJ48" i="17" l="1"/>
  <c r="AJ47" i="17"/>
  <c r="AJ46" i="17"/>
  <c r="AJ45" i="17"/>
  <c r="AJ44" i="17"/>
  <c r="AJ43" i="17"/>
  <c r="AJ39" i="17"/>
  <c r="AJ42" i="17"/>
  <c r="AJ14" i="17"/>
  <c r="AJ31" i="17"/>
  <c r="AJ41" i="17"/>
  <c r="AJ34" i="17"/>
  <c r="AJ30" i="17"/>
  <c r="AJ16" i="17"/>
  <c r="AJ38" i="17"/>
  <c r="AJ33" i="17"/>
  <c r="AJ15" i="17"/>
  <c r="AJ37" i="17"/>
  <c r="AJ35" i="17"/>
  <c r="AJ12" i="17"/>
  <c r="AK7" i="17"/>
  <c r="AJ40" i="17"/>
  <c r="AJ11" i="17"/>
  <c r="AJ9" i="17"/>
  <c r="AJ36" i="17"/>
  <c r="AJ32" i="17"/>
  <c r="AJ13" i="17"/>
  <c r="AK12" i="17" l="1"/>
  <c r="AK30" i="17"/>
  <c r="AK42" i="17"/>
  <c r="AK43" i="17"/>
  <c r="AK41" i="17"/>
  <c r="AK47" i="17"/>
  <c r="AK38" i="17"/>
  <c r="AK16" i="17"/>
  <c r="AK45" i="17"/>
  <c r="AL7" i="17"/>
  <c r="AK48" i="17"/>
  <c r="AK39" i="17"/>
  <c r="AK37" i="17"/>
  <c r="AK32" i="17"/>
  <c r="AK36" i="17"/>
  <c r="AK35" i="17"/>
  <c r="AK11" i="17"/>
  <c r="AK14" i="17"/>
  <c r="AK34" i="17"/>
  <c r="AK31" i="17"/>
  <c r="AK13" i="17"/>
  <c r="AK9" i="17"/>
  <c r="AK6" i="17"/>
  <c r="AK46" i="17"/>
  <c r="AK44" i="17"/>
  <c r="AK40" i="17"/>
  <c r="AK33" i="17"/>
  <c r="AK15" i="17"/>
  <c r="AL48" i="17" l="1"/>
  <c r="AL44" i="17"/>
  <c r="AL47" i="17"/>
  <c r="AL46" i="17"/>
  <c r="AL45" i="17"/>
  <c r="AL43" i="17"/>
  <c r="AL42" i="17"/>
  <c r="AL41" i="17"/>
  <c r="AL40" i="17"/>
  <c r="AL39" i="17"/>
  <c r="AL38" i="17"/>
  <c r="AL37" i="17"/>
  <c r="AL32" i="17"/>
  <c r="AL36" i="17"/>
  <c r="AL35" i="17"/>
  <c r="AL31" i="17"/>
  <c r="AL34" i="17"/>
  <c r="AL33" i="17"/>
  <c r="AL14" i="17"/>
  <c r="AL13" i="17"/>
  <c r="AL30" i="17"/>
  <c r="AL16" i="17"/>
  <c r="AL12" i="17"/>
  <c r="AM7" i="17"/>
  <c r="AL15" i="17"/>
  <c r="AL11" i="17"/>
  <c r="AL9" i="17"/>
  <c r="AM48" i="17" l="1"/>
  <c r="AM47" i="17"/>
  <c r="AM46" i="17"/>
  <c r="AM45" i="17"/>
  <c r="AM44" i="17"/>
  <c r="AM43" i="17"/>
  <c r="AM40" i="17"/>
  <c r="AM39" i="17"/>
  <c r="AM41" i="17"/>
  <c r="AM36" i="17"/>
  <c r="AM35" i="17"/>
  <c r="AM31" i="17"/>
  <c r="AM34" i="17"/>
  <c r="AM30" i="17"/>
  <c r="AM16" i="17"/>
  <c r="AM42" i="17"/>
  <c r="AM33" i="17"/>
  <c r="AM13" i="17"/>
  <c r="AM38" i="17"/>
  <c r="AM12" i="17"/>
  <c r="AN7" i="17"/>
  <c r="AM15" i="17"/>
  <c r="AM9" i="17"/>
  <c r="AM32" i="17"/>
  <c r="AM37" i="17"/>
  <c r="AM11" i="17"/>
  <c r="AM14" i="17"/>
  <c r="AN48" i="17" l="1"/>
  <c r="AN47" i="17"/>
  <c r="AN46" i="17"/>
  <c r="AN45" i="17"/>
  <c r="AN44" i="17"/>
  <c r="AN43" i="17"/>
  <c r="AN39" i="17"/>
  <c r="AN42" i="17"/>
  <c r="AN41" i="17"/>
  <c r="AN34" i="17"/>
  <c r="AN30" i="17"/>
  <c r="AN16" i="17"/>
  <c r="AN33" i="17"/>
  <c r="AN15" i="17"/>
  <c r="AN40" i="17"/>
  <c r="AN38" i="17"/>
  <c r="AN37" i="17"/>
  <c r="AN32" i="17"/>
  <c r="AN12" i="17"/>
  <c r="AO7" i="17"/>
  <c r="AN36" i="17"/>
  <c r="AN31" i="17"/>
  <c r="AN11" i="17"/>
  <c r="AN9" i="17"/>
  <c r="AN14" i="17"/>
  <c r="AN35" i="17"/>
  <c r="AN13" i="17"/>
  <c r="AO38" i="17" l="1"/>
  <c r="AO48" i="17"/>
  <c r="AO46" i="17"/>
  <c r="AO44" i="17"/>
  <c r="AO42" i="17"/>
  <c r="AO41" i="17"/>
  <c r="AO40" i="17"/>
  <c r="AO47" i="17"/>
  <c r="AO39" i="17"/>
  <c r="AO33" i="17"/>
  <c r="AO15" i="17"/>
  <c r="AO37" i="17"/>
  <c r="AO32" i="17"/>
  <c r="AO43" i="17"/>
  <c r="AO36" i="17"/>
  <c r="AO35" i="17"/>
  <c r="AO31" i="17"/>
  <c r="AO11" i="17"/>
  <c r="AO9" i="17"/>
  <c r="AO34" i="17"/>
  <c r="AO30" i="17"/>
  <c r="AO14" i="17"/>
  <c r="AO45" i="17"/>
  <c r="AO13" i="17"/>
  <c r="AP7" i="17"/>
  <c r="AO12" i="17"/>
  <c r="AO16" i="17"/>
  <c r="AP42" i="17" l="1"/>
  <c r="AP45" i="17"/>
  <c r="AP48" i="17"/>
  <c r="AP47" i="17"/>
  <c r="AP46" i="17"/>
  <c r="AP44" i="17"/>
  <c r="AP43" i="17"/>
  <c r="AP41" i="17"/>
  <c r="AP40" i="17"/>
  <c r="AP39" i="17"/>
  <c r="AP37" i="17"/>
  <c r="AP32" i="17"/>
  <c r="AP38" i="17"/>
  <c r="AP36" i="17"/>
  <c r="AP35" i="17"/>
  <c r="AP31" i="17"/>
  <c r="AP34" i="17"/>
  <c r="AP30" i="17"/>
  <c r="AP16" i="17"/>
  <c r="AP14" i="17"/>
  <c r="AP15" i="17"/>
  <c r="AP13" i="17"/>
  <c r="AP33" i="17"/>
  <c r="AP12" i="17"/>
  <c r="AQ7" i="17"/>
  <c r="AP11" i="17"/>
  <c r="AP9" i="17"/>
  <c r="AQ48" i="17" l="1"/>
  <c r="AQ47" i="17"/>
  <c r="AQ46" i="17"/>
  <c r="AQ45" i="17"/>
  <c r="AQ44" i="17"/>
  <c r="AQ43" i="17"/>
  <c r="AQ40" i="17"/>
  <c r="AQ39" i="17"/>
  <c r="AQ38" i="17"/>
  <c r="AQ36" i="17"/>
  <c r="AQ35" i="17"/>
  <c r="AQ31" i="17"/>
  <c r="AQ42" i="17"/>
  <c r="AQ34" i="17"/>
  <c r="AQ30" i="17"/>
  <c r="AQ16" i="17"/>
  <c r="AQ33" i="17"/>
  <c r="AQ15" i="17"/>
  <c r="AQ13" i="17"/>
  <c r="AQ41" i="17"/>
  <c r="AQ12" i="17"/>
  <c r="AR7" i="17"/>
  <c r="AQ32" i="17"/>
  <c r="AQ37" i="17"/>
  <c r="AQ11" i="17"/>
  <c r="AQ9" i="17"/>
  <c r="AQ14" i="17"/>
  <c r="AR48" i="17" l="1"/>
  <c r="AR47" i="17"/>
  <c r="AR46" i="17"/>
  <c r="AR45" i="17"/>
  <c r="AR44" i="17"/>
  <c r="AR43" i="17"/>
  <c r="AR39" i="17"/>
  <c r="AS7" i="17"/>
  <c r="AS48" i="17" s="1"/>
  <c r="AR11" i="17"/>
  <c r="AR9" i="17"/>
  <c r="AR35" i="17"/>
  <c r="AR32" i="17"/>
  <c r="AR14" i="17"/>
  <c r="AR6" i="17"/>
  <c r="AR31" i="17"/>
  <c r="AR13" i="17"/>
  <c r="AR42" i="17"/>
  <c r="AR41" i="17"/>
  <c r="AR34" i="17"/>
  <c r="AR30" i="17"/>
  <c r="AR16" i="17"/>
  <c r="AR40" i="17"/>
  <c r="AR33" i="17"/>
  <c r="AR15" i="17"/>
  <c r="AR37" i="17"/>
  <c r="AR38" i="17"/>
  <c r="AR36" i="17"/>
  <c r="AR12" i="17"/>
  <c r="AS46" i="17" l="1"/>
  <c r="AS44" i="17"/>
  <c r="AS38" i="17"/>
  <c r="AS42" i="17"/>
  <c r="AS41" i="17"/>
  <c r="AS47" i="17"/>
  <c r="AS45" i="17"/>
  <c r="AS43" i="17"/>
  <c r="AS40" i="17"/>
  <c r="AS15" i="17"/>
  <c r="AS37" i="17"/>
  <c r="AS32" i="17"/>
  <c r="AS36" i="17"/>
  <c r="AS35" i="17"/>
  <c r="AS12" i="17"/>
  <c r="AS30" i="17"/>
  <c r="AS33" i="17"/>
  <c r="AS39" i="17"/>
  <c r="AT7" i="17"/>
  <c r="AS34" i="17"/>
  <c r="AS11" i="17"/>
  <c r="AS9" i="17"/>
  <c r="AS14" i="17"/>
  <c r="AS31" i="17"/>
  <c r="AS13" i="17"/>
  <c r="AS16" i="17"/>
  <c r="AT48" i="17" l="1"/>
  <c r="AT47" i="17"/>
  <c r="AT46" i="17"/>
  <c r="AT45" i="17"/>
  <c r="AT44" i="17"/>
  <c r="AT43" i="17"/>
  <c r="AT42" i="17"/>
  <c r="AT41" i="17"/>
  <c r="AT40" i="17"/>
  <c r="AT39" i="17"/>
  <c r="AT37" i="17"/>
  <c r="AT32" i="17"/>
  <c r="AT36" i="17"/>
  <c r="AT35" i="17"/>
  <c r="AT31" i="17"/>
  <c r="AT38" i="17"/>
  <c r="AT34" i="17"/>
  <c r="AT14" i="17"/>
  <c r="AT13" i="17"/>
  <c r="AT33" i="17"/>
  <c r="AT30" i="17"/>
  <c r="AT16" i="17"/>
  <c r="AT12" i="17"/>
  <c r="AU7" i="17"/>
  <c r="AT9" i="17"/>
  <c r="AT15" i="17"/>
  <c r="AT11" i="17"/>
  <c r="AU48" i="17" l="1"/>
  <c r="AU47" i="17"/>
  <c r="AU46" i="17"/>
  <c r="AU45" i="17"/>
  <c r="AU44" i="17"/>
  <c r="AU43" i="17"/>
  <c r="AU40" i="17"/>
  <c r="AU39" i="17"/>
  <c r="AU34" i="17"/>
  <c r="AU16" i="17"/>
  <c r="AU13" i="17"/>
  <c r="AU37" i="17"/>
  <c r="AU12" i="17"/>
  <c r="AU11" i="17"/>
  <c r="AU14" i="17"/>
  <c r="AU42" i="17"/>
  <c r="AU36" i="17"/>
  <c r="AU35" i="17"/>
  <c r="AU31" i="17"/>
  <c r="AU38" i="17"/>
  <c r="AU30" i="17"/>
  <c r="AU41" i="17"/>
  <c r="AU32" i="17"/>
  <c r="AU15" i="17"/>
  <c r="AU33" i="17"/>
  <c r="AV7" i="17"/>
  <c r="AU9" i="17"/>
  <c r="AV46" i="17" l="1"/>
  <c r="AV45" i="17"/>
  <c r="AV44" i="17"/>
  <c r="AV43" i="17"/>
  <c r="AV13" i="17"/>
  <c r="AV48" i="17"/>
  <c r="AV47" i="17"/>
  <c r="AV39" i="17"/>
  <c r="AV42" i="17"/>
  <c r="AV41" i="17"/>
  <c r="AV40" i="17"/>
  <c r="AV38" i="17"/>
  <c r="AV34" i="17"/>
  <c r="AV30" i="17"/>
  <c r="AV16" i="17"/>
  <c r="AV33" i="17"/>
  <c r="AV15" i="17"/>
  <c r="AV37" i="17"/>
  <c r="AV32" i="17"/>
  <c r="AV12" i="17"/>
  <c r="AW7" i="17"/>
  <c r="AV35" i="17"/>
  <c r="AV31" i="17"/>
  <c r="AV11" i="17"/>
  <c r="AV9" i="17"/>
  <c r="AV14" i="17"/>
  <c r="AV36" i="17"/>
  <c r="AW38" i="17" l="1"/>
  <c r="AW47" i="17"/>
  <c r="AW45" i="17"/>
  <c r="AW43" i="17"/>
  <c r="AW42" i="17"/>
  <c r="AW41" i="17"/>
  <c r="AW40" i="17"/>
  <c r="AW48" i="17"/>
  <c r="AW14" i="17"/>
  <c r="AW13" i="17"/>
  <c r="AX7" i="17"/>
  <c r="AW33" i="17"/>
  <c r="AW15" i="17"/>
  <c r="AW37" i="17"/>
  <c r="AW32" i="17"/>
  <c r="AW44" i="17"/>
  <c r="AW39" i="17"/>
  <c r="AW36" i="17"/>
  <c r="AW35" i="17"/>
  <c r="AW31" i="17"/>
  <c r="AW11" i="17"/>
  <c r="AW9" i="17"/>
  <c r="AW46" i="17"/>
  <c r="AW30" i="17"/>
  <c r="AW16" i="17"/>
  <c r="AW34" i="17"/>
  <c r="AW12" i="17"/>
  <c r="AX48" i="17" l="1"/>
  <c r="AX47" i="17"/>
  <c r="AX46" i="17"/>
  <c r="AX45" i="17"/>
  <c r="AX37" i="17"/>
  <c r="AX32" i="17"/>
  <c r="AX36" i="17"/>
  <c r="AX35" i="17"/>
  <c r="AX31" i="17"/>
  <c r="AX34" i="17"/>
  <c r="AX30" i="17"/>
  <c r="AX38" i="17"/>
  <c r="AX9" i="17"/>
  <c r="AX11" i="17"/>
  <c r="AX44" i="17"/>
  <c r="AX43" i="17"/>
  <c r="AX42" i="17"/>
  <c r="AX16" i="17"/>
  <c r="AX14" i="17"/>
  <c r="AX33" i="17"/>
  <c r="AX15" i="17"/>
  <c r="AX13" i="17"/>
  <c r="AX12" i="17"/>
  <c r="AY7" i="17"/>
  <c r="AY48" i="17" s="1"/>
  <c r="AX41" i="17"/>
  <c r="AX40" i="17"/>
  <c r="AX39" i="17"/>
  <c r="AY47" i="17" l="1"/>
  <c r="AY46" i="17"/>
  <c r="AY45" i="17"/>
  <c r="AY44" i="17"/>
  <c r="AY43" i="17"/>
  <c r="AY40" i="17"/>
  <c r="AY39" i="17"/>
  <c r="AY36" i="17"/>
  <c r="AY35" i="17"/>
  <c r="AY31" i="17"/>
  <c r="AY41" i="17"/>
  <c r="AY34" i="17"/>
  <c r="AY30" i="17"/>
  <c r="AY16" i="17"/>
  <c r="AY38" i="17"/>
  <c r="AY33" i="17"/>
  <c r="AY37" i="17"/>
  <c r="AY15" i="17"/>
  <c r="AY13" i="17"/>
  <c r="AY42" i="17"/>
  <c r="AY12" i="17"/>
  <c r="AZ7" i="17"/>
  <c r="AZ48" i="17" s="1"/>
  <c r="AY9" i="17"/>
  <c r="AY6" i="17"/>
  <c r="AY32" i="17"/>
  <c r="AY14" i="17"/>
  <c r="AY11" i="17"/>
  <c r="AZ47" i="17" l="1"/>
  <c r="AZ46" i="17"/>
  <c r="AZ45" i="17"/>
  <c r="AZ44" i="17"/>
  <c r="AZ43" i="17"/>
  <c r="AZ39" i="17"/>
  <c r="AZ42" i="17"/>
  <c r="AZ41" i="17"/>
  <c r="AZ34" i="17"/>
  <c r="AZ30" i="17"/>
  <c r="AZ16" i="17"/>
  <c r="AZ38" i="17"/>
  <c r="AZ33" i="17"/>
  <c r="AZ15" i="17"/>
  <c r="AZ37" i="17"/>
  <c r="AZ40" i="17"/>
  <c r="AZ35" i="17"/>
  <c r="AZ12" i="17"/>
  <c r="BA7" i="17"/>
  <c r="AZ11" i="17"/>
  <c r="AZ9" i="17"/>
  <c r="AZ36" i="17"/>
  <c r="AZ32" i="17"/>
  <c r="AZ14" i="17"/>
  <c r="AZ13" i="17"/>
  <c r="AZ31" i="17"/>
  <c r="BA45" i="17" l="1"/>
  <c r="BA43" i="17"/>
  <c r="BA38" i="17"/>
  <c r="BA42" i="17"/>
  <c r="BA41" i="17"/>
  <c r="BA48" i="17"/>
  <c r="BA46" i="17"/>
  <c r="BA47" i="17"/>
  <c r="BA44" i="17"/>
  <c r="BA40" i="17"/>
  <c r="BA33" i="17"/>
  <c r="BA15" i="17"/>
  <c r="BA39" i="17"/>
  <c r="BA37" i="17"/>
  <c r="BA32" i="17"/>
  <c r="BA36" i="17"/>
  <c r="BA35" i="17"/>
  <c r="BA11" i="17"/>
  <c r="BA9" i="17"/>
  <c r="BA14" i="17"/>
  <c r="BA34" i="17"/>
  <c r="BA31" i="17"/>
  <c r="BA13" i="17"/>
  <c r="BA30" i="17"/>
  <c r="BB7" i="17"/>
  <c r="BA12" i="17"/>
  <c r="BA16" i="17"/>
  <c r="BB48" i="17" l="1"/>
  <c r="BB47" i="17"/>
  <c r="BB46" i="17"/>
  <c r="BB45" i="17"/>
  <c r="BB44" i="17"/>
  <c r="BB43" i="17"/>
  <c r="BB42" i="17"/>
  <c r="BB41" i="17"/>
  <c r="BB40" i="17"/>
  <c r="BB39" i="17"/>
  <c r="BB38" i="17"/>
  <c r="BB37" i="17"/>
  <c r="BB32" i="17"/>
  <c r="BB36" i="17"/>
  <c r="BB35" i="17"/>
  <c r="BB31" i="17"/>
  <c r="BB34" i="17"/>
  <c r="BB33" i="17"/>
  <c r="BB14" i="17"/>
  <c r="BB13" i="17"/>
  <c r="BB30" i="17"/>
  <c r="BB16" i="17"/>
  <c r="BB12" i="17"/>
  <c r="BC7" i="17"/>
  <c r="BB11" i="17"/>
  <c r="BB15" i="17"/>
  <c r="BB9" i="17"/>
  <c r="BC48" i="17" l="1"/>
  <c r="BC47" i="17"/>
  <c r="BC46" i="17"/>
  <c r="BC45" i="17"/>
  <c r="BC44" i="17"/>
  <c r="BC43" i="17"/>
  <c r="BC40" i="17"/>
  <c r="BC39" i="17"/>
  <c r="BC41" i="17"/>
  <c r="BC36" i="17"/>
  <c r="BC35" i="17"/>
  <c r="BC31" i="17"/>
  <c r="BC34" i="17"/>
  <c r="BC30" i="17"/>
  <c r="BC16" i="17"/>
  <c r="BC42" i="17"/>
  <c r="BC33" i="17"/>
  <c r="BC13" i="17"/>
  <c r="BC32" i="17"/>
  <c r="BC12" i="17"/>
  <c r="BD7" i="17"/>
  <c r="BD48" i="17" s="1"/>
  <c r="BC38" i="17"/>
  <c r="BC15" i="17"/>
  <c r="BC11" i="17"/>
  <c r="BC9" i="17"/>
  <c r="BC37" i="17"/>
  <c r="BC14" i="17"/>
  <c r="BD47" i="17" l="1"/>
  <c r="BD46" i="17"/>
  <c r="BD45" i="17"/>
  <c r="BD44" i="17"/>
  <c r="BD43" i="17"/>
  <c r="BD39" i="17"/>
  <c r="BD42" i="17"/>
  <c r="BD41" i="17"/>
  <c r="BD34" i="17"/>
  <c r="BD30" i="17"/>
  <c r="BD16" i="17"/>
  <c r="BD33" i="17"/>
  <c r="BD15" i="17"/>
  <c r="BD40" i="17"/>
  <c r="BD38" i="17"/>
  <c r="BD37" i="17"/>
  <c r="BD32" i="17"/>
  <c r="BD12" i="17"/>
  <c r="BE7" i="17"/>
  <c r="BD36" i="17"/>
  <c r="BD31" i="17"/>
  <c r="BD11" i="17"/>
  <c r="BD9" i="17"/>
  <c r="BD35" i="17"/>
  <c r="BD14" i="17"/>
  <c r="BD13" i="17"/>
  <c r="BE42" i="17" l="1"/>
  <c r="BE39" i="17"/>
  <c r="BE46" i="17"/>
  <c r="BE44" i="17"/>
  <c r="BE41" i="17"/>
  <c r="BE40" i="17"/>
  <c r="BE33" i="17"/>
  <c r="BE38" i="17"/>
  <c r="BE48" i="17"/>
  <c r="BE15" i="17"/>
  <c r="BE43" i="17"/>
  <c r="BE37" i="17"/>
  <c r="BE32" i="17"/>
  <c r="BE45" i="17"/>
  <c r="BE36" i="17"/>
  <c r="BE35" i="17"/>
  <c r="BE47" i="17"/>
  <c r="BE31" i="17"/>
  <c r="BE11" i="17"/>
  <c r="BE9" i="17"/>
  <c r="BE34" i="17"/>
  <c r="BE30" i="17"/>
  <c r="BE16" i="17"/>
  <c r="BE14" i="17"/>
  <c r="BE13" i="17"/>
  <c r="BF7" i="17"/>
  <c r="BE12" i="17"/>
  <c r="BF44" i="17" l="1"/>
  <c r="BF43" i="17"/>
  <c r="BF42" i="17"/>
  <c r="BF41" i="17"/>
  <c r="BF40" i="17"/>
  <c r="BF46" i="17"/>
  <c r="BF45" i="17"/>
  <c r="BF47" i="17"/>
  <c r="BF48" i="17"/>
  <c r="BF39" i="17"/>
  <c r="BF37" i="17"/>
  <c r="BF32" i="17"/>
  <c r="BF38" i="17"/>
  <c r="BF36" i="17"/>
  <c r="BF35" i="17"/>
  <c r="BF31" i="17"/>
  <c r="BF34" i="17"/>
  <c r="BF30" i="17"/>
  <c r="BF16" i="17"/>
  <c r="BF14" i="17"/>
  <c r="BF15" i="17"/>
  <c r="BF13" i="17"/>
  <c r="BF6" i="17"/>
  <c r="BF12" i="17"/>
  <c r="BG7" i="17"/>
  <c r="BG38" i="17" s="1"/>
  <c r="BF33" i="17"/>
  <c r="BF11" i="17"/>
  <c r="BF9" i="17"/>
  <c r="BG48" i="17" l="1"/>
  <c r="BG47" i="17"/>
  <c r="BG46" i="17"/>
  <c r="BG45" i="17"/>
  <c r="BG44" i="17"/>
  <c r="BG43" i="17"/>
  <c r="BG40" i="17"/>
  <c r="BG39" i="17"/>
  <c r="BG36" i="17"/>
  <c r="BG35" i="17"/>
  <c r="BG31" i="17"/>
  <c r="BG42" i="17"/>
  <c r="BG34" i="17"/>
  <c r="BG30" i="17"/>
  <c r="BG16" i="17"/>
  <c r="BG33" i="17"/>
  <c r="BG41" i="17"/>
  <c r="BG15" i="17"/>
  <c r="BG13" i="17"/>
  <c r="BG12" i="17"/>
  <c r="BH7" i="17"/>
  <c r="BG32" i="17"/>
  <c r="BG37" i="17"/>
  <c r="BG11" i="17"/>
  <c r="BG9" i="17"/>
  <c r="BG14" i="17"/>
  <c r="BH48" i="17" l="1"/>
  <c r="BH47" i="17"/>
  <c r="BH46" i="17"/>
  <c r="BH45" i="17"/>
  <c r="BH44" i="17"/>
  <c r="BH43" i="17"/>
  <c r="BH39" i="17"/>
  <c r="BH42" i="17"/>
  <c r="BH41" i="17"/>
  <c r="BH34" i="17"/>
  <c r="BH30" i="17"/>
  <c r="BH16" i="17"/>
  <c r="BH40" i="17"/>
  <c r="BH33" i="17"/>
  <c r="BH15" i="17"/>
  <c r="BH37" i="17"/>
  <c r="BH36" i="17"/>
  <c r="BH12" i="17"/>
  <c r="BI7" i="17"/>
  <c r="BH38" i="17"/>
  <c r="BH11" i="17"/>
  <c r="BH9" i="17"/>
  <c r="BH35" i="17"/>
  <c r="BH32" i="17"/>
  <c r="BH14" i="17"/>
  <c r="BH31" i="17"/>
  <c r="BH13" i="17"/>
  <c r="BI42" i="17" l="1"/>
  <c r="BI41" i="17"/>
  <c r="BI48" i="17"/>
  <c r="BI46" i="17"/>
  <c r="BI44" i="17"/>
  <c r="BI38" i="17"/>
  <c r="BI47" i="17"/>
  <c r="BI45" i="17"/>
  <c r="BI43" i="17"/>
  <c r="BI40" i="17"/>
  <c r="BI33" i="17"/>
  <c r="BI15" i="17"/>
  <c r="BI37" i="17"/>
  <c r="BI32" i="17"/>
  <c r="BI36" i="17"/>
  <c r="BI35" i="17"/>
  <c r="BI34" i="17"/>
  <c r="BI11" i="17"/>
  <c r="BI9" i="17"/>
  <c r="BI14" i="17"/>
  <c r="BI31" i="17"/>
  <c r="BI13" i="17"/>
  <c r="BI39" i="17"/>
  <c r="BI12" i="17"/>
  <c r="BI30" i="17"/>
  <c r="BI16" i="17"/>
  <c r="BJ7" i="17"/>
  <c r="BJ48" i="17" l="1"/>
  <c r="BJ47" i="17"/>
  <c r="BJ46" i="17"/>
  <c r="BJ45" i="17"/>
  <c r="BJ44" i="17"/>
  <c r="BJ43" i="17"/>
  <c r="BJ42" i="17"/>
  <c r="BJ41" i="17"/>
  <c r="BJ40" i="17"/>
  <c r="BJ39" i="17"/>
  <c r="BJ37" i="17"/>
  <c r="BJ32" i="17"/>
  <c r="BJ36" i="17"/>
  <c r="BJ35" i="17"/>
  <c r="BJ31" i="17"/>
  <c r="BJ38" i="17"/>
  <c r="BJ34" i="17"/>
  <c r="BJ14" i="17"/>
  <c r="BJ13" i="17"/>
  <c r="BJ33" i="17"/>
  <c r="BJ30" i="17"/>
  <c r="BJ16" i="17"/>
  <c r="BJ12" i="17"/>
  <c r="BK7" i="17"/>
  <c r="BJ15" i="17"/>
  <c r="BJ9" i="17"/>
  <c r="BJ11" i="17"/>
  <c r="BK48" i="17" l="1"/>
  <c r="BK47" i="17"/>
  <c r="BK46" i="17"/>
  <c r="BK45" i="17"/>
  <c r="BK44" i="17"/>
  <c r="BK43" i="17"/>
  <c r="BK42" i="17"/>
  <c r="BK40" i="17"/>
  <c r="BK39" i="17"/>
  <c r="BK36" i="17"/>
  <c r="BK35" i="17"/>
  <c r="BK31" i="17"/>
  <c r="BK38" i="17"/>
  <c r="BK34" i="17"/>
  <c r="BK30" i="17"/>
  <c r="BK16" i="17"/>
  <c r="BK41" i="17"/>
  <c r="BK33" i="17"/>
  <c r="BK13" i="17"/>
  <c r="BK37" i="17"/>
  <c r="BK32" i="17"/>
  <c r="BK12" i="17"/>
  <c r="BL7" i="17"/>
  <c r="BK15" i="17"/>
  <c r="BK11" i="17"/>
  <c r="BK9" i="17"/>
  <c r="BK14" i="17"/>
  <c r="BL48" i="17" l="1"/>
  <c r="BL47" i="17"/>
  <c r="BL46" i="17"/>
  <c r="BL45" i="17"/>
  <c r="BL44" i="17"/>
  <c r="BL43" i="17"/>
  <c r="BL42" i="17"/>
  <c r="BL39" i="17"/>
  <c r="BL41" i="17"/>
  <c r="BL40" i="17"/>
  <c r="BL38" i="17"/>
  <c r="BL34" i="17"/>
  <c r="BL30" i="17"/>
  <c r="BL16" i="17"/>
  <c r="BL33" i="17"/>
  <c r="BL15" i="17"/>
  <c r="BL37" i="17"/>
  <c r="BL32" i="17"/>
  <c r="BL12" i="17"/>
  <c r="BL35" i="17"/>
  <c r="BL31" i="17"/>
  <c r="BL11" i="17"/>
  <c r="BL9" i="17"/>
  <c r="BL36" i="17"/>
  <c r="BL14" i="17"/>
  <c r="BL1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ED3F6-009A-4F55-8C05-259D394D97D5}" odcFile="C:\Users\MINHCHI\Downloads\query.iqy" keepAlive="1" name="query" type="5" refreshedVersion="8" minRefreshableVersion="3" saveData="1">
    <dbPr connection="Provider=Microsoft.Office.List.OLEDB.2.0;Data Source=&quot;&quot;;ApplicationName=Excel;Version=12.0.0.0" command="&lt;LIST&gt;&lt;VIEWGUID&gt;561742B4-C112-48FC-896E-F0DB71084CFD&lt;/VIEWGUID&gt;&lt;LISTNAME&gt;ca12a6e3-2fa5-4b20-adb7-bdfc3e12350f&lt;/LISTNAME&gt;&lt;LISTWEB&gt;https://asiadragon.sharepoint.com/sites/TestSite/_vti_bin&lt;/LISTWEB&gt;&lt;LISTSUBWEB&gt;&lt;/LISTSUBWEB&gt;&lt;ROOTFOLDER&gt;&lt;/ROOTFOLDER&gt;&lt;/LIST&gt;" commandType="5"/>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<sst xmlns="http://schemas.openxmlformats.org/spreadsheetml/2006/main" count="150" uniqueCount="61">
  <si>
    <t>Category</t>
  </si>
  <si>
    <t>Progress</t>
  </si>
  <si>
    <t>Start</t>
  </si>
  <si>
    <t>On Track</t>
  </si>
  <si>
    <t>Legend:</t>
  </si>
  <si>
    <t>Unassigned</t>
  </si>
  <si>
    <t>Milestone description</t>
  </si>
  <si>
    <t>Assigned to</t>
  </si>
  <si>
    <t>Days</t>
  </si>
  <si>
    <t>On track</t>
  </si>
  <si>
    <t>Low risk</t>
  </si>
  <si>
    <t>Med risk</t>
  </si>
  <si>
    <t>High risk</t>
  </si>
  <si>
    <t>Project development</t>
  </si>
  <si>
    <t>Project start date:</t>
  </si>
  <si>
    <t>Scrolling increment:</t>
  </si>
  <si>
    <t>Tiêu đề</t>
  </si>
  <si>
    <t>ProjectStart</t>
  </si>
  <si>
    <t>ProjectDue</t>
  </si>
  <si>
    <t>TaskStart</t>
  </si>
  <si>
    <t>TaskDue</t>
  </si>
  <si>
    <t>TaskType</t>
  </si>
  <si>
    <t>AssignedToUser</t>
  </si>
  <si>
    <t>TaskDescription</t>
  </si>
  <si>
    <t>Owner</t>
  </si>
  <si>
    <t>Priority</t>
  </si>
  <si>
    <t>Đường dẫn</t>
  </si>
  <si>
    <t>Loại Khoản mục</t>
  </si>
  <si>
    <t>Quy định soạn thảo &amp; kiểm soát tài liệu</t>
  </si>
  <si>
    <t>Task</t>
  </si>
  <si>
    <t>Kiệt, Ngô Vương Tuấn</t>
  </si>
  <si>
    <t>Nền tảng số 1; nên khóa chuẩn trước khi các phòng tự phát triển thêm tài liệu.</t>
  </si>
  <si>
    <t>BỘ XÂY TÀI LIỆU NỀN TOÀN CÔNG TY</t>
  </si>
  <si>
    <t>OD / Document Control</t>
  </si>
  <si>
    <t>Rất cao</t>
  </si>
  <si>
    <t>sites/TestSite/Lists/DemoGant</t>
  </si>
  <si>
    <t>Mục</t>
  </si>
  <si>
    <t>• Quy định quản lý hồ sơ &amp; lưu trữ</t>
  </si>
  <si>
    <t>• Quy định/SOP SharePoint – M365</t>
  </si>
  <si>
    <t>• Quy ước mã tài liệu – version – tên file – nơi lưu</t>
  </si>
  <si>
    <t>• Checklist master tài liệu toàn công ty</t>
  </si>
  <si>
    <t>• Cây thư mục chuẩn các khối/phòng ban</t>
  </si>
  <si>
    <t>• Phụ lục – biểu mẫu – register</t>
  </si>
  <si>
    <t>• Sơ đồ tổ chức tổng thể ADC</t>
  </si>
  <si>
    <t>Là khung xương để chốt JD, RACI, reporting line và các package theo khối.</t>
  </si>
  <si>
    <t>BỘ TỔ CHỨC &amp; GOVERNANCE TỔNG THỂ ADC</t>
  </si>
  <si>
    <t>CEO + OD</t>
  </si>
  <si>
    <t>• Position Matrix tổng</t>
  </si>
  <si>
    <t>• Quy định vòng đời nhân sự</t>
  </si>
  <si>
    <t>Đây là một master pack lớn; các việc nhỏ như TA Junior, CV template nên để dưới dạng công cụ hỗ trợ.</t>
  </si>
  <si>
    <t>BỘ P&amp;O HR MASTER PACK</t>
  </si>
  <si>
    <t>P&amp;O + OD</t>
  </si>
  <si>
    <t>• Quy định tuyển dụng</t>
  </si>
  <si>
    <t>Tổng</t>
  </si>
  <si>
    <t>Trung bình</t>
  </si>
  <si>
    <t>Tổng Hiện có</t>
  </si>
  <si>
    <t>Đếm</t>
  </si>
  <si>
    <t>Cột1</t>
  </si>
  <si>
    <t>Asia Dragon Cordage</t>
  </si>
  <si>
    <t>Đặng Minh Chí</t>
  </si>
  <si>
    <t>PROJECT: From SharePointList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</si>
</sst>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6"/>
      <name val="Calibri"/>
      <family val="2"/>
      <scheme val="major"/>
    </font>
    <font>
      <b/>
      <sz val="14"/>
      <color theme="8" tint="-0.499984740745262"/>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bgColor indexed="64"/>
      </patternFill>
    </fill>
  </fills>
  <borders count="1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3" borderId="0" applyNumberFormat="0" applyBorder="0" applyAlignment="0" applyProtection="0"/>
  </cellStyleXfs>
  <cellXfs count="8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1"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1"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0" fontId="3" fillId="0" borderId="0" xfId="0" applyFont="1" applyAlignment="1">
      <alignment horizontal="left" vertical="center" wrapText="1" indent="1"/>
    </xf>
    <xf numFmtId="0" fontId="25" fillId="0" borderId="0" xfId="0" applyFont="1" applyAlignment="1">
      <alignment horizontal="left" vertical="center" wrapText="1"/>
    </xf>
    <xf numFmtId="0" fontId="0" fillId="0" borderId="0" xfId="0" applyAlignment="1">
      <alignment horizontal="left" vertical="center" wrapText="1" indent="1"/>
    </xf>
    <xf numFmtId="0" fontId="24" fillId="0" borderId="0" xfId="5" applyFont="1" applyFill="1" applyAlignment="1">
      <alignment horizontal="left" vertical="center" indent="2"/>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22" fillId="2" borderId="0" xfId="5" applyFont="1" applyFill="1" applyAlignment="1">
      <alignment horizontal="left" vertical="center" indent="1"/>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12" fillId="5" borderId="0" xfId="11" applyFont="1" applyFill="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xf numFmtId="49" fontId="17" fillId="11" borderId="0" xfId="0" applyNumberFormat="1" applyFont="1" applyFill="1" applyAlignment="1"/>
    <xf numFmtId="0" fontId="0" fillId="0" borderId="14" xfId="0" applyBorder="1"/>
    <xf numFmtId="14" fontId="17" fillId="11" borderId="14" xfId="0" applyNumberFormat="1" applyFont="1" applyFill="1" applyBorder="1"/>
    <xf numFmtId="10" fontId="17" fillId="11" borderId="14" xfId="0" applyNumberFormat="1" applyFont="1" applyFill="1" applyBorder="1"/>
    <xf numFmtId="49" fontId="17" fillId="11" borderId="14" xfId="0" applyNumberFormat="1" applyFont="1" applyFill="1" applyBorder="1"/>
    <xf numFmtId="0" fontId="17" fillId="11" borderId="14" xfId="0" applyFont="1" applyFill="1" applyBorder="1" applyAlignment="1">
      <alignment wrapText="1"/>
    </xf>
    <xf numFmtId="49" fontId="17" fillId="11" borderId="14" xfId="0" applyNumberFormat="1" applyFont="1" applyFill="1" applyBorder="1" applyAlignment="1"/>
    <xf numFmtId="37" fontId="3" fillId="0" borderId="0" xfId="10" applyFont="1" applyFill="1" applyBorder="1" applyAlignment="1">
      <alignment horizontal="center" vertical="center" wrapText="1"/>
    </xf>
    <xf numFmtId="0" fontId="0" fillId="0" borderId="0" xfId="0" applyFont="1" applyAlignment="1">
      <alignment horizontal="left" wrapText="1" indent="2"/>
    </xf>
    <xf numFmtId="0" fontId="0" fillId="0" borderId="0" xfId="0" applyFont="1" applyAlignment="1">
      <alignment horizontal="left" wrapText="1" indent="10"/>
    </xf>
    <xf numFmtId="0" fontId="0" fillId="0" borderId="0" xfId="0" applyFont="1" applyAlignment="1">
      <alignment horizontal="left" wrapText="1" indent="11"/>
    </xf>
    <xf numFmtId="0" fontId="0" fillId="0" borderId="0" xfId="0" applyFont="1" applyAlignment="1">
      <alignment horizontal="left" wrapText="1" indent="12"/>
    </xf>
  </cellXfs>
  <cellStyles count="12">
    <cellStyle name="Accent3" xfId="11" builtinId="37"/>
    <cellStyle name="Bình thường" xfId="0" builtinId="0"/>
    <cellStyle name="Date" xfId="9" xr:uid="{229918B6-DD13-4F5A-97B9-305F7E002AA3}"/>
    <cellStyle name="Đầu đề 1" xfId="6" builtinId="16" customBuiltin="1"/>
    <cellStyle name="Đầu đề 2" xfId="7" builtinId="17" customBuiltin="1"/>
    <cellStyle name="Đầu đề 3" xfId="8" builtinId="18" customBuiltin="1"/>
    <cellStyle name="Dấu phẩy" xfId="4" builtinId="3" customBuiltin="1"/>
    <cellStyle name="Dấu phẩy [0]" xfId="10" builtinId="6" customBuiltin="1"/>
    <cellStyle name="Phần trăm" xfId="2" builtinId="5" customBuiltin="1"/>
    <cellStyle name="Siêu kết nối" xfId="1" builtinId="8" customBuiltin="1"/>
    <cellStyle name="Tiêu đề" xfId="5" builtinId="15" customBuiltin="1"/>
    <cellStyle name="zHiddenText" xfId="3" xr:uid="{26E66EE6-E33F-4D77-BAE4-0FB4F5BBF673}"/>
  </cellStyles>
  <dxfs count="60">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color rgb="FF000000"/>
        <name val="Calibri"/>
        <family val="2"/>
        <scheme val="minor"/>
      </font>
      <numFmt numFmtId="30" formatCode="@"/>
      <fill>
        <patternFill patternType="solid">
          <fgColor indexed="64"/>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14"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family val="2"/>
        <scheme val="minor"/>
      </font>
      <numFmt numFmtId="30" formatCode="@"/>
      <fill>
        <patternFill patternType="solid">
          <fgColor indexed="64"/>
          <bgColor theme="0"/>
        </patternFill>
      </fill>
      <alignment horizontal="general" vertical="bottom" textRotation="0" wrapText="0" indent="0" justifyLastLine="0" shrinkToFit="0" readingOrder="0"/>
    </dxf>
    <dxf>
      <font>
        <strike val="0"/>
        <outline val="0"/>
        <shadow val="0"/>
        <u val="none"/>
        <vertAlign val="baseline"/>
        <sz val="11"/>
        <color rgb="FF000000"/>
        <name val="Calibri"/>
        <family val="2"/>
        <scheme val="minor"/>
      </font>
      <fill>
        <patternFill patternType="solid">
          <fgColor indexed="64"/>
          <bgColor theme="0"/>
        </patternFill>
      </fill>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59"/>
      <tableStyleElement type="headerRow" dxfId="58"/>
      <tableStyleElement type="firstRowStripe" dxfId="57"/>
      <tableStyleElement type="secondRowStripe" dxfId="56"/>
    </tableStyle>
    <tableStyle name="ToDoList" pivot="0" count="9" xr9:uid="{00000000-0011-0000-FFFF-FFFF00000000}">
      <tableStyleElement type="wholeTable" dxfId="55"/>
      <tableStyleElement type="headerRow" dxfId="54"/>
      <tableStyleElement type="totalRow" dxfId="53"/>
      <tableStyleElement type="firstColumn" dxfId="52"/>
      <tableStyleElement type="lastColumn" dxfId="51"/>
      <tableStyleElement type="firstRowStripe" dxfId="50"/>
      <tableStyleElement type="secondRowStripe" dxfId="49"/>
      <tableStyleElement type="firstColumnStripe" dxfId="48"/>
      <tableStyleElement type="secondColumnStripe" dxfId="4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63500</xdr:rowOff>
        </xdr:from>
        <xdr:to>
          <xdr:col>63</xdr:col>
          <xdr:colOff>228600</xdr:colOff>
          <xdr:row>7</xdr:row>
          <xdr:rowOff>234950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52972D90-5199-4974-9307-50693D39D6F1}" autoFormatId="16" applyNumberFormats="0" applyBorderFormats="0" applyFontFormats="0" applyPatternFormats="0" applyAlignmentFormats="0" applyWidthHeightFormats="0">
  <queryTableRefresh nextId="15">
    <queryTableFields count="14">
      <queryTableField id="1" name="Tiêu đề" tableColumnId="1"/>
      <queryTableField id="2" name="ProjectStart" tableColumnId="2"/>
      <queryTableField id="3" name="ProjectDue" tableColumnId="3"/>
      <queryTableField id="4" name="TaskStart" tableColumnId="4"/>
      <queryTableField id="5" name="TaskDue" tableColumnId="5"/>
      <queryTableField id="6" name="Progress" tableColumnId="6"/>
      <queryTableField id="7" name="TaskType" tableColumnId="7"/>
      <queryTableField id="8" name="AssignedToUser" tableColumnId="8"/>
      <queryTableField id="9" name="TaskDescription" tableColumnId="9"/>
      <queryTableField id="10" name="Category" tableColumnId="10"/>
      <queryTableField id="11" name="Owner" tableColumnId="11"/>
      <queryTableField id="12" name="Priority" tableColumnId="12"/>
      <queryTableField id="14" name="Loại Khoản mục" tableColumnId="13"/>
      <queryTableField id="13" name="Đường dẫn"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7E7C2E-94E4-440F-9E81-44B4B4D9EB1D}" name="tblData" displayName="tblData" ref="A1:N13" tableType="queryTable" totalsRowShown="0" dataDxfId="38">
  <autoFilter ref="A1:N13" xr:uid="{577E7C2E-94E4-440F-9E81-44B4B4D9EB1D}"/>
  <tableColumns count="14">
    <tableColumn id="1" xr3:uid="{ACADD4D1-CF40-41DC-B1DF-841096F501CF}" uniqueName="Title" name="Tiêu đề" queryTableFieldId="1" dataDxfId="37"/>
    <tableColumn id="2" xr3:uid="{A375070A-B810-4DE5-83A3-8C168FBB4CF5}" uniqueName="ProjectStart" name="ProjectStart" queryTableFieldId="2" dataDxfId="36"/>
    <tableColumn id="3" xr3:uid="{CE4CD049-F63D-4FE7-B2F8-62CB6074B179}" uniqueName="ProjectDue" name="ProjectDue" queryTableFieldId="3" dataDxfId="35"/>
    <tableColumn id="4" xr3:uid="{3E26C5AE-CC87-4B7E-A53F-6F3949A174E8}" uniqueName="TaskStart" name="TaskStart" queryTableFieldId="4" dataDxfId="34"/>
    <tableColumn id="5" xr3:uid="{F7B8077B-83C9-4E0E-A58B-524E2B78F6E3}" uniqueName="TaskDue" name="TaskDue" queryTableFieldId="5" dataDxfId="33"/>
    <tableColumn id="6" xr3:uid="{E5E83167-D5DE-4378-A917-605AC67A6447}" uniqueName="Progress" name="Progress" queryTableFieldId="6" dataDxfId="32"/>
    <tableColumn id="7" xr3:uid="{9CD3059A-7C7F-443A-857F-4DBA33AE1999}" uniqueName="TaskType" name="TaskType" queryTableFieldId="7" dataDxfId="31"/>
    <tableColumn id="8" xr3:uid="{C3F511B2-6554-4737-AA8A-CE7ACF847723}" uniqueName="AssignedToUser" name="AssignedToUser" queryTableFieldId="8" dataDxfId="30"/>
    <tableColumn id="9" xr3:uid="{349C61EC-122D-462E-A294-2514BDA7FBB1}" uniqueName="TaskDescription" name="TaskDescription" queryTableFieldId="9" dataDxfId="29"/>
    <tableColumn id="10" xr3:uid="{E15CF451-45AF-4209-B1A3-A151E1D043FF}" uniqueName="Category" name="Category" queryTableFieldId="10" dataDxfId="28"/>
    <tableColumn id="11" xr3:uid="{782D014D-5763-4AB1-9DBC-9E2206D37D89}" uniqueName="Owner" name="Owner" queryTableFieldId="11" dataDxfId="27"/>
    <tableColumn id="12" xr3:uid="{C322C927-6A93-4C57-80A5-D843FEFF3669}" uniqueName="Priority" name="Priority" queryTableFieldId="12" dataDxfId="26"/>
    <tableColumn id="13" xr3:uid="{D45A9FEA-0CB3-44B8-8A82-AB980977D167}" uniqueName="FSObjType" name="Loại Khoản mục" queryTableFieldId="14" dataDxfId="25"/>
    <tableColumn id="14" xr3:uid="{AA6EC246-52DA-49EE-B06F-4E7C977965F8}" uniqueName="FileDirRef" name="Đường dẫn" queryTableFieldId="13" dataDxfId="24"/>
  </tableColumns>
  <tableStyleInfo name="Gantt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49" totalsRowShown="0" headerRowDxfId="46" dataDxfId="45">
  <autoFilter ref="B9:G49"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44"/>
    <tableColumn id="2" xr3:uid="{39BD914E-FB02-4352-846C-6D59624DC0B0}" name="Category" dataDxfId="43"/>
    <tableColumn id="3" xr3:uid="{D274194F-BCA0-44F3-84B2-217254EE241C}" name="Assigned to" dataDxfId="39"/>
    <tableColumn id="4" xr3:uid="{8385BC6F-56EE-4363-A106-8DB0A1E4EF5A}" name="Progress" dataDxfId="42"/>
    <tableColumn id="5" xr3:uid="{02926609-7B93-4B6F-BE96-92EC7A949E4B}" name="Start" dataDxfId="41" dataCellStyle="Date"/>
    <tableColumn id="6" xr3:uid="{8FF9BE8E-04B7-4B39-AC27-D2E534204BC3}" name="Days" dataDxfId="4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3EE6-3754-47C8-B09D-92A90BE6701E}">
  <dimension ref="A1:N13"/>
  <sheetViews>
    <sheetView tabSelected="1" zoomScale="55" zoomScaleNormal="55" workbookViewId="0">
      <selection activeCell="H2" sqref="H2"/>
    </sheetView>
  </sheetViews>
  <sheetFormatPr defaultRowHeight="14.5" x14ac:dyDescent="0.35"/>
  <cols>
    <col min="1" max="1" width="42.54296875" bestFit="1" customWidth="1"/>
    <col min="2" max="2" width="12.7265625" bestFit="1" customWidth="1"/>
    <col min="3" max="3" width="12.1796875" bestFit="1" customWidth="1"/>
    <col min="4" max="4" width="10.7265625" bestFit="1" customWidth="1"/>
    <col min="5" max="6" width="10.1796875" bestFit="1" customWidth="1"/>
    <col min="7" max="7" width="10.81640625" bestFit="1" customWidth="1"/>
    <col min="8" max="8" width="22.08984375" customWidth="1"/>
    <col min="9" max="9" width="80.7265625" bestFit="1" customWidth="1"/>
    <col min="10" max="10" width="42.90625" customWidth="1"/>
    <col min="11" max="11" width="28.7265625" customWidth="1"/>
    <col min="12" max="12" width="9.08984375" bestFit="1" customWidth="1"/>
    <col min="13" max="13" width="16.26953125" bestFit="1" customWidth="1"/>
    <col min="14" max="14" width="31.81640625" customWidth="1"/>
  </cols>
  <sheetData>
    <row r="1" spans="1:14" x14ac:dyDescent="0.35">
      <c r="A1" t="s">
        <v>16</v>
      </c>
      <c r="B1" s="72" t="s">
        <v>17</v>
      </c>
      <c r="C1" s="72" t="s">
        <v>18</v>
      </c>
      <c r="D1" s="72" t="s">
        <v>19</v>
      </c>
      <c r="E1" s="72" t="s">
        <v>20</v>
      </c>
      <c r="F1" s="72" t="s">
        <v>1</v>
      </c>
      <c r="G1" s="72" t="s">
        <v>21</v>
      </c>
      <c r="H1" s="72" t="s">
        <v>22</v>
      </c>
      <c r="I1" s="72" t="s">
        <v>23</v>
      </c>
      <c r="J1" s="72" t="s">
        <v>0</v>
      </c>
      <c r="K1" s="72" t="s">
        <v>24</v>
      </c>
      <c r="L1" s="72" t="s">
        <v>25</v>
      </c>
      <c r="M1" s="72" t="s">
        <v>27</v>
      </c>
      <c r="N1" s="72" t="s">
        <v>26</v>
      </c>
    </row>
    <row r="2" spans="1:14" x14ac:dyDescent="0.35">
      <c r="A2" s="71" t="s">
        <v>28</v>
      </c>
      <c r="B2" s="73">
        <v>46023</v>
      </c>
      <c r="C2" s="73">
        <v>46387</v>
      </c>
      <c r="D2" s="73">
        <v>46023</v>
      </c>
      <c r="E2" s="73">
        <v>46053</v>
      </c>
      <c r="F2" s="74">
        <v>1</v>
      </c>
      <c r="G2" s="75" t="s">
        <v>29</v>
      </c>
      <c r="H2" s="75" t="s">
        <v>30</v>
      </c>
      <c r="I2" s="76" t="s">
        <v>31</v>
      </c>
      <c r="J2" s="75" t="s">
        <v>32</v>
      </c>
      <c r="K2" s="77" t="s">
        <v>33</v>
      </c>
      <c r="L2" s="75" t="s">
        <v>34</v>
      </c>
      <c r="M2" s="77" t="s">
        <v>36</v>
      </c>
      <c r="N2" s="77" t="s">
        <v>35</v>
      </c>
    </row>
    <row r="3" spans="1:14" x14ac:dyDescent="0.35">
      <c r="A3" s="71" t="s">
        <v>37</v>
      </c>
      <c r="B3" s="73">
        <v>46023</v>
      </c>
      <c r="C3" s="73">
        <v>46387</v>
      </c>
      <c r="D3" s="73">
        <v>46023</v>
      </c>
      <c r="E3" s="73">
        <v>46037</v>
      </c>
      <c r="F3" s="74">
        <v>0.5</v>
      </c>
      <c r="G3" s="75" t="s">
        <v>29</v>
      </c>
      <c r="H3" s="75"/>
      <c r="I3" s="76" t="s">
        <v>31</v>
      </c>
      <c r="J3" s="75" t="s">
        <v>32</v>
      </c>
      <c r="K3" s="77" t="s">
        <v>33</v>
      </c>
      <c r="L3" s="75" t="s">
        <v>34</v>
      </c>
      <c r="M3" s="77" t="s">
        <v>36</v>
      </c>
      <c r="N3" s="77" t="s">
        <v>35</v>
      </c>
    </row>
    <row r="4" spans="1:14" x14ac:dyDescent="0.35">
      <c r="A4" s="71" t="s">
        <v>38</v>
      </c>
      <c r="B4" s="73">
        <v>46023</v>
      </c>
      <c r="C4" s="73">
        <v>46387</v>
      </c>
      <c r="D4" s="73">
        <v>46023</v>
      </c>
      <c r="E4" s="73">
        <v>46032</v>
      </c>
      <c r="F4" s="74">
        <v>1</v>
      </c>
      <c r="G4" s="75" t="s">
        <v>29</v>
      </c>
      <c r="H4" s="75"/>
      <c r="I4" s="76" t="s">
        <v>31</v>
      </c>
      <c r="J4" s="75" t="s">
        <v>32</v>
      </c>
      <c r="K4" s="77" t="s">
        <v>33</v>
      </c>
      <c r="L4" s="75" t="s">
        <v>34</v>
      </c>
      <c r="M4" s="77" t="s">
        <v>36</v>
      </c>
      <c r="N4" s="77" t="s">
        <v>35</v>
      </c>
    </row>
    <row r="5" spans="1:14" x14ac:dyDescent="0.35">
      <c r="A5" s="71" t="s">
        <v>39</v>
      </c>
      <c r="B5" s="73">
        <v>46023</v>
      </c>
      <c r="C5" s="73">
        <v>46387</v>
      </c>
      <c r="D5" s="73">
        <v>46037</v>
      </c>
      <c r="E5" s="73">
        <v>46053</v>
      </c>
      <c r="F5" s="74">
        <v>0</v>
      </c>
      <c r="G5" s="75" t="s">
        <v>29</v>
      </c>
      <c r="H5" s="75"/>
      <c r="I5" s="76" t="s">
        <v>31</v>
      </c>
      <c r="J5" s="75" t="s">
        <v>32</v>
      </c>
      <c r="K5" s="77" t="s">
        <v>33</v>
      </c>
      <c r="L5" s="75" t="s">
        <v>34</v>
      </c>
      <c r="M5" s="77" t="s">
        <v>36</v>
      </c>
      <c r="N5" s="77" t="s">
        <v>35</v>
      </c>
    </row>
    <row r="6" spans="1:14" x14ac:dyDescent="0.35">
      <c r="A6" s="71" t="s">
        <v>40</v>
      </c>
      <c r="B6" s="73">
        <v>46023</v>
      </c>
      <c r="C6" s="73">
        <v>46387</v>
      </c>
      <c r="D6" s="73">
        <v>46054</v>
      </c>
      <c r="E6" s="73">
        <v>46081</v>
      </c>
      <c r="F6" s="74">
        <v>0.25</v>
      </c>
      <c r="G6" s="75" t="s">
        <v>29</v>
      </c>
      <c r="H6" s="75"/>
      <c r="I6" s="76" t="s">
        <v>31</v>
      </c>
      <c r="J6" s="75" t="s">
        <v>32</v>
      </c>
      <c r="K6" s="77" t="s">
        <v>33</v>
      </c>
      <c r="L6" s="75" t="s">
        <v>34</v>
      </c>
      <c r="M6" s="77" t="s">
        <v>36</v>
      </c>
      <c r="N6" s="77" t="s">
        <v>35</v>
      </c>
    </row>
    <row r="7" spans="1:14" x14ac:dyDescent="0.35">
      <c r="A7" s="71" t="s">
        <v>41</v>
      </c>
      <c r="B7" s="73">
        <v>46023</v>
      </c>
      <c r="C7" s="73">
        <v>46387</v>
      </c>
      <c r="D7" s="73">
        <v>46054</v>
      </c>
      <c r="E7" s="73">
        <v>46067</v>
      </c>
      <c r="F7" s="74">
        <v>0.5</v>
      </c>
      <c r="G7" s="75" t="s">
        <v>29</v>
      </c>
      <c r="H7" s="75"/>
      <c r="I7" s="76" t="s">
        <v>31</v>
      </c>
      <c r="J7" s="75" t="s">
        <v>32</v>
      </c>
      <c r="K7" s="77" t="s">
        <v>33</v>
      </c>
      <c r="L7" s="75" t="s">
        <v>34</v>
      </c>
      <c r="M7" s="77" t="s">
        <v>36</v>
      </c>
      <c r="N7" s="77" t="s">
        <v>35</v>
      </c>
    </row>
    <row r="8" spans="1:14" x14ac:dyDescent="0.35">
      <c r="A8" s="71" t="s">
        <v>42</v>
      </c>
      <c r="B8" s="73">
        <v>46023</v>
      </c>
      <c r="C8" s="73">
        <v>46387</v>
      </c>
      <c r="D8" s="73">
        <v>46067</v>
      </c>
      <c r="E8" s="73">
        <v>46081</v>
      </c>
      <c r="F8" s="74">
        <v>1</v>
      </c>
      <c r="G8" s="75" t="s">
        <v>29</v>
      </c>
      <c r="H8" s="75"/>
      <c r="I8" s="76" t="s">
        <v>31</v>
      </c>
      <c r="J8" s="75" t="s">
        <v>32</v>
      </c>
      <c r="K8" s="77" t="s">
        <v>33</v>
      </c>
      <c r="L8" s="75" t="s">
        <v>34</v>
      </c>
      <c r="M8" s="77" t="s">
        <v>36</v>
      </c>
      <c r="N8" s="77" t="s">
        <v>35</v>
      </c>
    </row>
    <row r="9" spans="1:14" x14ac:dyDescent="0.35">
      <c r="A9" s="71" t="s">
        <v>43</v>
      </c>
      <c r="B9" s="73">
        <v>46023</v>
      </c>
      <c r="C9" s="73">
        <v>46387</v>
      </c>
      <c r="D9" s="73">
        <v>46067</v>
      </c>
      <c r="E9" s="73">
        <v>46077</v>
      </c>
      <c r="F9" s="74">
        <v>0.5</v>
      </c>
      <c r="G9" s="75" t="s">
        <v>29</v>
      </c>
      <c r="H9" s="75"/>
      <c r="I9" s="76" t="s">
        <v>44</v>
      </c>
      <c r="J9" s="75" t="s">
        <v>45</v>
      </c>
      <c r="K9" s="77" t="s">
        <v>46</v>
      </c>
      <c r="L9" s="75" t="s">
        <v>34</v>
      </c>
      <c r="M9" s="77" t="s">
        <v>36</v>
      </c>
      <c r="N9" s="77" t="s">
        <v>35</v>
      </c>
    </row>
    <row r="10" spans="1:14" x14ac:dyDescent="0.35">
      <c r="A10" s="71" t="s">
        <v>47</v>
      </c>
      <c r="B10" s="73">
        <v>46023</v>
      </c>
      <c r="C10" s="73">
        <v>46387</v>
      </c>
      <c r="D10" s="73">
        <v>46023</v>
      </c>
      <c r="E10" s="73">
        <v>46054</v>
      </c>
      <c r="F10" s="74">
        <v>0.5</v>
      </c>
      <c r="G10" s="75" t="s">
        <v>29</v>
      </c>
      <c r="H10" s="75"/>
      <c r="I10" s="76" t="s">
        <v>44</v>
      </c>
      <c r="J10" s="75" t="s">
        <v>45</v>
      </c>
      <c r="K10" s="77" t="s">
        <v>46</v>
      </c>
      <c r="L10" s="75" t="s">
        <v>34</v>
      </c>
      <c r="M10" s="77" t="s">
        <v>36</v>
      </c>
      <c r="N10" s="77" t="s">
        <v>35</v>
      </c>
    </row>
    <row r="11" spans="1:14" ht="29" x14ac:dyDescent="0.35">
      <c r="A11" s="71" t="s">
        <v>48</v>
      </c>
      <c r="B11" s="73">
        <v>46023</v>
      </c>
      <c r="C11" s="73">
        <v>46387</v>
      </c>
      <c r="D11" s="73">
        <v>46037</v>
      </c>
      <c r="E11" s="73">
        <v>46061</v>
      </c>
      <c r="F11" s="74">
        <v>0.5</v>
      </c>
      <c r="G11" s="75" t="s">
        <v>29</v>
      </c>
      <c r="H11" s="75"/>
      <c r="I11" s="76" t="s">
        <v>49</v>
      </c>
      <c r="J11" s="75" t="s">
        <v>50</v>
      </c>
      <c r="K11" s="77" t="s">
        <v>51</v>
      </c>
      <c r="L11" s="75" t="s">
        <v>34</v>
      </c>
      <c r="M11" s="77" t="s">
        <v>36</v>
      </c>
      <c r="N11" s="77" t="s">
        <v>35</v>
      </c>
    </row>
    <row r="12" spans="1:14" ht="29" x14ac:dyDescent="0.35">
      <c r="A12" s="71" t="s">
        <v>52</v>
      </c>
      <c r="B12" s="73">
        <v>46023</v>
      </c>
      <c r="C12" s="73">
        <v>46387</v>
      </c>
      <c r="D12" s="73">
        <v>46023</v>
      </c>
      <c r="E12" s="73">
        <v>46034</v>
      </c>
      <c r="F12" s="74">
        <v>0.75</v>
      </c>
      <c r="G12" s="75" t="s">
        <v>29</v>
      </c>
      <c r="H12" s="75"/>
      <c r="I12" s="76" t="s">
        <v>49</v>
      </c>
      <c r="J12" s="75" t="s">
        <v>50</v>
      </c>
      <c r="K12" s="77" t="s">
        <v>51</v>
      </c>
      <c r="L12" s="75" t="s">
        <v>34</v>
      </c>
      <c r="M12" s="77" t="s">
        <v>36</v>
      </c>
      <c r="N12" s="77" t="s">
        <v>35</v>
      </c>
    </row>
    <row r="13" spans="1:14" x14ac:dyDescent="0.35">
      <c r="A13" s="71" t="s">
        <v>42</v>
      </c>
      <c r="B13" s="73">
        <v>46023</v>
      </c>
      <c r="C13" s="73">
        <v>46387</v>
      </c>
      <c r="D13" s="73">
        <v>46023</v>
      </c>
      <c r="E13" s="73">
        <v>46081</v>
      </c>
      <c r="F13" s="74">
        <v>0.5</v>
      </c>
      <c r="G13" s="75" t="s">
        <v>29</v>
      </c>
      <c r="H13" s="75"/>
      <c r="I13" s="76" t="s">
        <v>31</v>
      </c>
      <c r="J13" s="75" t="s">
        <v>32</v>
      </c>
      <c r="K13" s="77" t="s">
        <v>33</v>
      </c>
      <c r="L13" s="75" t="s">
        <v>34</v>
      </c>
      <c r="M13" s="77" t="s">
        <v>36</v>
      </c>
      <c r="N13" s="77"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51"/>
  <sheetViews>
    <sheetView showGridLines="0" showRuler="0" topLeftCell="A17" zoomScale="55" zoomScaleNormal="55" zoomScalePageLayoutView="70" workbookViewId="0">
      <selection activeCell="D4" sqref="D4"/>
    </sheetView>
  </sheetViews>
  <sheetFormatPr defaultColWidth="8.90625" defaultRowHeight="30" customHeight="1" x14ac:dyDescent="0.35"/>
  <cols>
    <col min="1" max="1" width="4.81640625" style="6" customWidth="1"/>
    <col min="2" max="2" width="30.81640625" customWidth="1"/>
    <col min="3" max="3" width="13.36328125" bestFit="1" customWidth="1"/>
    <col min="4" max="4" width="20.54296875" customWidth="1"/>
    <col min="5" max="5" width="15.81640625" customWidth="1"/>
    <col min="6" max="6" width="10.453125" style="2" customWidth="1"/>
    <col min="7" max="7" width="15.90625" customWidth="1"/>
    <col min="8" max="8" width="2.6328125" customWidth="1"/>
    <col min="9" max="64" width="3.54296875" customWidth="1"/>
    <col min="65" max="65" width="2.6328125" customWidth="1"/>
  </cols>
  <sheetData>
    <row r="1" spans="1:68" ht="25" customHeight="1" x14ac:dyDescent="0.35"/>
    <row r="2" spans="1:68" ht="50" customHeight="1" x14ac:dyDescent="0.35">
      <c r="A2" s="7"/>
      <c r="B2" s="65" t="s">
        <v>60</v>
      </c>
      <c r="C2" s="65"/>
      <c r="D2" s="65"/>
      <c r="E2" s="65"/>
      <c r="F2" s="65"/>
      <c r="G2" s="65"/>
      <c r="H2" s="65"/>
      <c r="I2" s="66"/>
      <c r="J2" s="66"/>
      <c r="K2" s="66"/>
      <c r="L2" s="66"/>
      <c r="M2" s="66"/>
      <c r="N2" s="66"/>
      <c r="O2" s="67"/>
      <c r="P2" s="67"/>
      <c r="Q2" s="67"/>
      <c r="R2" s="67"/>
      <c r="S2" s="67"/>
      <c r="T2" s="67"/>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row>
    <row r="3" spans="1:68" ht="20" customHeight="1" x14ac:dyDescent="0.35">
      <c r="A3" s="7"/>
      <c r="B3" s="23"/>
      <c r="C3" s="24"/>
      <c r="D3" s="25"/>
      <c r="E3" s="25"/>
      <c r="F3" s="26"/>
      <c r="G3" s="25"/>
      <c r="H3" s="25"/>
      <c r="I3" s="38"/>
      <c r="J3" s="1"/>
      <c r="K3" s="1"/>
      <c r="L3" s="1"/>
    </row>
    <row r="4" spans="1:68" ht="30" customHeight="1" x14ac:dyDescent="0.35">
      <c r="A4" s="7"/>
      <c r="B4" s="27" t="s">
        <v>58</v>
      </c>
      <c r="C4" s="28"/>
      <c r="D4" s="29"/>
      <c r="E4" s="30"/>
      <c r="F4" s="31"/>
      <c r="G4" s="32" t="s">
        <v>4</v>
      </c>
      <c r="H4" s="30"/>
      <c r="I4" s="68" t="s">
        <v>9</v>
      </c>
      <c r="J4" s="68"/>
      <c r="K4" s="68"/>
      <c r="L4" s="68"/>
      <c r="N4" s="69" t="s">
        <v>10</v>
      </c>
      <c r="O4" s="69"/>
      <c r="P4" s="69"/>
      <c r="Q4" s="69"/>
      <c r="S4" s="70" t="s">
        <v>11</v>
      </c>
      <c r="T4" s="70"/>
      <c r="U4" s="70"/>
      <c r="V4" s="70"/>
      <c r="X4" s="63" t="s">
        <v>12</v>
      </c>
      <c r="Y4" s="63"/>
      <c r="Z4" s="63"/>
      <c r="AA4" s="63"/>
      <c r="AC4" s="64" t="s">
        <v>5</v>
      </c>
      <c r="AD4" s="64"/>
      <c r="AE4" s="64"/>
      <c r="AF4" s="64"/>
    </row>
    <row r="5" spans="1:68" ht="30" customHeight="1" x14ac:dyDescent="0.35">
      <c r="A5" s="7"/>
      <c r="B5" s="62" t="s">
        <v>59</v>
      </c>
      <c r="C5" s="29"/>
      <c r="D5" s="29"/>
      <c r="E5" s="30"/>
      <c r="F5" s="31"/>
      <c r="G5" s="30"/>
      <c r="H5" s="30"/>
    </row>
    <row r="6" spans="1:68" ht="30" customHeight="1" x14ac:dyDescent="0.5">
      <c r="A6" s="7"/>
      <c r="B6" s="33" t="s">
        <v>14</v>
      </c>
      <c r="C6" s="34">
        <v>46023</v>
      </c>
      <c r="D6" s="35"/>
      <c r="E6" s="30"/>
      <c r="F6" s="31"/>
      <c r="G6" s="30"/>
      <c r="H6" s="30"/>
      <c r="I6" s="45" t="str">
        <f ca="1">TEXT(I7,"mmmm")</f>
        <v>January</v>
      </c>
      <c r="J6" s="45"/>
      <c r="K6" s="45"/>
      <c r="L6" s="45"/>
      <c r="M6" s="45"/>
      <c r="N6" s="45"/>
      <c r="O6" s="45"/>
      <c r="P6" s="45" t="str">
        <f ca="1">IF(TEXT(P7,"mmmm")=I6,"",TEXT(P7,"mmmm"))</f>
        <v/>
      </c>
      <c r="Q6" s="45"/>
      <c r="R6" s="45"/>
      <c r="S6" s="45"/>
      <c r="T6" s="45"/>
      <c r="U6" s="45"/>
      <c r="V6" s="45"/>
      <c r="W6" s="45" t="str">
        <f ca="1">IF(OR(TEXT(W7,"mmmm")=P6,TEXT(W7,"mmmm")=I6),"",TEXT(W7,"mmmm"))</f>
        <v/>
      </c>
      <c r="X6" s="45"/>
      <c r="Y6" s="45"/>
      <c r="Z6" s="45"/>
      <c r="AA6" s="45"/>
      <c r="AB6" s="45"/>
      <c r="AC6" s="45"/>
      <c r="AD6" s="45" t="str">
        <f ca="1">IF(OR(TEXT(AD7,"mmmm")=W6,TEXT(AD7,"mmmm")=P6,TEXT(AD7,"mmmm")=I6),"",TEXT(AD7,"mmmm"))</f>
        <v/>
      </c>
      <c r="AE6" s="45"/>
      <c r="AF6" s="45"/>
      <c r="AG6" s="45"/>
      <c r="AH6" s="45"/>
      <c r="AI6" s="45"/>
      <c r="AJ6" s="45"/>
      <c r="AK6" s="45" t="str">
        <f ca="1">IF(OR(TEXT(AK7,"mmmm")=AD6,TEXT(AK7,"mmmm")=W6,TEXT(AK7,"mmmm")=P6,TEXT(AK7,"mmmm")=I6),"",TEXT(AK7,"mmmm"))</f>
        <v/>
      </c>
      <c r="AL6" s="45"/>
      <c r="AM6" s="45"/>
      <c r="AN6" s="45"/>
      <c r="AO6" s="45"/>
      <c r="AP6" s="45"/>
      <c r="AQ6" s="45"/>
      <c r="AR6" s="45" t="str">
        <f ca="1">IF(OR(TEXT(AR7,"mmmm")=AK6,TEXT(AR7,"mmmm")=AD6,TEXT(AR7,"mmmm")=W6,TEXT(AR7,"mmmm")=P6),"",TEXT(AR7,"mmmm"))</f>
        <v>February</v>
      </c>
      <c r="AS6" s="45"/>
      <c r="AT6" s="45"/>
      <c r="AU6" s="45"/>
      <c r="AV6" s="45"/>
      <c r="AW6" s="45"/>
      <c r="AX6" s="46"/>
      <c r="AY6" s="46" t="str">
        <f ca="1">IF(OR(TEXT(AY7,"mmmm")=AR6,TEXT(AY7,"mmmm")=AK6,TEXT(AY7,"mmmm")=AD6,TEXT(AY7,"mmmm")=W6),"",TEXT(AY7,"mmmm"))</f>
        <v/>
      </c>
      <c r="AZ6" s="46"/>
      <c r="BA6" s="46"/>
      <c r="BB6" s="47"/>
      <c r="BC6" s="44"/>
      <c r="BD6" s="44"/>
      <c r="BE6" s="44"/>
      <c r="BF6" s="44" t="str">
        <f ca="1">IF(OR(TEXT(BF7,"mmmm")=AY6,TEXT(BF7,"mmmm")=AR6,TEXT(BF7,"mmmm")=AK6,TEXT(BF7,"mmmm")=AD6),"",TEXT(BF7,"mmmm"))</f>
        <v/>
      </c>
      <c r="BG6" s="44"/>
      <c r="BH6" s="44"/>
      <c r="BI6" s="44"/>
      <c r="BJ6" s="44"/>
      <c r="BK6" s="44"/>
      <c r="BL6" s="44"/>
    </row>
    <row r="7" spans="1:68" ht="30" customHeight="1" x14ac:dyDescent="0.35">
      <c r="A7" s="7"/>
      <c r="B7" s="33" t="s">
        <v>15</v>
      </c>
      <c r="C7" s="36">
        <v>0</v>
      </c>
      <c r="D7" s="29"/>
      <c r="E7" s="30"/>
      <c r="F7" s="30"/>
      <c r="G7" s="30"/>
      <c r="H7" s="37"/>
      <c r="I7" s="48">
        <f ca="1">IFERROR(Project_Start+Scrolling_Increment,TODAY())</f>
        <v>46023</v>
      </c>
      <c r="J7" s="49">
        <f ca="1">I7+1</f>
        <v>46024</v>
      </c>
      <c r="K7" s="49">
        <f t="shared" ref="K7:AX7" ca="1" si="0">J7+1</f>
        <v>46025</v>
      </c>
      <c r="L7" s="49">
        <f t="shared" ca="1" si="0"/>
        <v>46026</v>
      </c>
      <c r="M7" s="49">
        <f t="shared" ca="1" si="0"/>
        <v>46027</v>
      </c>
      <c r="N7" s="49">
        <f t="shared" ca="1" si="0"/>
        <v>46028</v>
      </c>
      <c r="O7" s="50">
        <f t="shared" ca="1" si="0"/>
        <v>46029</v>
      </c>
      <c r="P7" s="49">
        <f ca="1">O7+1</f>
        <v>46030</v>
      </c>
      <c r="Q7" s="49">
        <f ca="1">P7+1</f>
        <v>46031</v>
      </c>
      <c r="R7" s="49">
        <f t="shared" ca="1" si="0"/>
        <v>46032</v>
      </c>
      <c r="S7" s="49">
        <f t="shared" ca="1" si="0"/>
        <v>46033</v>
      </c>
      <c r="T7" s="49">
        <f t="shared" ca="1" si="0"/>
        <v>46034</v>
      </c>
      <c r="U7" s="49">
        <f t="shared" ca="1" si="0"/>
        <v>46035</v>
      </c>
      <c r="V7" s="50">
        <f t="shared" ca="1" si="0"/>
        <v>46036</v>
      </c>
      <c r="W7" s="49">
        <f ca="1">V7+1</f>
        <v>46037</v>
      </c>
      <c r="X7" s="49">
        <f ca="1">W7+1</f>
        <v>46038</v>
      </c>
      <c r="Y7" s="49">
        <f t="shared" ca="1" si="0"/>
        <v>46039</v>
      </c>
      <c r="Z7" s="49">
        <f t="shared" ca="1" si="0"/>
        <v>46040</v>
      </c>
      <c r="AA7" s="49">
        <f t="shared" ca="1" si="0"/>
        <v>46041</v>
      </c>
      <c r="AB7" s="49">
        <f t="shared" ca="1" si="0"/>
        <v>46042</v>
      </c>
      <c r="AC7" s="50">
        <f t="shared" ca="1" si="0"/>
        <v>46043</v>
      </c>
      <c r="AD7" s="49">
        <f ca="1">AC7+1</f>
        <v>46044</v>
      </c>
      <c r="AE7" s="49">
        <f ca="1">AD7+1</f>
        <v>46045</v>
      </c>
      <c r="AF7" s="49">
        <f t="shared" ca="1" si="0"/>
        <v>46046</v>
      </c>
      <c r="AG7" s="49">
        <f t="shared" ca="1" si="0"/>
        <v>46047</v>
      </c>
      <c r="AH7" s="49">
        <f t="shared" ca="1" si="0"/>
        <v>46048</v>
      </c>
      <c r="AI7" s="49">
        <f t="shared" ca="1" si="0"/>
        <v>46049</v>
      </c>
      <c r="AJ7" s="50">
        <f t="shared" ca="1" si="0"/>
        <v>46050</v>
      </c>
      <c r="AK7" s="49">
        <f ca="1">AJ7+1</f>
        <v>46051</v>
      </c>
      <c r="AL7" s="49">
        <f ca="1">AK7+1</f>
        <v>46052</v>
      </c>
      <c r="AM7" s="49">
        <f t="shared" ca="1" si="0"/>
        <v>46053</v>
      </c>
      <c r="AN7" s="49">
        <f t="shared" ca="1" si="0"/>
        <v>46054</v>
      </c>
      <c r="AO7" s="49">
        <f t="shared" ca="1" si="0"/>
        <v>46055</v>
      </c>
      <c r="AP7" s="49">
        <f t="shared" ca="1" si="0"/>
        <v>46056</v>
      </c>
      <c r="AQ7" s="50">
        <f t="shared" ca="1" si="0"/>
        <v>46057</v>
      </c>
      <c r="AR7" s="49">
        <f ca="1">AQ7+1</f>
        <v>46058</v>
      </c>
      <c r="AS7" s="49">
        <f ca="1">AR7+1</f>
        <v>46059</v>
      </c>
      <c r="AT7" s="49">
        <f t="shared" ca="1" si="0"/>
        <v>46060</v>
      </c>
      <c r="AU7" s="49">
        <f t="shared" ca="1" si="0"/>
        <v>46061</v>
      </c>
      <c r="AV7" s="49">
        <f t="shared" ca="1" si="0"/>
        <v>46062</v>
      </c>
      <c r="AW7" s="49">
        <f t="shared" ca="1" si="0"/>
        <v>46063</v>
      </c>
      <c r="AX7" s="50">
        <f t="shared" ca="1" si="0"/>
        <v>46064</v>
      </c>
      <c r="AY7" s="49">
        <f ca="1">AX7+1</f>
        <v>46065</v>
      </c>
      <c r="AZ7" s="49">
        <f ca="1">AY7+1</f>
        <v>46066</v>
      </c>
      <c r="BA7" s="49">
        <f t="shared" ref="BA7:BE7" ca="1" si="1">AZ7+1</f>
        <v>46067</v>
      </c>
      <c r="BB7" s="49">
        <f t="shared" ca="1" si="1"/>
        <v>46068</v>
      </c>
      <c r="BC7" s="49">
        <f t="shared" ca="1" si="1"/>
        <v>46069</v>
      </c>
      <c r="BD7" s="49">
        <f t="shared" ca="1" si="1"/>
        <v>46070</v>
      </c>
      <c r="BE7" s="50">
        <f t="shared" ca="1" si="1"/>
        <v>46071</v>
      </c>
      <c r="BF7" s="49">
        <f ca="1">BE7+1</f>
        <v>46072</v>
      </c>
      <c r="BG7" s="49">
        <f ca="1">BF7+1</f>
        <v>46073</v>
      </c>
      <c r="BH7" s="49">
        <f t="shared" ref="BH7:BL7" ca="1" si="2">BG7+1</f>
        <v>46074</v>
      </c>
      <c r="BI7" s="49">
        <f t="shared" ca="1" si="2"/>
        <v>46075</v>
      </c>
      <c r="BJ7" s="49">
        <f t="shared" ca="1" si="2"/>
        <v>46076</v>
      </c>
      <c r="BK7" s="49">
        <f t="shared" ca="1" si="2"/>
        <v>46077</v>
      </c>
      <c r="BL7" s="50">
        <f t="shared" ca="1" si="2"/>
        <v>46078</v>
      </c>
    </row>
    <row r="8" spans="1:68" ht="20" customHeight="1" x14ac:dyDescent="0.35">
      <c r="A8" s="7"/>
      <c r="B8" s="29"/>
      <c r="C8" s="29"/>
      <c r="D8" s="29"/>
      <c r="E8" s="30"/>
      <c r="F8" s="30"/>
      <c r="G8" s="30"/>
      <c r="H8" s="37"/>
      <c r="I8" s="51"/>
      <c r="J8" s="52"/>
      <c r="K8" s="52"/>
      <c r="L8" s="52"/>
      <c r="M8" s="52"/>
      <c r="N8" s="52"/>
      <c r="O8" s="52"/>
      <c r="P8" s="53"/>
      <c r="Q8" s="52"/>
      <c r="R8" s="52"/>
      <c r="S8" s="52"/>
      <c r="T8" s="52"/>
      <c r="U8" s="52"/>
      <c r="V8" s="54"/>
      <c r="W8" s="52"/>
      <c r="X8" s="52"/>
      <c r="Y8" s="52"/>
      <c r="Z8" s="52"/>
      <c r="AA8" s="52"/>
      <c r="AB8" s="52"/>
      <c r="AC8" s="54"/>
      <c r="AD8" s="52"/>
      <c r="AE8" s="52"/>
      <c r="AF8" s="52"/>
      <c r="AG8" s="52"/>
      <c r="AH8" s="52"/>
      <c r="AI8" s="52"/>
      <c r="AJ8" s="54"/>
      <c r="AK8" s="52"/>
      <c r="AL8" s="52"/>
      <c r="AM8" s="52"/>
      <c r="AN8" s="52"/>
      <c r="AO8" s="52"/>
      <c r="AP8" s="52"/>
      <c r="AQ8" s="54"/>
      <c r="AR8" s="52"/>
      <c r="AS8" s="52"/>
      <c r="AT8" s="52"/>
      <c r="AU8" s="52"/>
      <c r="AV8" s="52"/>
      <c r="AW8" s="52"/>
      <c r="AX8" s="54"/>
      <c r="AY8" s="52"/>
      <c r="AZ8" s="52"/>
      <c r="BA8" s="52"/>
      <c r="BB8" s="52"/>
      <c r="BC8" s="52"/>
      <c r="BD8" s="52"/>
      <c r="BE8" s="54"/>
      <c r="BF8" s="52"/>
      <c r="BG8" s="52"/>
      <c r="BH8" s="52"/>
      <c r="BI8" s="52"/>
      <c r="BJ8" s="52"/>
      <c r="BK8" s="52"/>
      <c r="BL8" s="55"/>
    </row>
    <row r="9" spans="1:68" ht="40" customHeight="1" x14ac:dyDescent="0.35">
      <c r="A9" s="7"/>
      <c r="B9" s="57" t="s">
        <v>6</v>
      </c>
      <c r="C9" s="58" t="s">
        <v>0</v>
      </c>
      <c r="D9" s="58" t="s">
        <v>7</v>
      </c>
      <c r="E9" s="58" t="s">
        <v>1</v>
      </c>
      <c r="F9" s="58" t="s">
        <v>2</v>
      </c>
      <c r="G9" s="58" t="s">
        <v>8</v>
      </c>
      <c r="H9" s="42"/>
      <c r="I9" s="56" t="str">
        <f t="shared" ref="I9:BL9" ca="1" si="3">LEFT(TEXT(I7,"ddd"),1)</f>
        <v>T</v>
      </c>
      <c r="J9" s="56" t="str">
        <f t="shared" ca="1" si="3"/>
        <v>F</v>
      </c>
      <c r="K9" s="56" t="str">
        <f t="shared" ca="1" si="3"/>
        <v>S</v>
      </c>
      <c r="L9" s="56" t="str">
        <f t="shared" ca="1" si="3"/>
        <v>S</v>
      </c>
      <c r="M9" s="56" t="str">
        <f t="shared" ca="1" si="3"/>
        <v>M</v>
      </c>
      <c r="N9" s="56" t="str">
        <f t="shared" ca="1" si="3"/>
        <v>T</v>
      </c>
      <c r="O9" s="56" t="str">
        <f t="shared" ca="1" si="3"/>
        <v>W</v>
      </c>
      <c r="P9" s="56" t="str">
        <f t="shared" ca="1" si="3"/>
        <v>T</v>
      </c>
      <c r="Q9" s="56" t="str">
        <f t="shared" ca="1" si="3"/>
        <v>F</v>
      </c>
      <c r="R9" s="56" t="str">
        <f t="shared" ca="1" si="3"/>
        <v>S</v>
      </c>
      <c r="S9" s="56" t="str">
        <f t="shared" ca="1" si="3"/>
        <v>S</v>
      </c>
      <c r="T9" s="56" t="str">
        <f t="shared" ca="1" si="3"/>
        <v>M</v>
      </c>
      <c r="U9" s="56" t="str">
        <f t="shared" ca="1" si="3"/>
        <v>T</v>
      </c>
      <c r="V9" s="56" t="str">
        <f t="shared" ca="1" si="3"/>
        <v>W</v>
      </c>
      <c r="W9" s="56" t="str">
        <f t="shared" ca="1" si="3"/>
        <v>T</v>
      </c>
      <c r="X9" s="56" t="str">
        <f t="shared" ca="1" si="3"/>
        <v>F</v>
      </c>
      <c r="Y9" s="56" t="str">
        <f t="shared" ca="1" si="3"/>
        <v>S</v>
      </c>
      <c r="Z9" s="56" t="str">
        <f t="shared" ca="1" si="3"/>
        <v>S</v>
      </c>
      <c r="AA9" s="56" t="str">
        <f t="shared" ca="1" si="3"/>
        <v>M</v>
      </c>
      <c r="AB9" s="56" t="str">
        <f t="shared" ca="1" si="3"/>
        <v>T</v>
      </c>
      <c r="AC9" s="56" t="str">
        <f t="shared" ca="1" si="3"/>
        <v>W</v>
      </c>
      <c r="AD9" s="56" t="str">
        <f t="shared" ca="1" si="3"/>
        <v>T</v>
      </c>
      <c r="AE9" s="56" t="str">
        <f t="shared" ca="1" si="3"/>
        <v>F</v>
      </c>
      <c r="AF9" s="56" t="str">
        <f t="shared" ca="1" si="3"/>
        <v>S</v>
      </c>
      <c r="AG9" s="56" t="str">
        <f t="shared" ca="1" si="3"/>
        <v>S</v>
      </c>
      <c r="AH9" s="56" t="str">
        <f t="shared" ca="1" si="3"/>
        <v>M</v>
      </c>
      <c r="AI9" s="56" t="str">
        <f t="shared" ca="1" si="3"/>
        <v>T</v>
      </c>
      <c r="AJ9" s="56" t="str">
        <f t="shared" ca="1" si="3"/>
        <v>W</v>
      </c>
      <c r="AK9" s="56" t="str">
        <f t="shared" ca="1" si="3"/>
        <v>T</v>
      </c>
      <c r="AL9" s="56" t="str">
        <f t="shared" ca="1" si="3"/>
        <v>F</v>
      </c>
      <c r="AM9" s="56" t="str">
        <f t="shared" ca="1" si="3"/>
        <v>S</v>
      </c>
      <c r="AN9" s="56" t="str">
        <f t="shared" ca="1" si="3"/>
        <v>S</v>
      </c>
      <c r="AO9" s="56" t="str">
        <f t="shared" ca="1" si="3"/>
        <v>M</v>
      </c>
      <c r="AP9" s="56" t="str">
        <f t="shared" ca="1" si="3"/>
        <v>T</v>
      </c>
      <c r="AQ9" s="56" t="str">
        <f t="shared" ca="1" si="3"/>
        <v>W</v>
      </c>
      <c r="AR9" s="56" t="str">
        <f t="shared" ca="1" si="3"/>
        <v>T</v>
      </c>
      <c r="AS9" s="56" t="str">
        <f t="shared" ca="1" si="3"/>
        <v>F</v>
      </c>
      <c r="AT9" s="56" t="str">
        <f t="shared" ca="1" si="3"/>
        <v>S</v>
      </c>
      <c r="AU9" s="56" t="str">
        <f t="shared" ca="1" si="3"/>
        <v>S</v>
      </c>
      <c r="AV9" s="56" t="str">
        <f t="shared" ca="1" si="3"/>
        <v>M</v>
      </c>
      <c r="AW9" s="56" t="str">
        <f t="shared" ca="1" si="3"/>
        <v>T</v>
      </c>
      <c r="AX9" s="56" t="str">
        <f t="shared" ca="1" si="3"/>
        <v>W</v>
      </c>
      <c r="AY9" s="56" t="str">
        <f t="shared" ca="1" si="3"/>
        <v>T</v>
      </c>
      <c r="AZ9" s="56" t="str">
        <f t="shared" ca="1" si="3"/>
        <v>F</v>
      </c>
      <c r="BA9" s="56" t="str">
        <f t="shared" ca="1" si="3"/>
        <v>S</v>
      </c>
      <c r="BB9" s="56" t="str">
        <f t="shared" ca="1" si="3"/>
        <v>S</v>
      </c>
      <c r="BC9" s="56" t="str">
        <f t="shared" ca="1" si="3"/>
        <v>M</v>
      </c>
      <c r="BD9" s="56" t="str">
        <f t="shared" ca="1" si="3"/>
        <v>T</v>
      </c>
      <c r="BE9" s="56" t="str">
        <f t="shared" ca="1" si="3"/>
        <v>W</v>
      </c>
      <c r="BF9" s="56" t="str">
        <f t="shared" ca="1" si="3"/>
        <v>T</v>
      </c>
      <c r="BG9" s="56" t="str">
        <f t="shared" ca="1" si="3"/>
        <v>F</v>
      </c>
      <c r="BH9" s="56" t="str">
        <f t="shared" ca="1" si="3"/>
        <v>S</v>
      </c>
      <c r="BI9" s="56" t="str">
        <f t="shared" ca="1" si="3"/>
        <v>S</v>
      </c>
      <c r="BJ9" s="56" t="str">
        <f t="shared" ca="1" si="3"/>
        <v>M</v>
      </c>
      <c r="BK9" s="56" t="str">
        <f t="shared" ca="1" si="3"/>
        <v>T</v>
      </c>
      <c r="BL9" s="56" t="str">
        <f t="shared" ca="1" si="3"/>
        <v>W</v>
      </c>
    </row>
    <row r="10" spans="1:68" ht="30" hidden="1" customHeight="1" thickBot="1" x14ac:dyDescent="0.4">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 customHeight="1" x14ac:dyDescent="0.35">
      <c r="A11" s="7"/>
      <c r="B11" s="60" t="s">
        <v>13</v>
      </c>
      <c r="C11" s="17"/>
      <c r="D11" s="17"/>
      <c r="E11" s="18"/>
      <c r="F11" s="19"/>
      <c r="G11" s="20"/>
      <c r="H11" s="17"/>
      <c r="I11" s="14" t="str">
        <f t="shared" ref="I11:X11" ca="1" si="4">IF(AND($C11="Goal",I$7&gt;=$F11,I$7&lt;=$F11+$G11-1),2,IF(AND($C11="Milestone",I$7&gt;=$F11,I$7&lt;=$F11+$G11-1),1,""))</f>
        <v/>
      </c>
      <c r="J11" s="14" t="str">
        <f t="shared" ca="1" si="4"/>
        <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11" ca="1" si="5">IF(AND($C11="Goal",Y$7&gt;=$F11,Y$7&lt;=$F11+$G11-1),2,IF(AND($C11="Milestone",Y$7&gt;=$F11,Y$7&lt;=$F11+$G11-1),1,""))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11" ca="1" si="6">IF(AND($C11="Goal",AO$7&gt;=$F11,AO$7&lt;=$F11+$G11-1),2,IF(AND($C11="Milestone",AO$7&gt;=$F11,AO$7&lt;=$F11+$G11-1),1,""))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L11" ca="1" si="7">IF(AND($C11="Goal",BE$7&gt;=$F11,BE$7&lt;=$F11+$G11-1),2,IF(AND($C11="Milestone",BE$7&gt;=$F11,BE$7&lt;=$F11+$G11-1),1,""))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 customHeight="1" x14ac:dyDescent="0.35">
      <c r="A12" s="7"/>
      <c r="B12" s="61" t="str" cm="1">
        <f t="array" ref="B12">IFERROR(INDEX(tblData[Tiêu đề], ROW()-11), "")</f>
        <v>Quy định soạn thảo &amp; kiểm soát tài liệu</v>
      </c>
      <c r="C12" s="17" t="s">
        <v>3</v>
      </c>
      <c r="D12" s="17" t="str" cm="1">
        <f t="array" ref="D12">IFERROR(INDEX(tblData[AssignedToUser], ROW()-11), "")</f>
        <v>Kiệt, Ngô Vương Tuấn</v>
      </c>
      <c r="E12" s="18" cm="1">
        <f t="array" ref="E12">IFERROR(INDEX(tblData[Progress], ROW()-11), "")</f>
        <v>1</v>
      </c>
      <c r="F12" s="19" cm="1">
        <f t="array" ref="F12">IFERROR(INDEX(tblData[TaskStart], ROW()-11), "")</f>
        <v>46023</v>
      </c>
      <c r="G12" s="78" cm="1">
        <f t="array" ref="G12">IFERROR(INDEX(tblData[TaskDue], ROW()-11) - INDEX(tblData[TaskStart], ROW()-11) + 1,"")</f>
        <v>31</v>
      </c>
      <c r="H12" s="17"/>
      <c r="I12" s="14" t="str">
        <f ca="1">IF(AND($C12="Goal",I$7&gt;=$F12,I$7&lt;=$F12+$G12-1),2,IF(AND($C12="Milestone",I$7&gt;=$F12,I$7&lt;=$F12+$G12-1),1,""))</f>
        <v/>
      </c>
      <c r="J12" s="14" t="str">
        <f ca="1">IF(AND($C12="Goal",J$7&gt;=$F12,J$7&lt;=$F12+$G12-1),2,IF(AND($C12="Milestone",J$7&gt;=$F12,J$7&lt;=$F12+$G12-1),1,""))</f>
        <v/>
      </c>
      <c r="K12" s="14" t="str">
        <f ca="1">IF(AND($C12="Goal",K$7&gt;=$F12,K$7&lt;=$F12+$G12-1),2,IF(AND($C12="Milestone",K$7&gt;=$F12,K$7&lt;=$F12+$G12-1),1,""))</f>
        <v/>
      </c>
      <c r="L12" s="14" t="str">
        <f ca="1">IF(AND($C12="Goal",L$7&gt;=$F12,L$7&lt;=$F12+$G12-1),2,IF(AND($C12="Milestone",L$7&gt;=$F12,L$7&lt;=$F12+$G12-1),1,""))</f>
        <v/>
      </c>
      <c r="M12" s="14" t="str">
        <f ca="1">IF(AND($C12="Goal",M$7&gt;=$F12,M$7&lt;=$F12+$G12-1),2,IF(AND($C12="Milestone",M$7&gt;=$F12,M$7&lt;=$F12+$G12-1),1,""))</f>
        <v/>
      </c>
      <c r="N12" s="14" t="str">
        <f ca="1">IF(AND($C12="Goal",N$7&gt;=$F12,N$7&lt;=$F12+$G12-1),2,IF(AND($C12="Milestone",N$7&gt;=$F12,N$7&lt;=$F12+$G12-1),1,""))</f>
        <v/>
      </c>
      <c r="O12" s="14" t="str">
        <f ca="1">IF(AND($C12="Goal",O$7&gt;=$F12,O$7&lt;=$F12+$G12-1),2,IF(AND($C12="Milestone",O$7&gt;=$F12,O$7&lt;=$F12+$G12-1),1,""))</f>
        <v/>
      </c>
      <c r="P12" s="14" t="str">
        <f ca="1">IF(AND($C12="Goal",P$7&gt;=$F12,P$7&lt;=$F12+$G12-1),2,IF(AND($C12="Milestone",P$7&gt;=$F12,P$7&lt;=$F12+$G12-1),1,""))</f>
        <v/>
      </c>
      <c r="Q12" s="14" t="str">
        <f ca="1">IF(AND($C12="Goal",Q$7&gt;=$F12,Q$7&lt;=$F12+$G12-1),2,IF(AND($C12="Milestone",Q$7&gt;=$F12,Q$7&lt;=$F12+$G12-1),1,""))</f>
        <v/>
      </c>
      <c r="R12" s="14" t="str">
        <f ca="1">IF(AND($C12="Goal",R$7&gt;=$F12,R$7&lt;=$F12+$G12-1),2,IF(AND($C12="Milestone",R$7&gt;=$F12,R$7&lt;=$F12+$G12-1),1,""))</f>
        <v/>
      </c>
      <c r="S12" s="14" t="str">
        <f ca="1">IF(AND($C12="Goal",S$7&gt;=$F12,S$7&lt;=$F12+$G12-1),2,IF(AND($C12="Milestone",S$7&gt;=$F12,S$7&lt;=$F12+$G12-1),1,""))</f>
        <v/>
      </c>
      <c r="T12" s="14" t="str">
        <f ca="1">IF(AND($C12="Goal",T$7&gt;=$F12,T$7&lt;=$F12+$G12-1),2,IF(AND($C12="Milestone",T$7&gt;=$F12,T$7&lt;=$F12+$G12-1),1,""))</f>
        <v/>
      </c>
      <c r="U12" s="14" t="str">
        <f ca="1">IF(AND($C12="Goal",U$7&gt;=$F12,U$7&lt;=$F12+$G12-1),2,IF(AND($C12="Milestone",U$7&gt;=$F12,U$7&lt;=$F12+$G12-1),1,""))</f>
        <v/>
      </c>
      <c r="V12" s="14" t="str">
        <f ca="1">IF(AND($C12="Goal",V$7&gt;=$F12,V$7&lt;=$F12+$G12-1),2,IF(AND($C12="Milestone",V$7&gt;=$F12,V$7&lt;=$F12+$G12-1),1,""))</f>
        <v/>
      </c>
      <c r="W12" s="14" t="str">
        <f ca="1">IF(AND($C12="Goal",W$7&gt;=$F12,W$7&lt;=$F12+$G12-1),2,IF(AND($C12="Milestone",W$7&gt;=$F12,W$7&lt;=$F12+$G12-1),1,""))</f>
        <v/>
      </c>
      <c r="X12" s="14" t="str">
        <f ca="1">IF(AND($C12="Goal",X$7&gt;=$F12,X$7&lt;=$F12+$G12-1),2,IF(AND($C12="Milestone",X$7&gt;=$F12,X$7&lt;=$F12+$G12-1),1,""))</f>
        <v/>
      </c>
      <c r="Y12" s="14" t="str">
        <f ca="1">IF(AND($C12="Goal",Y$7&gt;=$F12,Y$7&lt;=$F12+$G12-1),2,IF(AND($C12="Milestone",Y$7&gt;=$F12,Y$7&lt;=$F12+$G12-1),1,""))</f>
        <v/>
      </c>
      <c r="Z12" s="14" t="str">
        <f ca="1">IF(AND($C12="Goal",Z$7&gt;=$F12,Z$7&lt;=$F12+$G12-1),2,IF(AND($C12="Milestone",Z$7&gt;=$F12,Z$7&lt;=$F12+$G12-1),1,""))</f>
        <v/>
      </c>
      <c r="AA12" s="14" t="str">
        <f ca="1">IF(AND($C12="Goal",AA$7&gt;=$F12,AA$7&lt;=$F12+$G12-1),2,IF(AND($C12="Milestone",AA$7&gt;=$F12,AA$7&lt;=$F12+$G12-1),1,""))</f>
        <v/>
      </c>
      <c r="AB12" s="14" t="str">
        <f ca="1">IF(AND($C12="Goal",AB$7&gt;=$F12,AB$7&lt;=$F12+$G12-1),2,IF(AND($C12="Milestone",AB$7&gt;=$F12,AB$7&lt;=$F12+$G12-1),1,""))</f>
        <v/>
      </c>
      <c r="AC12" s="14" t="str">
        <f ca="1">IF(AND($C12="Goal",AC$7&gt;=$F12,AC$7&lt;=$F12+$G12-1),2,IF(AND($C12="Milestone",AC$7&gt;=$F12,AC$7&lt;=$F12+$G12-1),1,""))</f>
        <v/>
      </c>
      <c r="AD12" s="14" t="str">
        <f ca="1">IF(AND($C12="Goal",AD$7&gt;=$F12,AD$7&lt;=$F12+$G12-1),2,IF(AND($C12="Milestone",AD$7&gt;=$F12,AD$7&lt;=$F12+$G12-1),1,""))</f>
        <v/>
      </c>
      <c r="AE12" s="14" t="str">
        <f ca="1">IF(AND($C12="Goal",AE$7&gt;=$F12,AE$7&lt;=$F12+$G12-1),2,IF(AND($C12="Milestone",AE$7&gt;=$F12,AE$7&lt;=$F12+$G12-1),1,""))</f>
        <v/>
      </c>
      <c r="AF12" s="14" t="str">
        <f ca="1">IF(AND($C12="Goal",AF$7&gt;=$F12,AF$7&lt;=$F12+$G12-1),2,IF(AND($C12="Milestone",AF$7&gt;=$F12,AF$7&lt;=$F12+$G12-1),1,""))</f>
        <v/>
      </c>
      <c r="AG12" s="14" t="str">
        <f ca="1">IF(AND($C12="Goal",AG$7&gt;=$F12,AG$7&lt;=$F12+$G12-1),2,IF(AND($C12="Milestone",AG$7&gt;=$F12,AG$7&lt;=$F12+$G12-1),1,""))</f>
        <v/>
      </c>
      <c r="AH12" s="14" t="str">
        <f ca="1">IF(AND($C12="Goal",AH$7&gt;=$F12,AH$7&lt;=$F12+$G12-1),2,IF(AND($C12="Milestone",AH$7&gt;=$F12,AH$7&lt;=$F12+$G12-1),1,""))</f>
        <v/>
      </c>
      <c r="AI12" s="14" t="str">
        <f ca="1">IF(AND($C12="Goal",AI$7&gt;=$F12,AI$7&lt;=$F12+$G12-1),2,IF(AND($C12="Milestone",AI$7&gt;=$F12,AI$7&lt;=$F12+$G12-1),1,""))</f>
        <v/>
      </c>
      <c r="AJ12" s="14" t="str">
        <f ca="1">IF(AND($C12="Goal",AJ$7&gt;=$F12,AJ$7&lt;=$F12+$G12-1),2,IF(AND($C12="Milestone",AJ$7&gt;=$F12,AJ$7&lt;=$F12+$G12-1),1,""))</f>
        <v/>
      </c>
      <c r="AK12" s="14" t="str">
        <f ca="1">IF(AND($C12="Goal",AK$7&gt;=$F12,AK$7&lt;=$F12+$G12-1),2,IF(AND($C12="Milestone",AK$7&gt;=$F12,AK$7&lt;=$F12+$G12-1),1,""))</f>
        <v/>
      </c>
      <c r="AL12" s="14" t="str">
        <f ca="1">IF(AND($C12="Goal",AL$7&gt;=$F12,AL$7&lt;=$F12+$G12-1),2,IF(AND($C12="Milestone",AL$7&gt;=$F12,AL$7&lt;=$F12+$G12-1),1,""))</f>
        <v/>
      </c>
      <c r="AM12" s="14" t="str">
        <f ca="1">IF(AND($C12="Goal",AM$7&gt;=$F12,AM$7&lt;=$F12+$G12-1),2,IF(AND($C12="Milestone",AM$7&gt;=$F12,AM$7&lt;=$F12+$G12-1),1,""))</f>
        <v/>
      </c>
      <c r="AN12" s="14" t="str">
        <f ca="1">IF(AND($C12="Goal",AN$7&gt;=$F12,AN$7&lt;=$F12+$G12-1),2,IF(AND($C12="Milestone",AN$7&gt;=$F12,AN$7&lt;=$F12+$G12-1),1,""))</f>
        <v/>
      </c>
      <c r="AO12" s="14" t="str">
        <f ca="1">IF(AND($C12="Goal",AO$7&gt;=$F12,AO$7&lt;=$F12+$G12-1),2,IF(AND($C12="Milestone",AO$7&gt;=$F12,AO$7&lt;=$F12+$G12-1),1,""))</f>
        <v/>
      </c>
      <c r="AP12" s="14" t="str">
        <f ca="1">IF(AND($C12="Goal",AP$7&gt;=$F12,AP$7&lt;=$F12+$G12-1),2,IF(AND($C12="Milestone",AP$7&gt;=$F12,AP$7&lt;=$F12+$G12-1),1,""))</f>
        <v/>
      </c>
      <c r="AQ12" s="14" t="str">
        <f ca="1">IF(AND($C12="Goal",AQ$7&gt;=$F12,AQ$7&lt;=$F12+$G12-1),2,IF(AND($C12="Milestone",AQ$7&gt;=$F12,AQ$7&lt;=$F12+$G12-1),1,""))</f>
        <v/>
      </c>
      <c r="AR12" s="14" t="str">
        <f ca="1">IF(AND($C12="Goal",AR$7&gt;=$F12,AR$7&lt;=$F12+$G12-1),2,IF(AND($C12="Milestone",AR$7&gt;=$F12,AR$7&lt;=$F12+$G12-1),1,""))</f>
        <v/>
      </c>
      <c r="AS12" s="14" t="str">
        <f ca="1">IF(AND($C12="Goal",AS$7&gt;=$F12,AS$7&lt;=$F12+$G12-1),2,IF(AND($C12="Milestone",AS$7&gt;=$F12,AS$7&lt;=$F12+$G12-1),1,""))</f>
        <v/>
      </c>
      <c r="AT12" s="14" t="str">
        <f ca="1">IF(AND($C12="Goal",AT$7&gt;=$F12,AT$7&lt;=$F12+$G12-1),2,IF(AND($C12="Milestone",AT$7&gt;=$F12,AT$7&lt;=$F12+$G12-1),1,""))</f>
        <v/>
      </c>
      <c r="AU12" s="14" t="str">
        <f ca="1">IF(AND($C12="Goal",AU$7&gt;=$F12,AU$7&lt;=$F12+$G12-1),2,IF(AND($C12="Milestone",AU$7&gt;=$F12,AU$7&lt;=$F12+$G12-1),1,""))</f>
        <v/>
      </c>
      <c r="AV12" s="14" t="str">
        <f ca="1">IF(AND($C12="Goal",AV$7&gt;=$F12,AV$7&lt;=$F12+$G12-1),2,IF(AND($C12="Milestone",AV$7&gt;=$F12,AV$7&lt;=$F12+$G12-1),1,""))</f>
        <v/>
      </c>
      <c r="AW12" s="14" t="str">
        <f ca="1">IF(AND($C12="Goal",AW$7&gt;=$F12,AW$7&lt;=$F12+$G12-1),2,IF(AND($C12="Milestone",AW$7&gt;=$F12,AW$7&lt;=$F12+$G12-1),1,""))</f>
        <v/>
      </c>
      <c r="AX12" s="14" t="str">
        <f ca="1">IF(AND($C12="Goal",AX$7&gt;=$F12,AX$7&lt;=$F12+$G12-1),2,IF(AND($C12="Milestone",AX$7&gt;=$F12,AX$7&lt;=$F12+$G12-1),1,""))</f>
        <v/>
      </c>
      <c r="AY12" s="14" t="str">
        <f ca="1">IF(AND($C12="Goal",AY$7&gt;=$F12,AY$7&lt;=$F12+$G12-1),2,IF(AND($C12="Milestone",AY$7&gt;=$F12,AY$7&lt;=$F12+$G12-1),1,""))</f>
        <v/>
      </c>
      <c r="AZ12" s="14" t="str">
        <f ca="1">IF(AND($C12="Goal",AZ$7&gt;=$F12,AZ$7&lt;=$F12+$G12-1),2,IF(AND($C12="Milestone",AZ$7&gt;=$F12,AZ$7&lt;=$F12+$G12-1),1,""))</f>
        <v/>
      </c>
      <c r="BA12" s="14" t="str">
        <f ca="1">IF(AND($C12="Goal",BA$7&gt;=$F12,BA$7&lt;=$F12+$G12-1),2,IF(AND($C12="Milestone",BA$7&gt;=$F12,BA$7&lt;=$F12+$G12-1),1,""))</f>
        <v/>
      </c>
      <c r="BB12" s="14" t="str">
        <f ca="1">IF(AND($C12="Goal",BB$7&gt;=$F12,BB$7&lt;=$F12+$G12-1),2,IF(AND($C12="Milestone",BB$7&gt;=$F12,BB$7&lt;=$F12+$G12-1),1,""))</f>
        <v/>
      </c>
      <c r="BC12" s="14" t="str">
        <f ca="1">IF(AND($C12="Goal",BC$7&gt;=$F12,BC$7&lt;=$F12+$G12-1),2,IF(AND($C12="Milestone",BC$7&gt;=$F12,BC$7&lt;=$F12+$G12-1),1,""))</f>
        <v/>
      </c>
      <c r="BD12" s="14" t="str">
        <f ca="1">IF(AND($C12="Goal",BD$7&gt;=$F12,BD$7&lt;=$F12+$G12-1),2,IF(AND($C12="Milestone",BD$7&gt;=$F12,BD$7&lt;=$F12+$G12-1),1,""))</f>
        <v/>
      </c>
      <c r="BE12" s="14" t="str">
        <f ca="1">IF(AND($C12="Goal",BE$7&gt;=$F12,BE$7&lt;=$F12+$G12-1),2,IF(AND($C12="Milestone",BE$7&gt;=$F12,BE$7&lt;=$F12+$G12-1),1,""))</f>
        <v/>
      </c>
      <c r="BF12" s="14" t="str">
        <f ca="1">IF(AND($C12="Goal",BF$7&gt;=$F12,BF$7&lt;=$F12+$G12-1),2,IF(AND($C12="Milestone",BF$7&gt;=$F12,BF$7&lt;=$F12+$G12-1),1,""))</f>
        <v/>
      </c>
      <c r="BG12" s="14" t="str">
        <f ca="1">IF(AND($C12="Goal",BG$7&gt;=$F12,BG$7&lt;=$F12+$G12-1),2,IF(AND($C12="Milestone",BG$7&gt;=$F12,BG$7&lt;=$F12+$G12-1),1,""))</f>
        <v/>
      </c>
      <c r="BH12" s="14" t="str">
        <f ca="1">IF(AND($C12="Goal",BH$7&gt;=$F12,BH$7&lt;=$F12+$G12-1),2,IF(AND($C12="Milestone",BH$7&gt;=$F12,BH$7&lt;=$F12+$G12-1),1,""))</f>
        <v/>
      </c>
      <c r="BI12" s="14" t="str">
        <f ca="1">IF(AND($C12="Goal",BI$7&gt;=$F12,BI$7&lt;=$F12+$G12-1),2,IF(AND($C12="Milestone",BI$7&gt;=$F12,BI$7&lt;=$F12+$G12-1),1,""))</f>
        <v/>
      </c>
      <c r="BJ12" s="14" t="str">
        <f ca="1">IF(AND($C12="Goal",BJ$7&gt;=$F12,BJ$7&lt;=$F12+$G12-1),2,IF(AND($C12="Milestone",BJ$7&gt;=$F12,BJ$7&lt;=$F12+$G12-1),1,""))</f>
        <v/>
      </c>
      <c r="BK12" s="14" t="str">
        <f ca="1">IF(AND($C12="Goal",BK$7&gt;=$F12,BK$7&lt;=$F12+$G12-1),2,IF(AND($C12="Milestone",BK$7&gt;=$F12,BK$7&lt;=$F12+$G12-1),1,""))</f>
        <v/>
      </c>
      <c r="BL12" s="14" t="str">
        <f ca="1">IF(AND($C12="Goal",BL$7&gt;=$F12,BL$7&lt;=$F12+$G12-1),2,IF(AND($C12="Milestone",BL$7&gt;=$F12,BL$7&lt;=$F12+$G12-1),1,""))</f>
        <v/>
      </c>
    </row>
    <row r="13" spans="1:68" s="1" customFormat="1" ht="40" customHeight="1" x14ac:dyDescent="0.35">
      <c r="A13" s="7"/>
      <c r="B13" s="61" t="str" cm="1">
        <f t="array" ref="B13">IFERROR(INDEX(tblData[Tiêu đề], ROW()-11), "")</f>
        <v>• Quy định quản lý hồ sơ &amp; lưu trữ</v>
      </c>
      <c r="C13" s="17" t="s">
        <v>3</v>
      </c>
      <c r="D13" s="17" cm="1">
        <f t="array" ref="D13">IFERROR(INDEX(tblData[AssignedToUser], ROW()-11), "")</f>
        <v>0</v>
      </c>
      <c r="E13" s="18" cm="1">
        <f t="array" ref="E13">IFERROR(INDEX(tblData[Progress], ROW()-11), "")</f>
        <v>0.5</v>
      </c>
      <c r="F13" s="19" cm="1">
        <f t="array" ref="F13">IFERROR(INDEX(tblData[TaskStart], ROW()-11), "")</f>
        <v>46023</v>
      </c>
      <c r="G13" s="78" cm="1">
        <f t="array" ref="G13">IFERROR(INDEX(tblData[TaskDue], ROW()-11) - INDEX(tblData[TaskStart], ROW()-11) + 1,"")</f>
        <v>15</v>
      </c>
      <c r="H13" s="17"/>
      <c r="I13" s="14" t="str">
        <f ca="1">IF(AND($C13="Goal",I$7&gt;=$F13,I$7&lt;=$F13+$G13-1),2,IF(AND($C13="Milestone",I$7&gt;=$F13,I$7&lt;=$F13+$G13-1),1,""))</f>
        <v/>
      </c>
      <c r="J13" s="14" t="str">
        <f ca="1">IF(AND($C13="Goal",J$7&gt;=$F13,J$7&lt;=$F13+$G13-1),2,IF(AND($C13="Milestone",J$7&gt;=$F13,J$7&lt;=$F13+$G13-1),1,""))</f>
        <v/>
      </c>
      <c r="K13" s="14" t="str">
        <f ca="1">IF(AND($C13="Goal",K$7&gt;=$F13,K$7&lt;=$F13+$G13-1),2,IF(AND($C13="Milestone",K$7&gt;=$F13,K$7&lt;=$F13+$G13-1),1,""))</f>
        <v/>
      </c>
      <c r="L13" s="14" t="str">
        <f ca="1">IF(AND($C13="Goal",L$7&gt;=$F13,L$7&lt;=$F13+$G13-1),2,IF(AND($C13="Milestone",L$7&gt;=$F13,L$7&lt;=$F13+$G13-1),1,""))</f>
        <v/>
      </c>
      <c r="M13" s="14" t="str">
        <f ca="1">IF(AND($C13="Goal",M$7&gt;=$F13,M$7&lt;=$F13+$G13-1),2,IF(AND($C13="Milestone",M$7&gt;=$F13,M$7&lt;=$F13+$G13-1),1,""))</f>
        <v/>
      </c>
      <c r="N13" s="14" t="str">
        <f ca="1">IF(AND($C13="Goal",N$7&gt;=$F13,N$7&lt;=$F13+$G13-1),2,IF(AND($C13="Milestone",N$7&gt;=$F13,N$7&lt;=$F13+$G13-1),1,""))</f>
        <v/>
      </c>
      <c r="O13" s="14" t="str">
        <f ca="1">IF(AND($C13="Goal",O$7&gt;=$F13,O$7&lt;=$F13+$G13-1),2,IF(AND($C13="Milestone",O$7&gt;=$F13,O$7&lt;=$F13+$G13-1),1,""))</f>
        <v/>
      </c>
      <c r="P13" s="14" t="str">
        <f ca="1">IF(AND($C13="Goal",P$7&gt;=$F13,P$7&lt;=$F13+$G13-1),2,IF(AND($C13="Milestone",P$7&gt;=$F13,P$7&lt;=$F13+$G13-1),1,""))</f>
        <v/>
      </c>
      <c r="Q13" s="14" t="str">
        <f ca="1">IF(AND($C13="Goal",Q$7&gt;=$F13,Q$7&lt;=$F13+$G13-1),2,IF(AND($C13="Milestone",Q$7&gt;=$F13,Q$7&lt;=$F13+$G13-1),1,""))</f>
        <v/>
      </c>
      <c r="R13" s="14" t="str">
        <f ca="1">IF(AND($C13="Goal",R$7&gt;=$F13,R$7&lt;=$F13+$G13-1),2,IF(AND($C13="Milestone",R$7&gt;=$F13,R$7&lt;=$F13+$G13-1),1,""))</f>
        <v/>
      </c>
      <c r="S13" s="14" t="str">
        <f ca="1">IF(AND($C13="Goal",S$7&gt;=$F13,S$7&lt;=$F13+$G13-1),2,IF(AND($C13="Milestone",S$7&gt;=$F13,S$7&lt;=$F13+$G13-1),1,""))</f>
        <v/>
      </c>
      <c r="T13" s="14" t="str">
        <f ca="1">IF(AND($C13="Goal",T$7&gt;=$F13,T$7&lt;=$F13+$G13-1),2,IF(AND($C13="Milestone",T$7&gt;=$F13,T$7&lt;=$F13+$G13-1),1,""))</f>
        <v/>
      </c>
      <c r="U13" s="14" t="str">
        <f ca="1">IF(AND($C13="Goal",U$7&gt;=$F13,U$7&lt;=$F13+$G13-1),2,IF(AND($C13="Milestone",U$7&gt;=$F13,U$7&lt;=$F13+$G13-1),1,""))</f>
        <v/>
      </c>
      <c r="V13" s="14" t="str">
        <f ca="1">IF(AND($C13="Goal",V$7&gt;=$F13,V$7&lt;=$F13+$G13-1),2,IF(AND($C13="Milestone",V$7&gt;=$F13,V$7&lt;=$F13+$G13-1),1,""))</f>
        <v/>
      </c>
      <c r="W13" s="14" t="str">
        <f ca="1">IF(AND($C13="Goal",W$7&gt;=$F13,W$7&lt;=$F13+$G13-1),2,IF(AND($C13="Milestone",W$7&gt;=$F13,W$7&lt;=$F13+$G13-1),1,""))</f>
        <v/>
      </c>
      <c r="X13" s="14" t="str">
        <f ca="1">IF(AND($C13="Goal",X$7&gt;=$F13,X$7&lt;=$F13+$G13-1),2,IF(AND($C13="Milestone",X$7&gt;=$F13,X$7&lt;=$F13+$G13-1),1,""))</f>
        <v/>
      </c>
      <c r="Y13" s="14" t="str">
        <f ca="1">IF(AND($C13="Goal",Y$7&gt;=$F13,Y$7&lt;=$F13+$G13-1),2,IF(AND($C13="Milestone",Y$7&gt;=$F13,Y$7&lt;=$F13+$G13-1),1,""))</f>
        <v/>
      </c>
      <c r="Z13" s="14" t="str">
        <f ca="1">IF(AND($C13="Goal",Z$7&gt;=$F13,Z$7&lt;=$F13+$G13-1),2,IF(AND($C13="Milestone",Z$7&gt;=$F13,Z$7&lt;=$F13+$G13-1),1,""))</f>
        <v/>
      </c>
      <c r="AA13" s="14" t="str">
        <f ca="1">IF(AND($C13="Goal",AA$7&gt;=$F13,AA$7&lt;=$F13+$G13-1),2,IF(AND($C13="Milestone",AA$7&gt;=$F13,AA$7&lt;=$F13+$G13-1),1,""))</f>
        <v/>
      </c>
      <c r="AB13" s="14" t="str">
        <f ca="1">IF(AND($C13="Goal",AB$7&gt;=$F13,AB$7&lt;=$F13+$G13-1),2,IF(AND($C13="Milestone",AB$7&gt;=$F13,AB$7&lt;=$F13+$G13-1),1,""))</f>
        <v/>
      </c>
      <c r="AC13" s="14" t="str">
        <f ca="1">IF(AND($C13="Goal",AC$7&gt;=$F13,AC$7&lt;=$F13+$G13-1),2,IF(AND($C13="Milestone",AC$7&gt;=$F13,AC$7&lt;=$F13+$G13-1),1,""))</f>
        <v/>
      </c>
      <c r="AD13" s="14" t="str">
        <f ca="1">IF(AND($C13="Goal",AD$7&gt;=$F13,AD$7&lt;=$F13+$G13-1),2,IF(AND($C13="Milestone",AD$7&gt;=$F13,AD$7&lt;=$F13+$G13-1),1,""))</f>
        <v/>
      </c>
      <c r="AE13" s="14" t="str">
        <f ca="1">IF(AND($C13="Goal",AE$7&gt;=$F13,AE$7&lt;=$F13+$G13-1),2,IF(AND($C13="Milestone",AE$7&gt;=$F13,AE$7&lt;=$F13+$G13-1),1,""))</f>
        <v/>
      </c>
      <c r="AF13" s="14" t="str">
        <f ca="1">IF(AND($C13="Goal",AF$7&gt;=$F13,AF$7&lt;=$F13+$G13-1),2,IF(AND($C13="Milestone",AF$7&gt;=$F13,AF$7&lt;=$F13+$G13-1),1,""))</f>
        <v/>
      </c>
      <c r="AG13" s="14" t="str">
        <f ca="1">IF(AND($C13="Goal",AG$7&gt;=$F13,AG$7&lt;=$F13+$G13-1),2,IF(AND($C13="Milestone",AG$7&gt;=$F13,AG$7&lt;=$F13+$G13-1),1,""))</f>
        <v/>
      </c>
      <c r="AH13" s="14" t="str">
        <f ca="1">IF(AND($C13="Goal",AH$7&gt;=$F13,AH$7&lt;=$F13+$G13-1),2,IF(AND($C13="Milestone",AH$7&gt;=$F13,AH$7&lt;=$F13+$G13-1),1,""))</f>
        <v/>
      </c>
      <c r="AI13" s="14" t="str">
        <f ca="1">IF(AND($C13="Goal",AI$7&gt;=$F13,AI$7&lt;=$F13+$G13-1),2,IF(AND($C13="Milestone",AI$7&gt;=$F13,AI$7&lt;=$F13+$G13-1),1,""))</f>
        <v/>
      </c>
      <c r="AJ13" s="14" t="str">
        <f ca="1">IF(AND($C13="Goal",AJ$7&gt;=$F13,AJ$7&lt;=$F13+$G13-1),2,IF(AND($C13="Milestone",AJ$7&gt;=$F13,AJ$7&lt;=$F13+$G13-1),1,""))</f>
        <v/>
      </c>
      <c r="AK13" s="14" t="str">
        <f ca="1">IF(AND($C13="Goal",AK$7&gt;=$F13,AK$7&lt;=$F13+$G13-1),2,IF(AND($C13="Milestone",AK$7&gt;=$F13,AK$7&lt;=$F13+$G13-1),1,""))</f>
        <v/>
      </c>
      <c r="AL13" s="14" t="str">
        <f ca="1">IF(AND($C13="Goal",AL$7&gt;=$F13,AL$7&lt;=$F13+$G13-1),2,IF(AND($C13="Milestone",AL$7&gt;=$F13,AL$7&lt;=$F13+$G13-1),1,""))</f>
        <v/>
      </c>
      <c r="AM13" s="14" t="str">
        <f ca="1">IF(AND($C13="Goal",AM$7&gt;=$F13,AM$7&lt;=$F13+$G13-1),2,IF(AND($C13="Milestone",AM$7&gt;=$F13,AM$7&lt;=$F13+$G13-1),1,""))</f>
        <v/>
      </c>
      <c r="AN13" s="14" t="str">
        <f ca="1">IF(AND($C13="Goal",AN$7&gt;=$F13,AN$7&lt;=$F13+$G13-1),2,IF(AND($C13="Milestone",AN$7&gt;=$F13,AN$7&lt;=$F13+$G13-1),1,""))</f>
        <v/>
      </c>
      <c r="AO13" s="14" t="str">
        <f ca="1">IF(AND($C13="Goal",AO$7&gt;=$F13,AO$7&lt;=$F13+$G13-1),2,IF(AND($C13="Milestone",AO$7&gt;=$F13,AO$7&lt;=$F13+$G13-1),1,""))</f>
        <v/>
      </c>
      <c r="AP13" s="14" t="str">
        <f ca="1">IF(AND($C13="Goal",AP$7&gt;=$F13,AP$7&lt;=$F13+$G13-1),2,IF(AND($C13="Milestone",AP$7&gt;=$F13,AP$7&lt;=$F13+$G13-1),1,""))</f>
        <v/>
      </c>
      <c r="AQ13" s="14" t="str">
        <f ca="1">IF(AND($C13="Goal",AQ$7&gt;=$F13,AQ$7&lt;=$F13+$G13-1),2,IF(AND($C13="Milestone",AQ$7&gt;=$F13,AQ$7&lt;=$F13+$G13-1),1,""))</f>
        <v/>
      </c>
      <c r="AR13" s="14" t="str">
        <f ca="1">IF(AND($C13="Goal",AR$7&gt;=$F13,AR$7&lt;=$F13+$G13-1),2,IF(AND($C13="Milestone",AR$7&gt;=$F13,AR$7&lt;=$F13+$G13-1),1,""))</f>
        <v/>
      </c>
      <c r="AS13" s="14" t="str">
        <f ca="1">IF(AND($C13="Goal",AS$7&gt;=$F13,AS$7&lt;=$F13+$G13-1),2,IF(AND($C13="Milestone",AS$7&gt;=$F13,AS$7&lt;=$F13+$G13-1),1,""))</f>
        <v/>
      </c>
      <c r="AT13" s="14" t="str">
        <f ca="1">IF(AND($C13="Goal",AT$7&gt;=$F13,AT$7&lt;=$F13+$G13-1),2,IF(AND($C13="Milestone",AT$7&gt;=$F13,AT$7&lt;=$F13+$G13-1),1,""))</f>
        <v/>
      </c>
      <c r="AU13" s="14" t="str">
        <f ca="1">IF(AND($C13="Goal",AU$7&gt;=$F13,AU$7&lt;=$F13+$G13-1),2,IF(AND($C13="Milestone",AU$7&gt;=$F13,AU$7&lt;=$F13+$G13-1),1,""))</f>
        <v/>
      </c>
      <c r="AV13" s="14" t="str">
        <f ca="1">IF(AND($C13="Goal",AV$7&gt;=$F13,AV$7&lt;=$F13+$G13-1),2,IF(AND($C13="Milestone",AV$7&gt;=$F13,AV$7&lt;=$F13+$G13-1),1,""))</f>
        <v/>
      </c>
      <c r="AW13" s="14" t="str">
        <f ca="1">IF(AND($C13="Goal",AW$7&gt;=$F13,AW$7&lt;=$F13+$G13-1),2,IF(AND($C13="Milestone",AW$7&gt;=$F13,AW$7&lt;=$F13+$G13-1),1,""))</f>
        <v/>
      </c>
      <c r="AX13" s="14" t="str">
        <f ca="1">IF(AND($C13="Goal",AX$7&gt;=$F13,AX$7&lt;=$F13+$G13-1),2,IF(AND($C13="Milestone",AX$7&gt;=$F13,AX$7&lt;=$F13+$G13-1),1,""))</f>
        <v/>
      </c>
      <c r="AY13" s="14" t="str">
        <f ca="1">IF(AND($C13="Goal",AY$7&gt;=$F13,AY$7&lt;=$F13+$G13-1),2,IF(AND($C13="Milestone",AY$7&gt;=$F13,AY$7&lt;=$F13+$G13-1),1,""))</f>
        <v/>
      </c>
      <c r="AZ13" s="14" t="str">
        <f ca="1">IF(AND($C13="Goal",AZ$7&gt;=$F13,AZ$7&lt;=$F13+$G13-1),2,IF(AND($C13="Milestone",AZ$7&gt;=$F13,AZ$7&lt;=$F13+$G13-1),1,""))</f>
        <v/>
      </c>
      <c r="BA13" s="14" t="str">
        <f ca="1">IF(AND($C13="Goal",BA$7&gt;=$F13,BA$7&lt;=$F13+$G13-1),2,IF(AND($C13="Milestone",BA$7&gt;=$F13,BA$7&lt;=$F13+$G13-1),1,""))</f>
        <v/>
      </c>
      <c r="BB13" s="14" t="str">
        <f ca="1">IF(AND($C13="Goal",BB$7&gt;=$F13,BB$7&lt;=$F13+$G13-1),2,IF(AND($C13="Milestone",BB$7&gt;=$F13,BB$7&lt;=$F13+$G13-1),1,""))</f>
        <v/>
      </c>
      <c r="BC13" s="14" t="str">
        <f ca="1">IF(AND($C13="Goal",BC$7&gt;=$F13,BC$7&lt;=$F13+$G13-1),2,IF(AND($C13="Milestone",BC$7&gt;=$F13,BC$7&lt;=$F13+$G13-1),1,""))</f>
        <v/>
      </c>
      <c r="BD13" s="14" t="str">
        <f ca="1">IF(AND($C13="Goal",BD$7&gt;=$F13,BD$7&lt;=$F13+$G13-1),2,IF(AND($C13="Milestone",BD$7&gt;=$F13,BD$7&lt;=$F13+$G13-1),1,""))</f>
        <v/>
      </c>
      <c r="BE13" s="14" t="str">
        <f ca="1">IF(AND($C13="Goal",BE$7&gt;=$F13,BE$7&lt;=$F13+$G13-1),2,IF(AND($C13="Milestone",BE$7&gt;=$F13,BE$7&lt;=$F13+$G13-1),1,""))</f>
        <v/>
      </c>
      <c r="BF13" s="14" t="str">
        <f ca="1">IF(AND($C13="Goal",BF$7&gt;=$F13,BF$7&lt;=$F13+$G13-1),2,IF(AND($C13="Milestone",BF$7&gt;=$F13,BF$7&lt;=$F13+$G13-1),1,""))</f>
        <v/>
      </c>
      <c r="BG13" s="14" t="str">
        <f ca="1">IF(AND($C13="Goal",BG$7&gt;=$F13,BG$7&lt;=$F13+$G13-1),2,IF(AND($C13="Milestone",BG$7&gt;=$F13,BG$7&lt;=$F13+$G13-1),1,""))</f>
        <v/>
      </c>
      <c r="BH13" s="14" t="str">
        <f ca="1">IF(AND($C13="Goal",BH$7&gt;=$F13,BH$7&lt;=$F13+$G13-1),2,IF(AND($C13="Milestone",BH$7&gt;=$F13,BH$7&lt;=$F13+$G13-1),1,""))</f>
        <v/>
      </c>
      <c r="BI13" s="14" t="str">
        <f ca="1">IF(AND($C13="Goal",BI$7&gt;=$F13,BI$7&lt;=$F13+$G13-1),2,IF(AND($C13="Milestone",BI$7&gt;=$F13,BI$7&lt;=$F13+$G13-1),1,""))</f>
        <v/>
      </c>
      <c r="BJ13" s="14" t="str">
        <f ca="1">IF(AND($C13="Goal",BJ$7&gt;=$F13,BJ$7&lt;=$F13+$G13-1),2,IF(AND($C13="Milestone",BJ$7&gt;=$F13,BJ$7&lt;=$F13+$G13-1),1,""))</f>
        <v/>
      </c>
      <c r="BK13" s="14" t="str">
        <f ca="1">IF(AND($C13="Goal",BK$7&gt;=$F13,BK$7&lt;=$F13+$G13-1),2,IF(AND($C13="Milestone",BK$7&gt;=$F13,BK$7&lt;=$F13+$G13-1),1,""))</f>
        <v/>
      </c>
      <c r="BL13" s="14" t="str">
        <f ca="1">IF(AND($C13="Goal",BL$7&gt;=$F13,BL$7&lt;=$F13+$G13-1),2,IF(AND($C13="Milestone",BL$7&gt;=$F13,BL$7&lt;=$F13+$G13-1),1,""))</f>
        <v/>
      </c>
    </row>
    <row r="14" spans="1:68" s="1" customFormat="1" ht="40" customHeight="1" x14ac:dyDescent="0.35">
      <c r="A14" s="6"/>
      <c r="B14" s="61" t="str" cm="1">
        <f t="array" ref="B14">IFERROR(INDEX(tblData[Tiêu đề], ROW()-11), "")</f>
        <v>• Quy định/SOP SharePoint – M365</v>
      </c>
      <c r="C14" s="17" t="s">
        <v>3</v>
      </c>
      <c r="D14" s="17" cm="1">
        <f t="array" ref="D14">IFERROR(INDEX(tblData[AssignedToUser], ROW()-11), "")</f>
        <v>0</v>
      </c>
      <c r="E14" s="18" cm="1">
        <f t="array" ref="E14">IFERROR(INDEX(tblData[Progress], ROW()-11), "")</f>
        <v>1</v>
      </c>
      <c r="F14" s="19" cm="1">
        <f t="array" ref="F14">IFERROR(INDEX(tblData[TaskStart], ROW()-11), "")</f>
        <v>46023</v>
      </c>
      <c r="G14" s="78" cm="1">
        <f t="array" ref="G14">IFERROR(INDEX(tblData[TaskDue], ROW()-11) - INDEX(tblData[TaskStart], ROW()-11) + 1,"")</f>
        <v>10</v>
      </c>
      <c r="H14" s="17"/>
      <c r="I14" s="14" t="str">
        <f ca="1">IF(AND($C14="Goal",I$7&gt;=$F14,I$7&lt;=$F14+$G14-1),2,IF(AND($C14="Milestone",I$7&gt;=$F14,I$7&lt;=$F14+$G14-1),1,""))</f>
        <v/>
      </c>
      <c r="J14" s="14" t="str">
        <f ca="1">IF(AND($C14="Goal",J$7&gt;=$F14,J$7&lt;=$F14+$G14-1),2,IF(AND($C14="Milestone",J$7&gt;=$F14,J$7&lt;=$F14+$G14-1),1,""))</f>
        <v/>
      </c>
      <c r="K14" s="14" t="str">
        <f ca="1">IF(AND($C14="Goal",K$7&gt;=$F14,K$7&lt;=$F14+$G14-1),2,IF(AND($C14="Milestone",K$7&gt;=$F14,K$7&lt;=$F14+$G14-1),1,""))</f>
        <v/>
      </c>
      <c r="L14" s="14" t="str">
        <f ca="1">IF(AND($C14="Goal",L$7&gt;=$F14,L$7&lt;=$F14+$G14-1),2,IF(AND($C14="Milestone",L$7&gt;=$F14,L$7&lt;=$F14+$G14-1),1,""))</f>
        <v/>
      </c>
      <c r="M14" s="14" t="str">
        <f ca="1">IF(AND($C14="Goal",M$7&gt;=$F14,M$7&lt;=$F14+$G14-1),2,IF(AND($C14="Milestone",M$7&gt;=$F14,M$7&lt;=$F14+$G14-1),1,""))</f>
        <v/>
      </c>
      <c r="N14" s="14" t="str">
        <f ca="1">IF(AND($C14="Goal",N$7&gt;=$F14,N$7&lt;=$F14+$G14-1),2,IF(AND($C14="Milestone",N$7&gt;=$F14,N$7&lt;=$F14+$G14-1),1,""))</f>
        <v/>
      </c>
      <c r="O14" s="14" t="str">
        <f ca="1">IF(AND($C14="Goal",O$7&gt;=$F14,O$7&lt;=$F14+$G14-1),2,IF(AND($C14="Milestone",O$7&gt;=$F14,O$7&lt;=$F14+$G14-1),1,""))</f>
        <v/>
      </c>
      <c r="P14" s="14" t="str">
        <f ca="1">IF(AND($C14="Goal",P$7&gt;=$F14,P$7&lt;=$F14+$G14-1),2,IF(AND($C14="Milestone",P$7&gt;=$F14,P$7&lt;=$F14+$G14-1),1,""))</f>
        <v/>
      </c>
      <c r="Q14" s="14" t="str">
        <f ca="1">IF(AND($C14="Goal",Q$7&gt;=$F14,Q$7&lt;=$F14+$G14-1),2,IF(AND($C14="Milestone",Q$7&gt;=$F14,Q$7&lt;=$F14+$G14-1),1,""))</f>
        <v/>
      </c>
      <c r="R14" s="14" t="str">
        <f ca="1">IF(AND($C14="Goal",R$7&gt;=$F14,R$7&lt;=$F14+$G14-1),2,IF(AND($C14="Milestone",R$7&gt;=$F14,R$7&lt;=$F14+$G14-1),1,""))</f>
        <v/>
      </c>
      <c r="S14" s="14" t="str">
        <f ca="1">IF(AND($C14="Goal",S$7&gt;=$F14,S$7&lt;=$F14+$G14-1),2,IF(AND($C14="Milestone",S$7&gt;=$F14,S$7&lt;=$F14+$G14-1),1,""))</f>
        <v/>
      </c>
      <c r="T14" s="14" t="str">
        <f ca="1">IF(AND($C14="Goal",T$7&gt;=$F14,T$7&lt;=$F14+$G14-1),2,IF(AND($C14="Milestone",T$7&gt;=$F14,T$7&lt;=$F14+$G14-1),1,""))</f>
        <v/>
      </c>
      <c r="U14" s="14" t="str">
        <f ca="1">IF(AND($C14="Goal",U$7&gt;=$F14,U$7&lt;=$F14+$G14-1),2,IF(AND($C14="Milestone",U$7&gt;=$F14,U$7&lt;=$F14+$G14-1),1,""))</f>
        <v/>
      </c>
      <c r="V14" s="14" t="str">
        <f ca="1">IF(AND($C14="Goal",V$7&gt;=$F14,V$7&lt;=$F14+$G14-1),2,IF(AND($C14="Milestone",V$7&gt;=$F14,V$7&lt;=$F14+$G14-1),1,""))</f>
        <v/>
      </c>
      <c r="W14" s="14" t="str">
        <f ca="1">IF(AND($C14="Goal",W$7&gt;=$F14,W$7&lt;=$F14+$G14-1),2,IF(AND($C14="Milestone",W$7&gt;=$F14,W$7&lt;=$F14+$G14-1),1,""))</f>
        <v/>
      </c>
      <c r="X14" s="14" t="str">
        <f ca="1">IF(AND($C14="Goal",X$7&gt;=$F14,X$7&lt;=$F14+$G14-1),2,IF(AND($C14="Milestone",X$7&gt;=$F14,X$7&lt;=$F14+$G14-1),1,""))</f>
        <v/>
      </c>
      <c r="Y14" s="14" t="str">
        <f ca="1">IF(AND($C14="Goal",Y$7&gt;=$F14,Y$7&lt;=$F14+$G14-1),2,IF(AND($C14="Milestone",Y$7&gt;=$F14,Y$7&lt;=$F14+$G14-1),1,""))</f>
        <v/>
      </c>
      <c r="Z14" s="14" t="str">
        <f ca="1">IF(AND($C14="Goal",Z$7&gt;=$F14,Z$7&lt;=$F14+$G14-1),2,IF(AND($C14="Milestone",Z$7&gt;=$F14,Z$7&lt;=$F14+$G14-1),1,""))</f>
        <v/>
      </c>
      <c r="AA14" s="14" t="str">
        <f ca="1">IF(AND($C14="Goal",AA$7&gt;=$F14,AA$7&lt;=$F14+$G14-1),2,IF(AND($C14="Milestone",AA$7&gt;=$F14,AA$7&lt;=$F14+$G14-1),1,""))</f>
        <v/>
      </c>
      <c r="AB14" s="14" t="str">
        <f ca="1">IF(AND($C14="Goal",AB$7&gt;=$F14,AB$7&lt;=$F14+$G14-1),2,IF(AND($C14="Milestone",AB$7&gt;=$F14,AB$7&lt;=$F14+$G14-1),1,""))</f>
        <v/>
      </c>
      <c r="AC14" s="14" t="str">
        <f ca="1">IF(AND($C14="Goal",AC$7&gt;=$F14,AC$7&lt;=$F14+$G14-1),2,IF(AND($C14="Milestone",AC$7&gt;=$F14,AC$7&lt;=$F14+$G14-1),1,""))</f>
        <v/>
      </c>
      <c r="AD14" s="14" t="str">
        <f ca="1">IF(AND($C14="Goal",AD$7&gt;=$F14,AD$7&lt;=$F14+$G14-1),2,IF(AND($C14="Milestone",AD$7&gt;=$F14,AD$7&lt;=$F14+$G14-1),1,""))</f>
        <v/>
      </c>
      <c r="AE14" s="14" t="str">
        <f ca="1">IF(AND($C14="Goal",AE$7&gt;=$F14,AE$7&lt;=$F14+$G14-1),2,IF(AND($C14="Milestone",AE$7&gt;=$F14,AE$7&lt;=$F14+$G14-1),1,""))</f>
        <v/>
      </c>
      <c r="AF14" s="14" t="str">
        <f ca="1">IF(AND($C14="Goal",AF$7&gt;=$F14,AF$7&lt;=$F14+$G14-1),2,IF(AND($C14="Milestone",AF$7&gt;=$F14,AF$7&lt;=$F14+$G14-1),1,""))</f>
        <v/>
      </c>
      <c r="AG14" s="14" t="str">
        <f ca="1">IF(AND($C14="Goal",AG$7&gt;=$F14,AG$7&lt;=$F14+$G14-1),2,IF(AND($C14="Milestone",AG$7&gt;=$F14,AG$7&lt;=$F14+$G14-1),1,""))</f>
        <v/>
      </c>
      <c r="AH14" s="14" t="str">
        <f ca="1">IF(AND($C14="Goal",AH$7&gt;=$F14,AH$7&lt;=$F14+$G14-1),2,IF(AND($C14="Milestone",AH$7&gt;=$F14,AH$7&lt;=$F14+$G14-1),1,""))</f>
        <v/>
      </c>
      <c r="AI14" s="14" t="str">
        <f ca="1">IF(AND($C14="Goal",AI$7&gt;=$F14,AI$7&lt;=$F14+$G14-1),2,IF(AND($C14="Milestone",AI$7&gt;=$F14,AI$7&lt;=$F14+$G14-1),1,""))</f>
        <v/>
      </c>
      <c r="AJ14" s="14" t="str">
        <f ca="1">IF(AND($C14="Goal",AJ$7&gt;=$F14,AJ$7&lt;=$F14+$G14-1),2,IF(AND($C14="Milestone",AJ$7&gt;=$F14,AJ$7&lt;=$F14+$G14-1),1,""))</f>
        <v/>
      </c>
      <c r="AK14" s="14" t="str">
        <f ca="1">IF(AND($C14="Goal",AK$7&gt;=$F14,AK$7&lt;=$F14+$G14-1),2,IF(AND($C14="Milestone",AK$7&gt;=$F14,AK$7&lt;=$F14+$G14-1),1,""))</f>
        <v/>
      </c>
      <c r="AL14" s="14" t="str">
        <f ca="1">IF(AND($C14="Goal",AL$7&gt;=$F14,AL$7&lt;=$F14+$G14-1),2,IF(AND($C14="Milestone",AL$7&gt;=$F14,AL$7&lt;=$F14+$G14-1),1,""))</f>
        <v/>
      </c>
      <c r="AM14" s="14" t="str">
        <f ca="1">IF(AND($C14="Goal",AM$7&gt;=$F14,AM$7&lt;=$F14+$G14-1),2,IF(AND($C14="Milestone",AM$7&gt;=$F14,AM$7&lt;=$F14+$G14-1),1,""))</f>
        <v/>
      </c>
      <c r="AN14" s="14" t="str">
        <f ca="1">IF(AND($C14="Goal",AN$7&gt;=$F14,AN$7&lt;=$F14+$G14-1),2,IF(AND($C14="Milestone",AN$7&gt;=$F14,AN$7&lt;=$F14+$G14-1),1,""))</f>
        <v/>
      </c>
      <c r="AO14" s="14" t="str">
        <f ca="1">IF(AND($C14="Goal",AO$7&gt;=$F14,AO$7&lt;=$F14+$G14-1),2,IF(AND($C14="Milestone",AO$7&gt;=$F14,AO$7&lt;=$F14+$G14-1),1,""))</f>
        <v/>
      </c>
      <c r="AP14" s="14" t="str">
        <f ca="1">IF(AND($C14="Goal",AP$7&gt;=$F14,AP$7&lt;=$F14+$G14-1),2,IF(AND($C14="Milestone",AP$7&gt;=$F14,AP$7&lt;=$F14+$G14-1),1,""))</f>
        <v/>
      </c>
      <c r="AQ14" s="14" t="str">
        <f ca="1">IF(AND($C14="Goal",AQ$7&gt;=$F14,AQ$7&lt;=$F14+$G14-1),2,IF(AND($C14="Milestone",AQ$7&gt;=$F14,AQ$7&lt;=$F14+$G14-1),1,""))</f>
        <v/>
      </c>
      <c r="AR14" s="14" t="str">
        <f ca="1">IF(AND($C14="Goal",AR$7&gt;=$F14,AR$7&lt;=$F14+$G14-1),2,IF(AND($C14="Milestone",AR$7&gt;=$F14,AR$7&lt;=$F14+$G14-1),1,""))</f>
        <v/>
      </c>
      <c r="AS14" s="14" t="str">
        <f ca="1">IF(AND($C14="Goal",AS$7&gt;=$F14,AS$7&lt;=$F14+$G14-1),2,IF(AND($C14="Milestone",AS$7&gt;=$F14,AS$7&lt;=$F14+$G14-1),1,""))</f>
        <v/>
      </c>
      <c r="AT14" s="14" t="str">
        <f ca="1">IF(AND($C14="Goal",AT$7&gt;=$F14,AT$7&lt;=$F14+$G14-1),2,IF(AND($C14="Milestone",AT$7&gt;=$F14,AT$7&lt;=$F14+$G14-1),1,""))</f>
        <v/>
      </c>
      <c r="AU14" s="14" t="str">
        <f ca="1">IF(AND($C14="Goal",AU$7&gt;=$F14,AU$7&lt;=$F14+$G14-1),2,IF(AND($C14="Milestone",AU$7&gt;=$F14,AU$7&lt;=$F14+$G14-1),1,""))</f>
        <v/>
      </c>
      <c r="AV14" s="14" t="str">
        <f ca="1">IF(AND($C14="Goal",AV$7&gt;=$F14,AV$7&lt;=$F14+$G14-1),2,IF(AND($C14="Milestone",AV$7&gt;=$F14,AV$7&lt;=$F14+$G14-1),1,""))</f>
        <v/>
      </c>
      <c r="AW14" s="14" t="str">
        <f ca="1">IF(AND($C14="Goal",AW$7&gt;=$F14,AW$7&lt;=$F14+$G14-1),2,IF(AND($C14="Milestone",AW$7&gt;=$F14,AW$7&lt;=$F14+$G14-1),1,""))</f>
        <v/>
      </c>
      <c r="AX14" s="14" t="str">
        <f ca="1">IF(AND($C14="Goal",AX$7&gt;=$F14,AX$7&lt;=$F14+$G14-1),2,IF(AND($C14="Milestone",AX$7&gt;=$F14,AX$7&lt;=$F14+$G14-1),1,""))</f>
        <v/>
      </c>
      <c r="AY14" s="14" t="str">
        <f ca="1">IF(AND($C14="Goal",AY$7&gt;=$F14,AY$7&lt;=$F14+$G14-1),2,IF(AND($C14="Milestone",AY$7&gt;=$F14,AY$7&lt;=$F14+$G14-1),1,""))</f>
        <v/>
      </c>
      <c r="AZ14" s="14" t="str">
        <f ca="1">IF(AND($C14="Goal",AZ$7&gt;=$F14,AZ$7&lt;=$F14+$G14-1),2,IF(AND($C14="Milestone",AZ$7&gt;=$F14,AZ$7&lt;=$F14+$G14-1),1,""))</f>
        <v/>
      </c>
      <c r="BA14" s="14" t="str">
        <f ca="1">IF(AND($C14="Goal",BA$7&gt;=$F14,BA$7&lt;=$F14+$G14-1),2,IF(AND($C14="Milestone",BA$7&gt;=$F14,BA$7&lt;=$F14+$G14-1),1,""))</f>
        <v/>
      </c>
      <c r="BB14" s="14" t="str">
        <f ca="1">IF(AND($C14="Goal",BB$7&gt;=$F14,BB$7&lt;=$F14+$G14-1),2,IF(AND($C14="Milestone",BB$7&gt;=$F14,BB$7&lt;=$F14+$G14-1),1,""))</f>
        <v/>
      </c>
      <c r="BC14" s="14" t="str">
        <f ca="1">IF(AND($C14="Goal",BC$7&gt;=$F14,BC$7&lt;=$F14+$G14-1),2,IF(AND($C14="Milestone",BC$7&gt;=$F14,BC$7&lt;=$F14+$G14-1),1,""))</f>
        <v/>
      </c>
      <c r="BD14" s="14" t="str">
        <f ca="1">IF(AND($C14="Goal",BD$7&gt;=$F14,BD$7&lt;=$F14+$G14-1),2,IF(AND($C14="Milestone",BD$7&gt;=$F14,BD$7&lt;=$F14+$G14-1),1,""))</f>
        <v/>
      </c>
      <c r="BE14" s="14" t="str">
        <f ca="1">IF(AND($C14="Goal",BE$7&gt;=$F14,BE$7&lt;=$F14+$G14-1),2,IF(AND($C14="Milestone",BE$7&gt;=$F14,BE$7&lt;=$F14+$G14-1),1,""))</f>
        <v/>
      </c>
      <c r="BF14" s="14" t="str">
        <f ca="1">IF(AND($C14="Goal",BF$7&gt;=$F14,BF$7&lt;=$F14+$G14-1),2,IF(AND($C14="Milestone",BF$7&gt;=$F14,BF$7&lt;=$F14+$G14-1),1,""))</f>
        <v/>
      </c>
      <c r="BG14" s="14" t="str">
        <f ca="1">IF(AND($C14="Goal",BG$7&gt;=$F14,BG$7&lt;=$F14+$G14-1),2,IF(AND($C14="Milestone",BG$7&gt;=$F14,BG$7&lt;=$F14+$G14-1),1,""))</f>
        <v/>
      </c>
      <c r="BH14" s="14" t="str">
        <f ca="1">IF(AND($C14="Goal",BH$7&gt;=$F14,BH$7&lt;=$F14+$G14-1),2,IF(AND($C14="Milestone",BH$7&gt;=$F14,BH$7&lt;=$F14+$G14-1),1,""))</f>
        <v/>
      </c>
      <c r="BI14" s="14" t="str">
        <f ca="1">IF(AND($C14="Goal",BI$7&gt;=$F14,BI$7&lt;=$F14+$G14-1),2,IF(AND($C14="Milestone",BI$7&gt;=$F14,BI$7&lt;=$F14+$G14-1),1,""))</f>
        <v/>
      </c>
      <c r="BJ14" s="14" t="str">
        <f ca="1">IF(AND($C14="Goal",BJ$7&gt;=$F14,BJ$7&lt;=$F14+$G14-1),2,IF(AND($C14="Milestone",BJ$7&gt;=$F14,BJ$7&lt;=$F14+$G14-1),1,""))</f>
        <v/>
      </c>
      <c r="BK14" s="14" t="str">
        <f ca="1">IF(AND($C14="Goal",BK$7&gt;=$F14,BK$7&lt;=$F14+$G14-1),2,IF(AND($C14="Milestone",BK$7&gt;=$F14,BK$7&lt;=$F14+$G14-1),1,""))</f>
        <v/>
      </c>
      <c r="BL14" s="14" t="str">
        <f ca="1">IF(AND($C14="Goal",BL$7&gt;=$F14,BL$7&lt;=$F14+$G14-1),2,IF(AND($C14="Milestone",BL$7&gt;=$F14,BL$7&lt;=$F14+$G14-1),1,""))</f>
        <v/>
      </c>
    </row>
    <row r="15" spans="1:68" s="1" customFormat="1" ht="40" customHeight="1" x14ac:dyDescent="0.35">
      <c r="A15" s="6"/>
      <c r="B15" s="61" t="str" cm="1">
        <f t="array" ref="B15">IFERROR(INDEX(tblData[Tiêu đề], ROW()-11), "")</f>
        <v>• Quy ước mã tài liệu – version – tên file – nơi lưu</v>
      </c>
      <c r="C15" s="17" t="s">
        <v>3</v>
      </c>
      <c r="D15" s="17" cm="1">
        <f t="array" ref="D15">IFERROR(INDEX(tblData[AssignedToUser], ROW()-11), "")</f>
        <v>0</v>
      </c>
      <c r="E15" s="18" cm="1">
        <f t="array" ref="E15">IFERROR(INDEX(tblData[Progress], ROW()-11), "")</f>
        <v>0</v>
      </c>
      <c r="F15" s="19" cm="1">
        <f t="array" ref="F15">IFERROR(INDEX(tblData[TaskStart], ROW()-11), "")</f>
        <v>46037</v>
      </c>
      <c r="G15" s="78" cm="1">
        <f t="array" ref="G15">IFERROR(INDEX(tblData[TaskDue], ROW()-11) - INDEX(tblData[TaskStart], ROW()-11) + 1,"")</f>
        <v>17</v>
      </c>
      <c r="H15" s="17"/>
      <c r="I15" s="14" t="str">
        <f ca="1">IF(AND($C15="Goal",I$7&gt;=$F15,I$7&lt;=$F15+$G15-1),2,IF(AND($C15="Milestone",I$7&gt;=$F15,I$7&lt;=$F15+$G15-1),1,""))</f>
        <v/>
      </c>
      <c r="J15" s="14" t="str">
        <f ca="1">IF(AND($C15="Goal",J$7&gt;=$F15,J$7&lt;=$F15+$G15-1),2,IF(AND($C15="Milestone",J$7&gt;=$F15,J$7&lt;=$F15+$G15-1),1,""))</f>
        <v/>
      </c>
      <c r="K15" s="14" t="str">
        <f ca="1">IF(AND($C15="Goal",K$7&gt;=$F15,K$7&lt;=$F15+$G15-1),2,IF(AND($C15="Milestone",K$7&gt;=$F15,K$7&lt;=$F15+$G15-1),1,""))</f>
        <v/>
      </c>
      <c r="L15" s="14" t="str">
        <f ca="1">IF(AND($C15="Goal",L$7&gt;=$F15,L$7&lt;=$F15+$G15-1),2,IF(AND($C15="Milestone",L$7&gt;=$F15,L$7&lt;=$F15+$G15-1),1,""))</f>
        <v/>
      </c>
      <c r="M15" s="14" t="str">
        <f ca="1">IF(AND($C15="Goal",M$7&gt;=$F15,M$7&lt;=$F15+$G15-1),2,IF(AND($C15="Milestone",M$7&gt;=$F15,M$7&lt;=$F15+$G15-1),1,""))</f>
        <v/>
      </c>
      <c r="N15" s="14" t="str">
        <f ca="1">IF(AND($C15="Goal",N$7&gt;=$F15,N$7&lt;=$F15+$G15-1),2,IF(AND($C15="Milestone",N$7&gt;=$F15,N$7&lt;=$F15+$G15-1),1,""))</f>
        <v/>
      </c>
      <c r="O15" s="14" t="str">
        <f ca="1">IF(AND($C15="Goal",O$7&gt;=$F15,O$7&lt;=$F15+$G15-1),2,IF(AND($C15="Milestone",O$7&gt;=$F15,O$7&lt;=$F15+$G15-1),1,""))</f>
        <v/>
      </c>
      <c r="P15" s="14" t="str">
        <f ca="1">IF(AND($C15="Goal",P$7&gt;=$F15,P$7&lt;=$F15+$G15-1),2,IF(AND($C15="Milestone",P$7&gt;=$F15,P$7&lt;=$F15+$G15-1),1,""))</f>
        <v/>
      </c>
      <c r="Q15" s="14" t="str">
        <f ca="1">IF(AND($C15="Goal",Q$7&gt;=$F15,Q$7&lt;=$F15+$G15-1),2,IF(AND($C15="Milestone",Q$7&gt;=$F15,Q$7&lt;=$F15+$G15-1),1,""))</f>
        <v/>
      </c>
      <c r="R15" s="14" t="str">
        <f ca="1">IF(AND($C15="Goal",R$7&gt;=$F15,R$7&lt;=$F15+$G15-1),2,IF(AND($C15="Milestone",R$7&gt;=$F15,R$7&lt;=$F15+$G15-1),1,""))</f>
        <v/>
      </c>
      <c r="S15" s="14" t="str">
        <f ca="1">IF(AND($C15="Goal",S$7&gt;=$F15,S$7&lt;=$F15+$G15-1),2,IF(AND($C15="Milestone",S$7&gt;=$F15,S$7&lt;=$F15+$G15-1),1,""))</f>
        <v/>
      </c>
      <c r="T15" s="14" t="str">
        <f ca="1">IF(AND($C15="Goal",T$7&gt;=$F15,T$7&lt;=$F15+$G15-1),2,IF(AND($C15="Milestone",T$7&gt;=$F15,T$7&lt;=$F15+$G15-1),1,""))</f>
        <v/>
      </c>
      <c r="U15" s="14" t="str">
        <f ca="1">IF(AND($C15="Goal",U$7&gt;=$F15,U$7&lt;=$F15+$G15-1),2,IF(AND($C15="Milestone",U$7&gt;=$F15,U$7&lt;=$F15+$G15-1),1,""))</f>
        <v/>
      </c>
      <c r="V15" s="14" t="str">
        <f ca="1">IF(AND($C15="Goal",V$7&gt;=$F15,V$7&lt;=$F15+$G15-1),2,IF(AND($C15="Milestone",V$7&gt;=$F15,V$7&lt;=$F15+$G15-1),1,""))</f>
        <v/>
      </c>
      <c r="W15" s="14" t="str">
        <f ca="1">IF(AND($C15="Goal",W$7&gt;=$F15,W$7&lt;=$F15+$G15-1),2,IF(AND($C15="Milestone",W$7&gt;=$F15,W$7&lt;=$F15+$G15-1),1,""))</f>
        <v/>
      </c>
      <c r="X15" s="14" t="str">
        <f ca="1">IF(AND($C15="Goal",X$7&gt;=$F15,X$7&lt;=$F15+$G15-1),2,IF(AND($C15="Milestone",X$7&gt;=$F15,X$7&lt;=$F15+$G15-1),1,""))</f>
        <v/>
      </c>
      <c r="Y15" s="14" t="str">
        <f ca="1">IF(AND($C15="Goal",Y$7&gt;=$F15,Y$7&lt;=$F15+$G15-1),2,IF(AND($C15="Milestone",Y$7&gt;=$F15,Y$7&lt;=$F15+$G15-1),1,""))</f>
        <v/>
      </c>
      <c r="Z15" s="14" t="str">
        <f ca="1">IF(AND($C15="Goal",Z$7&gt;=$F15,Z$7&lt;=$F15+$G15-1),2,IF(AND($C15="Milestone",Z$7&gt;=$F15,Z$7&lt;=$F15+$G15-1),1,""))</f>
        <v/>
      </c>
      <c r="AA15" s="14" t="str">
        <f ca="1">IF(AND($C15="Goal",AA$7&gt;=$F15,AA$7&lt;=$F15+$G15-1),2,IF(AND($C15="Milestone",AA$7&gt;=$F15,AA$7&lt;=$F15+$G15-1),1,""))</f>
        <v/>
      </c>
      <c r="AB15" s="14" t="str">
        <f ca="1">IF(AND($C15="Goal",AB$7&gt;=$F15,AB$7&lt;=$F15+$G15-1),2,IF(AND($C15="Milestone",AB$7&gt;=$F15,AB$7&lt;=$F15+$G15-1),1,""))</f>
        <v/>
      </c>
      <c r="AC15" s="14" t="str">
        <f ca="1">IF(AND($C15="Goal",AC$7&gt;=$F15,AC$7&lt;=$F15+$G15-1),2,IF(AND($C15="Milestone",AC$7&gt;=$F15,AC$7&lt;=$F15+$G15-1),1,""))</f>
        <v/>
      </c>
      <c r="AD15" s="14" t="str">
        <f ca="1">IF(AND($C15="Goal",AD$7&gt;=$F15,AD$7&lt;=$F15+$G15-1),2,IF(AND($C15="Milestone",AD$7&gt;=$F15,AD$7&lt;=$F15+$G15-1),1,""))</f>
        <v/>
      </c>
      <c r="AE15" s="14" t="str">
        <f ca="1">IF(AND($C15="Goal",AE$7&gt;=$F15,AE$7&lt;=$F15+$G15-1),2,IF(AND($C15="Milestone",AE$7&gt;=$F15,AE$7&lt;=$F15+$G15-1),1,""))</f>
        <v/>
      </c>
      <c r="AF15" s="14" t="str">
        <f ca="1">IF(AND($C15="Goal",AF$7&gt;=$F15,AF$7&lt;=$F15+$G15-1),2,IF(AND($C15="Milestone",AF$7&gt;=$F15,AF$7&lt;=$F15+$G15-1),1,""))</f>
        <v/>
      </c>
      <c r="AG15" s="14" t="str">
        <f ca="1">IF(AND($C15="Goal",AG$7&gt;=$F15,AG$7&lt;=$F15+$G15-1),2,IF(AND($C15="Milestone",AG$7&gt;=$F15,AG$7&lt;=$F15+$G15-1),1,""))</f>
        <v/>
      </c>
      <c r="AH15" s="14" t="str">
        <f ca="1">IF(AND($C15="Goal",AH$7&gt;=$F15,AH$7&lt;=$F15+$G15-1),2,IF(AND($C15="Milestone",AH$7&gt;=$F15,AH$7&lt;=$F15+$G15-1),1,""))</f>
        <v/>
      </c>
      <c r="AI15" s="14" t="str">
        <f ca="1">IF(AND($C15="Goal",AI$7&gt;=$F15,AI$7&lt;=$F15+$G15-1),2,IF(AND($C15="Milestone",AI$7&gt;=$F15,AI$7&lt;=$F15+$G15-1),1,""))</f>
        <v/>
      </c>
      <c r="AJ15" s="14" t="str">
        <f ca="1">IF(AND($C15="Goal",AJ$7&gt;=$F15,AJ$7&lt;=$F15+$G15-1),2,IF(AND($C15="Milestone",AJ$7&gt;=$F15,AJ$7&lt;=$F15+$G15-1),1,""))</f>
        <v/>
      </c>
      <c r="AK15" s="14" t="str">
        <f ca="1">IF(AND($C15="Goal",AK$7&gt;=$F15,AK$7&lt;=$F15+$G15-1),2,IF(AND($C15="Milestone",AK$7&gt;=$F15,AK$7&lt;=$F15+$G15-1),1,""))</f>
        <v/>
      </c>
      <c r="AL15" s="14" t="str">
        <f ca="1">IF(AND($C15="Goal",AL$7&gt;=$F15,AL$7&lt;=$F15+$G15-1),2,IF(AND($C15="Milestone",AL$7&gt;=$F15,AL$7&lt;=$F15+$G15-1),1,""))</f>
        <v/>
      </c>
      <c r="AM15" s="14" t="str">
        <f ca="1">IF(AND($C15="Goal",AM$7&gt;=$F15,AM$7&lt;=$F15+$G15-1),2,IF(AND($C15="Milestone",AM$7&gt;=$F15,AM$7&lt;=$F15+$G15-1),1,""))</f>
        <v/>
      </c>
      <c r="AN15" s="14" t="str">
        <f ca="1">IF(AND($C15="Goal",AN$7&gt;=$F15,AN$7&lt;=$F15+$G15-1),2,IF(AND($C15="Milestone",AN$7&gt;=$F15,AN$7&lt;=$F15+$G15-1),1,""))</f>
        <v/>
      </c>
      <c r="AO15" s="14" t="str">
        <f ca="1">IF(AND($C15="Goal",AO$7&gt;=$F15,AO$7&lt;=$F15+$G15-1),2,IF(AND($C15="Milestone",AO$7&gt;=$F15,AO$7&lt;=$F15+$G15-1),1,""))</f>
        <v/>
      </c>
      <c r="AP15" s="14" t="str">
        <f ca="1">IF(AND($C15="Goal",AP$7&gt;=$F15,AP$7&lt;=$F15+$G15-1),2,IF(AND($C15="Milestone",AP$7&gt;=$F15,AP$7&lt;=$F15+$G15-1),1,""))</f>
        <v/>
      </c>
      <c r="AQ15" s="14" t="str">
        <f ca="1">IF(AND($C15="Goal",AQ$7&gt;=$F15,AQ$7&lt;=$F15+$G15-1),2,IF(AND($C15="Milestone",AQ$7&gt;=$F15,AQ$7&lt;=$F15+$G15-1),1,""))</f>
        <v/>
      </c>
      <c r="AR15" s="14" t="str">
        <f ca="1">IF(AND($C15="Goal",AR$7&gt;=$F15,AR$7&lt;=$F15+$G15-1),2,IF(AND($C15="Milestone",AR$7&gt;=$F15,AR$7&lt;=$F15+$G15-1),1,""))</f>
        <v/>
      </c>
      <c r="AS15" s="14" t="str">
        <f ca="1">IF(AND($C15="Goal",AS$7&gt;=$F15,AS$7&lt;=$F15+$G15-1),2,IF(AND($C15="Milestone",AS$7&gt;=$F15,AS$7&lt;=$F15+$G15-1),1,""))</f>
        <v/>
      </c>
      <c r="AT15" s="14" t="str">
        <f ca="1">IF(AND($C15="Goal",AT$7&gt;=$F15,AT$7&lt;=$F15+$G15-1),2,IF(AND($C15="Milestone",AT$7&gt;=$F15,AT$7&lt;=$F15+$G15-1),1,""))</f>
        <v/>
      </c>
      <c r="AU15" s="14" t="str">
        <f ca="1">IF(AND($C15="Goal",AU$7&gt;=$F15,AU$7&lt;=$F15+$G15-1),2,IF(AND($C15="Milestone",AU$7&gt;=$F15,AU$7&lt;=$F15+$G15-1),1,""))</f>
        <v/>
      </c>
      <c r="AV15" s="14" t="str">
        <f ca="1">IF(AND($C15="Goal",AV$7&gt;=$F15,AV$7&lt;=$F15+$G15-1),2,IF(AND($C15="Milestone",AV$7&gt;=$F15,AV$7&lt;=$F15+$G15-1),1,""))</f>
        <v/>
      </c>
      <c r="AW15" s="14" t="str">
        <f ca="1">IF(AND($C15="Goal",AW$7&gt;=$F15,AW$7&lt;=$F15+$G15-1),2,IF(AND($C15="Milestone",AW$7&gt;=$F15,AW$7&lt;=$F15+$G15-1),1,""))</f>
        <v/>
      </c>
      <c r="AX15" s="14" t="str">
        <f ca="1">IF(AND($C15="Goal",AX$7&gt;=$F15,AX$7&lt;=$F15+$G15-1),2,IF(AND($C15="Milestone",AX$7&gt;=$F15,AX$7&lt;=$F15+$G15-1),1,""))</f>
        <v/>
      </c>
      <c r="AY15" s="14" t="str">
        <f ca="1">IF(AND($C15="Goal",AY$7&gt;=$F15,AY$7&lt;=$F15+$G15-1),2,IF(AND($C15="Milestone",AY$7&gt;=$F15,AY$7&lt;=$F15+$G15-1),1,""))</f>
        <v/>
      </c>
      <c r="AZ15" s="14" t="str">
        <f ca="1">IF(AND($C15="Goal",AZ$7&gt;=$F15,AZ$7&lt;=$F15+$G15-1),2,IF(AND($C15="Milestone",AZ$7&gt;=$F15,AZ$7&lt;=$F15+$G15-1),1,""))</f>
        <v/>
      </c>
      <c r="BA15" s="14" t="str">
        <f ca="1">IF(AND($C15="Goal",BA$7&gt;=$F15,BA$7&lt;=$F15+$G15-1),2,IF(AND($C15="Milestone",BA$7&gt;=$F15,BA$7&lt;=$F15+$G15-1),1,""))</f>
        <v/>
      </c>
      <c r="BB15" s="14" t="str">
        <f ca="1">IF(AND($C15="Goal",BB$7&gt;=$F15,BB$7&lt;=$F15+$G15-1),2,IF(AND($C15="Milestone",BB$7&gt;=$F15,BB$7&lt;=$F15+$G15-1),1,""))</f>
        <v/>
      </c>
      <c r="BC15" s="14" t="str">
        <f ca="1">IF(AND($C15="Goal",BC$7&gt;=$F15,BC$7&lt;=$F15+$G15-1),2,IF(AND($C15="Milestone",BC$7&gt;=$F15,BC$7&lt;=$F15+$G15-1),1,""))</f>
        <v/>
      </c>
      <c r="BD15" s="14" t="str">
        <f ca="1">IF(AND($C15="Goal",BD$7&gt;=$F15,BD$7&lt;=$F15+$G15-1),2,IF(AND($C15="Milestone",BD$7&gt;=$F15,BD$7&lt;=$F15+$G15-1),1,""))</f>
        <v/>
      </c>
      <c r="BE15" s="14" t="str">
        <f ca="1">IF(AND($C15="Goal",BE$7&gt;=$F15,BE$7&lt;=$F15+$G15-1),2,IF(AND($C15="Milestone",BE$7&gt;=$F15,BE$7&lt;=$F15+$G15-1),1,""))</f>
        <v/>
      </c>
      <c r="BF15" s="14" t="str">
        <f ca="1">IF(AND($C15="Goal",BF$7&gt;=$F15,BF$7&lt;=$F15+$G15-1),2,IF(AND($C15="Milestone",BF$7&gt;=$F15,BF$7&lt;=$F15+$G15-1),1,""))</f>
        <v/>
      </c>
      <c r="BG15" s="14" t="str">
        <f ca="1">IF(AND($C15="Goal",BG$7&gt;=$F15,BG$7&lt;=$F15+$G15-1),2,IF(AND($C15="Milestone",BG$7&gt;=$F15,BG$7&lt;=$F15+$G15-1),1,""))</f>
        <v/>
      </c>
      <c r="BH15" s="14" t="str">
        <f ca="1">IF(AND($C15="Goal",BH$7&gt;=$F15,BH$7&lt;=$F15+$G15-1),2,IF(AND($C15="Milestone",BH$7&gt;=$F15,BH$7&lt;=$F15+$G15-1),1,""))</f>
        <v/>
      </c>
      <c r="BI15" s="14" t="str">
        <f ca="1">IF(AND($C15="Goal",BI$7&gt;=$F15,BI$7&lt;=$F15+$G15-1),2,IF(AND($C15="Milestone",BI$7&gt;=$F15,BI$7&lt;=$F15+$G15-1),1,""))</f>
        <v/>
      </c>
      <c r="BJ15" s="14" t="str">
        <f ca="1">IF(AND($C15="Goal",BJ$7&gt;=$F15,BJ$7&lt;=$F15+$G15-1),2,IF(AND($C15="Milestone",BJ$7&gt;=$F15,BJ$7&lt;=$F15+$G15-1),1,""))</f>
        <v/>
      </c>
      <c r="BK15" s="14" t="str">
        <f ca="1">IF(AND($C15="Goal",BK$7&gt;=$F15,BK$7&lt;=$F15+$G15-1),2,IF(AND($C15="Milestone",BK$7&gt;=$F15,BK$7&lt;=$F15+$G15-1),1,""))</f>
        <v/>
      </c>
      <c r="BL15" s="14" t="str">
        <f ca="1">IF(AND($C15="Goal",BL$7&gt;=$F15,BL$7&lt;=$F15+$G15-1),2,IF(AND($C15="Milestone",BL$7&gt;=$F15,BL$7&lt;=$F15+$G15-1),1,""))</f>
        <v/>
      </c>
    </row>
    <row r="16" spans="1:68" s="1" customFormat="1" ht="40" customHeight="1" x14ac:dyDescent="0.35">
      <c r="A16" s="6"/>
      <c r="B16" s="61" t="str" cm="1">
        <f t="array" ref="B16">IFERROR(INDEX(tblData[Tiêu đề], ROW()-11), "")</f>
        <v>• Checklist master tài liệu toàn công ty</v>
      </c>
      <c r="C16" s="17" t="s">
        <v>3</v>
      </c>
      <c r="D16" s="17" cm="1">
        <f t="array" ref="D16">IFERROR(INDEX(tblData[AssignedToUser], ROW()-11), "")</f>
        <v>0</v>
      </c>
      <c r="E16" s="18" cm="1">
        <f t="array" ref="E16">IFERROR(INDEX(tblData[Progress], ROW()-11), "")</f>
        <v>0.25</v>
      </c>
      <c r="F16" s="19" cm="1">
        <f t="array" ref="F16">IFERROR(INDEX(tblData[TaskStart], ROW()-11), "")</f>
        <v>46054</v>
      </c>
      <c r="G16" s="78" cm="1">
        <f t="array" ref="G16">IFERROR(INDEX(tblData[TaskDue], ROW()-11) - INDEX(tblData[TaskStart], ROW()-11) + 1,"")</f>
        <v>28</v>
      </c>
      <c r="H16" s="17"/>
      <c r="I16" s="14" t="str">
        <f ca="1">IF(AND($C16="Goal",I$7&gt;=$F16,I$7&lt;=$F16+$G16-1),2,IF(AND($C16="Milestone",I$7&gt;=$F16,I$7&lt;=$F16+$G16-1),1,""))</f>
        <v/>
      </c>
      <c r="J16" s="14" t="str">
        <f ca="1">IF(AND($C16="Goal",J$7&gt;=$F16,J$7&lt;=$F16+$G16-1),2,IF(AND($C16="Milestone",J$7&gt;=$F16,J$7&lt;=$F16+$G16-1),1,""))</f>
        <v/>
      </c>
      <c r="K16" s="14" t="str">
        <f ca="1">IF(AND($C16="Goal",K$7&gt;=$F16,K$7&lt;=$F16+$G16-1),2,IF(AND($C16="Milestone",K$7&gt;=$F16,K$7&lt;=$F16+$G16-1),1,""))</f>
        <v/>
      </c>
      <c r="L16" s="14" t="str">
        <f ca="1">IF(AND($C16="Goal",L$7&gt;=$F16,L$7&lt;=$F16+$G16-1),2,IF(AND($C16="Milestone",L$7&gt;=$F16,L$7&lt;=$F16+$G16-1),1,""))</f>
        <v/>
      </c>
      <c r="M16" s="14" t="str">
        <f ca="1">IF(AND($C16="Goal",M$7&gt;=$F16,M$7&lt;=$F16+$G16-1),2,IF(AND($C16="Milestone",M$7&gt;=$F16,M$7&lt;=$F16+$G16-1),1,""))</f>
        <v/>
      </c>
      <c r="N16" s="14" t="str">
        <f ca="1">IF(AND($C16="Goal",N$7&gt;=$F16,N$7&lt;=$F16+$G16-1),2,IF(AND($C16="Milestone",N$7&gt;=$F16,N$7&lt;=$F16+$G16-1),1,""))</f>
        <v/>
      </c>
      <c r="O16" s="14" t="str">
        <f ca="1">IF(AND($C16="Goal",O$7&gt;=$F16,O$7&lt;=$F16+$G16-1),2,IF(AND($C16="Milestone",O$7&gt;=$F16,O$7&lt;=$F16+$G16-1),1,""))</f>
        <v/>
      </c>
      <c r="P16" s="14" t="str">
        <f ca="1">IF(AND($C16="Goal",P$7&gt;=$F16,P$7&lt;=$F16+$G16-1),2,IF(AND($C16="Milestone",P$7&gt;=$F16,P$7&lt;=$F16+$G16-1),1,""))</f>
        <v/>
      </c>
      <c r="Q16" s="14" t="str">
        <f ca="1">IF(AND($C16="Goal",Q$7&gt;=$F16,Q$7&lt;=$F16+$G16-1),2,IF(AND($C16="Milestone",Q$7&gt;=$F16,Q$7&lt;=$F16+$G16-1),1,""))</f>
        <v/>
      </c>
      <c r="R16" s="14" t="str">
        <f ca="1">IF(AND($C16="Goal",R$7&gt;=$F16,R$7&lt;=$F16+$G16-1),2,IF(AND($C16="Milestone",R$7&gt;=$F16,R$7&lt;=$F16+$G16-1),1,""))</f>
        <v/>
      </c>
      <c r="S16" s="14" t="str">
        <f ca="1">IF(AND($C16="Goal",S$7&gt;=$F16,S$7&lt;=$F16+$G16-1),2,IF(AND($C16="Milestone",S$7&gt;=$F16,S$7&lt;=$F16+$G16-1),1,""))</f>
        <v/>
      </c>
      <c r="T16" s="14" t="str">
        <f ca="1">IF(AND($C16="Goal",T$7&gt;=$F16,T$7&lt;=$F16+$G16-1),2,IF(AND($C16="Milestone",T$7&gt;=$F16,T$7&lt;=$F16+$G16-1),1,""))</f>
        <v/>
      </c>
      <c r="U16" s="14" t="str">
        <f ca="1">IF(AND($C16="Goal",U$7&gt;=$F16,U$7&lt;=$F16+$G16-1),2,IF(AND($C16="Milestone",U$7&gt;=$F16,U$7&lt;=$F16+$G16-1),1,""))</f>
        <v/>
      </c>
      <c r="V16" s="14" t="str">
        <f ca="1">IF(AND($C16="Goal",V$7&gt;=$F16,V$7&lt;=$F16+$G16-1),2,IF(AND($C16="Milestone",V$7&gt;=$F16,V$7&lt;=$F16+$G16-1),1,""))</f>
        <v/>
      </c>
      <c r="W16" s="14" t="str">
        <f ca="1">IF(AND($C16="Goal",W$7&gt;=$F16,W$7&lt;=$F16+$G16-1),2,IF(AND($C16="Milestone",W$7&gt;=$F16,W$7&lt;=$F16+$G16-1),1,""))</f>
        <v/>
      </c>
      <c r="X16" s="14" t="str">
        <f ca="1">IF(AND($C16="Goal",X$7&gt;=$F16,X$7&lt;=$F16+$G16-1),2,IF(AND($C16="Milestone",X$7&gt;=$F16,X$7&lt;=$F16+$G16-1),1,""))</f>
        <v/>
      </c>
      <c r="Y16" s="14" t="str">
        <f ca="1">IF(AND($C16="Goal",Y$7&gt;=$F16,Y$7&lt;=$F16+$G16-1),2,IF(AND($C16="Milestone",Y$7&gt;=$F16,Y$7&lt;=$F16+$G16-1),1,""))</f>
        <v/>
      </c>
      <c r="Z16" s="14" t="str">
        <f ca="1">IF(AND($C16="Goal",Z$7&gt;=$F16,Z$7&lt;=$F16+$G16-1),2,IF(AND($C16="Milestone",Z$7&gt;=$F16,Z$7&lt;=$F16+$G16-1),1,""))</f>
        <v/>
      </c>
      <c r="AA16" s="14" t="str">
        <f ca="1">IF(AND($C16="Goal",AA$7&gt;=$F16,AA$7&lt;=$F16+$G16-1),2,IF(AND($C16="Milestone",AA$7&gt;=$F16,AA$7&lt;=$F16+$G16-1),1,""))</f>
        <v/>
      </c>
      <c r="AB16" s="14" t="str">
        <f ca="1">IF(AND($C16="Goal",AB$7&gt;=$F16,AB$7&lt;=$F16+$G16-1),2,IF(AND($C16="Milestone",AB$7&gt;=$F16,AB$7&lt;=$F16+$G16-1),1,""))</f>
        <v/>
      </c>
      <c r="AC16" s="14" t="str">
        <f ca="1">IF(AND($C16="Goal",AC$7&gt;=$F16,AC$7&lt;=$F16+$G16-1),2,IF(AND($C16="Milestone",AC$7&gt;=$F16,AC$7&lt;=$F16+$G16-1),1,""))</f>
        <v/>
      </c>
      <c r="AD16" s="14" t="str">
        <f ca="1">IF(AND($C16="Goal",AD$7&gt;=$F16,AD$7&lt;=$F16+$G16-1),2,IF(AND($C16="Milestone",AD$7&gt;=$F16,AD$7&lt;=$F16+$G16-1),1,""))</f>
        <v/>
      </c>
      <c r="AE16" s="14" t="str">
        <f ca="1">IF(AND($C16="Goal",AE$7&gt;=$F16,AE$7&lt;=$F16+$G16-1),2,IF(AND($C16="Milestone",AE$7&gt;=$F16,AE$7&lt;=$F16+$G16-1),1,""))</f>
        <v/>
      </c>
      <c r="AF16" s="14" t="str">
        <f ca="1">IF(AND($C16="Goal",AF$7&gt;=$F16,AF$7&lt;=$F16+$G16-1),2,IF(AND($C16="Milestone",AF$7&gt;=$F16,AF$7&lt;=$F16+$G16-1),1,""))</f>
        <v/>
      </c>
      <c r="AG16" s="14" t="str">
        <f ca="1">IF(AND($C16="Goal",AG$7&gt;=$F16,AG$7&lt;=$F16+$G16-1),2,IF(AND($C16="Milestone",AG$7&gt;=$F16,AG$7&lt;=$F16+$G16-1),1,""))</f>
        <v/>
      </c>
      <c r="AH16" s="14" t="str">
        <f ca="1">IF(AND($C16="Goal",AH$7&gt;=$F16,AH$7&lt;=$F16+$G16-1),2,IF(AND($C16="Milestone",AH$7&gt;=$F16,AH$7&lt;=$F16+$G16-1),1,""))</f>
        <v/>
      </c>
      <c r="AI16" s="14" t="str">
        <f ca="1">IF(AND($C16="Goal",AI$7&gt;=$F16,AI$7&lt;=$F16+$G16-1),2,IF(AND($C16="Milestone",AI$7&gt;=$F16,AI$7&lt;=$F16+$G16-1),1,""))</f>
        <v/>
      </c>
      <c r="AJ16" s="14" t="str">
        <f ca="1">IF(AND($C16="Goal",AJ$7&gt;=$F16,AJ$7&lt;=$F16+$G16-1),2,IF(AND($C16="Milestone",AJ$7&gt;=$F16,AJ$7&lt;=$F16+$G16-1),1,""))</f>
        <v/>
      </c>
      <c r="AK16" s="14" t="str">
        <f ca="1">IF(AND($C16="Goal",AK$7&gt;=$F16,AK$7&lt;=$F16+$G16-1),2,IF(AND($C16="Milestone",AK$7&gt;=$F16,AK$7&lt;=$F16+$G16-1),1,""))</f>
        <v/>
      </c>
      <c r="AL16" s="14" t="str">
        <f ca="1">IF(AND($C16="Goal",AL$7&gt;=$F16,AL$7&lt;=$F16+$G16-1),2,IF(AND($C16="Milestone",AL$7&gt;=$F16,AL$7&lt;=$F16+$G16-1),1,""))</f>
        <v/>
      </c>
      <c r="AM16" s="14" t="str">
        <f ca="1">IF(AND($C16="Goal",AM$7&gt;=$F16,AM$7&lt;=$F16+$G16-1),2,IF(AND($C16="Milestone",AM$7&gt;=$F16,AM$7&lt;=$F16+$G16-1),1,""))</f>
        <v/>
      </c>
      <c r="AN16" s="14" t="str">
        <f ca="1">IF(AND($C16="Goal",AN$7&gt;=$F16,AN$7&lt;=$F16+$G16-1),2,IF(AND($C16="Milestone",AN$7&gt;=$F16,AN$7&lt;=$F16+$G16-1),1,""))</f>
        <v/>
      </c>
      <c r="AO16" s="14" t="str">
        <f ca="1">IF(AND($C16="Goal",AO$7&gt;=$F16,AO$7&lt;=$F16+$G16-1),2,IF(AND($C16="Milestone",AO$7&gt;=$F16,AO$7&lt;=$F16+$G16-1),1,""))</f>
        <v/>
      </c>
      <c r="AP16" s="14" t="str">
        <f ca="1">IF(AND($C16="Goal",AP$7&gt;=$F16,AP$7&lt;=$F16+$G16-1),2,IF(AND($C16="Milestone",AP$7&gt;=$F16,AP$7&lt;=$F16+$G16-1),1,""))</f>
        <v/>
      </c>
      <c r="AQ16" s="14" t="str">
        <f ca="1">IF(AND($C16="Goal",AQ$7&gt;=$F16,AQ$7&lt;=$F16+$G16-1),2,IF(AND($C16="Milestone",AQ$7&gt;=$F16,AQ$7&lt;=$F16+$G16-1),1,""))</f>
        <v/>
      </c>
      <c r="AR16" s="14" t="str">
        <f ca="1">IF(AND($C16="Goal",AR$7&gt;=$F16,AR$7&lt;=$F16+$G16-1),2,IF(AND($C16="Milestone",AR$7&gt;=$F16,AR$7&lt;=$F16+$G16-1),1,""))</f>
        <v/>
      </c>
      <c r="AS16" s="14" t="str">
        <f ca="1">IF(AND($C16="Goal",AS$7&gt;=$F16,AS$7&lt;=$F16+$G16-1),2,IF(AND($C16="Milestone",AS$7&gt;=$F16,AS$7&lt;=$F16+$G16-1),1,""))</f>
        <v/>
      </c>
      <c r="AT16" s="14" t="str">
        <f ca="1">IF(AND($C16="Goal",AT$7&gt;=$F16,AT$7&lt;=$F16+$G16-1),2,IF(AND($C16="Milestone",AT$7&gt;=$F16,AT$7&lt;=$F16+$G16-1),1,""))</f>
        <v/>
      </c>
      <c r="AU16" s="14" t="str">
        <f ca="1">IF(AND($C16="Goal",AU$7&gt;=$F16,AU$7&lt;=$F16+$G16-1),2,IF(AND($C16="Milestone",AU$7&gt;=$F16,AU$7&lt;=$F16+$G16-1),1,""))</f>
        <v/>
      </c>
      <c r="AV16" s="14" t="str">
        <f ca="1">IF(AND($C16="Goal",AV$7&gt;=$F16,AV$7&lt;=$F16+$G16-1),2,IF(AND($C16="Milestone",AV$7&gt;=$F16,AV$7&lt;=$F16+$G16-1),1,""))</f>
        <v/>
      </c>
      <c r="AW16" s="14" t="str">
        <f ca="1">IF(AND($C16="Goal",AW$7&gt;=$F16,AW$7&lt;=$F16+$G16-1),2,IF(AND($C16="Milestone",AW$7&gt;=$F16,AW$7&lt;=$F16+$G16-1),1,""))</f>
        <v/>
      </c>
      <c r="AX16" s="14" t="str">
        <f ca="1">IF(AND($C16="Goal",AX$7&gt;=$F16,AX$7&lt;=$F16+$G16-1),2,IF(AND($C16="Milestone",AX$7&gt;=$F16,AX$7&lt;=$F16+$G16-1),1,""))</f>
        <v/>
      </c>
      <c r="AY16" s="14" t="str">
        <f ca="1">IF(AND($C16="Goal",AY$7&gt;=$F16,AY$7&lt;=$F16+$G16-1),2,IF(AND($C16="Milestone",AY$7&gt;=$F16,AY$7&lt;=$F16+$G16-1),1,""))</f>
        <v/>
      </c>
      <c r="AZ16" s="14" t="str">
        <f ca="1">IF(AND($C16="Goal",AZ$7&gt;=$F16,AZ$7&lt;=$F16+$G16-1),2,IF(AND($C16="Milestone",AZ$7&gt;=$F16,AZ$7&lt;=$F16+$G16-1),1,""))</f>
        <v/>
      </c>
      <c r="BA16" s="14" t="str">
        <f ca="1">IF(AND($C16="Goal",BA$7&gt;=$F16,BA$7&lt;=$F16+$G16-1),2,IF(AND($C16="Milestone",BA$7&gt;=$F16,BA$7&lt;=$F16+$G16-1),1,""))</f>
        <v/>
      </c>
      <c r="BB16" s="14" t="str">
        <f ca="1">IF(AND($C16="Goal",BB$7&gt;=$F16,BB$7&lt;=$F16+$G16-1),2,IF(AND($C16="Milestone",BB$7&gt;=$F16,BB$7&lt;=$F16+$G16-1),1,""))</f>
        <v/>
      </c>
      <c r="BC16" s="14" t="str">
        <f ca="1">IF(AND($C16="Goal",BC$7&gt;=$F16,BC$7&lt;=$F16+$G16-1),2,IF(AND($C16="Milestone",BC$7&gt;=$F16,BC$7&lt;=$F16+$G16-1),1,""))</f>
        <v/>
      </c>
      <c r="BD16" s="14" t="str">
        <f ca="1">IF(AND($C16="Goal",BD$7&gt;=$F16,BD$7&lt;=$F16+$G16-1),2,IF(AND($C16="Milestone",BD$7&gt;=$F16,BD$7&lt;=$F16+$G16-1),1,""))</f>
        <v/>
      </c>
      <c r="BE16" s="14" t="str">
        <f ca="1">IF(AND($C16="Goal",BE$7&gt;=$F16,BE$7&lt;=$F16+$G16-1),2,IF(AND($C16="Milestone",BE$7&gt;=$F16,BE$7&lt;=$F16+$G16-1),1,""))</f>
        <v/>
      </c>
      <c r="BF16" s="14" t="str">
        <f ca="1">IF(AND($C16="Goal",BF$7&gt;=$F16,BF$7&lt;=$F16+$G16-1),2,IF(AND($C16="Milestone",BF$7&gt;=$F16,BF$7&lt;=$F16+$G16-1),1,""))</f>
        <v/>
      </c>
      <c r="BG16" s="14" t="str">
        <f ca="1">IF(AND($C16="Goal",BG$7&gt;=$F16,BG$7&lt;=$F16+$G16-1),2,IF(AND($C16="Milestone",BG$7&gt;=$F16,BG$7&lt;=$F16+$G16-1),1,""))</f>
        <v/>
      </c>
      <c r="BH16" s="14" t="str">
        <f ca="1">IF(AND($C16="Goal",BH$7&gt;=$F16,BH$7&lt;=$F16+$G16-1),2,IF(AND($C16="Milestone",BH$7&gt;=$F16,BH$7&lt;=$F16+$G16-1),1,""))</f>
        <v/>
      </c>
      <c r="BI16" s="14" t="str">
        <f ca="1">IF(AND($C16="Goal",BI$7&gt;=$F16,BI$7&lt;=$F16+$G16-1),2,IF(AND($C16="Milestone",BI$7&gt;=$F16,BI$7&lt;=$F16+$G16-1),1,""))</f>
        <v/>
      </c>
      <c r="BJ16" s="14" t="str">
        <f ca="1">IF(AND($C16="Goal",BJ$7&gt;=$F16,BJ$7&lt;=$F16+$G16-1),2,IF(AND($C16="Milestone",BJ$7&gt;=$F16,BJ$7&lt;=$F16+$G16-1),1,""))</f>
        <v/>
      </c>
      <c r="BK16" s="14" t="str">
        <f ca="1">IF(AND($C16="Goal",BK$7&gt;=$F16,BK$7&lt;=$F16+$G16-1),2,IF(AND($C16="Milestone",BK$7&gt;=$F16,BK$7&lt;=$F16+$G16-1),1,""))</f>
        <v/>
      </c>
      <c r="BL16" s="14" t="str">
        <f ca="1">IF(AND($C16="Goal",BL$7&gt;=$F16,BL$7&lt;=$F16+$G16-1),2,IF(AND($C16="Milestone",BL$7&gt;=$F16,BL$7&lt;=$F16+$G16-1),1,""))</f>
        <v/>
      </c>
    </row>
    <row r="17" spans="1:64" s="1" customFormat="1" ht="40" customHeight="1" x14ac:dyDescent="0.35">
      <c r="A17" s="6"/>
      <c r="B17" s="61" t="str" cm="1">
        <f t="array" ref="B17">IFERROR(INDEX(tblData[Tiêu đề], ROW()-11), "")</f>
        <v>• Cây thư mục chuẩn các khối/phòng ban</v>
      </c>
      <c r="C17" s="17" t="s">
        <v>3</v>
      </c>
      <c r="D17" s="17" cm="1">
        <f t="array" ref="D17">IFERROR(INDEX(tblData[AssignedToUser], ROW()-11), "")</f>
        <v>0</v>
      </c>
      <c r="E17" s="18" cm="1">
        <f t="array" ref="E17">IFERROR(INDEX(tblData[Progress], ROW()-11), "")</f>
        <v>0.5</v>
      </c>
      <c r="F17" s="19" cm="1">
        <f t="array" ref="F17">IFERROR(INDEX(tblData[TaskStart], ROW()-11), "")</f>
        <v>46054</v>
      </c>
      <c r="G17" s="78" cm="1">
        <f t="array" ref="G17">IFERROR(INDEX(tblData[TaskDue], ROW()-11) - INDEX(tblData[TaskStart], ROW()-11) + 1,"")</f>
        <v>14</v>
      </c>
      <c r="H17" s="17"/>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row>
    <row r="18" spans="1:64" s="1" customFormat="1" ht="40" customHeight="1" x14ac:dyDescent="0.35">
      <c r="A18" s="6"/>
      <c r="B18" s="61" t="str" cm="1">
        <f t="array" ref="B18">IFERROR(INDEX(tblData[Tiêu đề], ROW()-11), "")</f>
        <v>• Phụ lục – biểu mẫu – register</v>
      </c>
      <c r="C18" s="17" t="s">
        <v>3</v>
      </c>
      <c r="D18" s="17" cm="1">
        <f t="array" ref="D18">IFERROR(INDEX(tblData[AssignedToUser], ROW()-11), "")</f>
        <v>0</v>
      </c>
      <c r="E18" s="18" cm="1">
        <f t="array" ref="E18">IFERROR(INDEX(tblData[Progress], ROW()-11), "")</f>
        <v>1</v>
      </c>
      <c r="F18" s="19" cm="1">
        <f t="array" ref="F18">IFERROR(INDEX(tblData[TaskStart], ROW()-11), "")</f>
        <v>46067</v>
      </c>
      <c r="G18" s="78" cm="1">
        <f t="array" ref="G18">IFERROR(INDEX(tblData[TaskDue], ROW()-11) - INDEX(tblData[TaskStart], ROW()-11) + 1,"")</f>
        <v>15</v>
      </c>
      <c r="H18" s="17"/>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row>
    <row r="19" spans="1:64" s="1" customFormat="1" ht="40" customHeight="1" x14ac:dyDescent="0.35">
      <c r="A19" s="6"/>
      <c r="B19" s="61" t="str" cm="1">
        <f t="array" ref="B19">IFERROR(INDEX(tblData[Tiêu đề], ROW()-11), "")</f>
        <v>• Sơ đồ tổ chức tổng thể ADC</v>
      </c>
      <c r="C19" s="17" t="s">
        <v>3</v>
      </c>
      <c r="D19" s="17" cm="1">
        <f t="array" ref="D19">IFERROR(INDEX(tblData[AssignedToUser], ROW()-11), "")</f>
        <v>0</v>
      </c>
      <c r="E19" s="18" cm="1">
        <f t="array" ref="E19">IFERROR(INDEX(tblData[Progress], ROW()-11), "")</f>
        <v>0.5</v>
      </c>
      <c r="F19" s="19" cm="1">
        <f t="array" ref="F19">IFERROR(INDEX(tblData[TaskStart], ROW()-11), "")</f>
        <v>46067</v>
      </c>
      <c r="G19" s="78" cm="1">
        <f t="array" ref="G19">IFERROR(INDEX(tblData[TaskDue], ROW()-11) - INDEX(tblData[TaskStart], ROW()-11) + 1,"")</f>
        <v>11</v>
      </c>
      <c r="H19" s="17"/>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row>
    <row r="20" spans="1:64" s="1" customFormat="1" ht="40" customHeight="1" x14ac:dyDescent="0.35">
      <c r="A20" s="6"/>
      <c r="B20" s="61" t="str" cm="1">
        <f t="array" ref="B20">IFERROR(INDEX(tblData[Tiêu đề], ROW()-11), "")</f>
        <v>• Position Matrix tổng</v>
      </c>
      <c r="C20" s="17" t="s">
        <v>3</v>
      </c>
      <c r="D20" s="17" cm="1">
        <f t="array" ref="D20">IFERROR(INDEX(tblData[AssignedToUser], ROW()-11), "")</f>
        <v>0</v>
      </c>
      <c r="E20" s="18" cm="1">
        <f t="array" ref="E20">IFERROR(INDEX(tblData[Progress], ROW()-11), "")</f>
        <v>0.5</v>
      </c>
      <c r="F20" s="19" cm="1">
        <f t="array" ref="F20">IFERROR(INDEX(tblData[TaskStart], ROW()-11), "")</f>
        <v>46023</v>
      </c>
      <c r="G20" s="78" cm="1">
        <f t="array" ref="G20">IFERROR(INDEX(tblData[TaskDue], ROW()-11) - INDEX(tblData[TaskStart], ROW()-11) + 1,"")</f>
        <v>32</v>
      </c>
      <c r="H20" s="17"/>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row>
    <row r="21" spans="1:64" s="1" customFormat="1" ht="40" customHeight="1" x14ac:dyDescent="0.35">
      <c r="A21" s="6"/>
      <c r="B21" s="61" t="str" cm="1">
        <f t="array" ref="B21">IFERROR(INDEX(tblData[Tiêu đề], ROW()-11), "")</f>
        <v>• Quy định vòng đời nhân sự</v>
      </c>
      <c r="C21" s="17" t="s">
        <v>3</v>
      </c>
      <c r="D21" s="17" cm="1">
        <f t="array" ref="D21">IFERROR(INDEX(tblData[AssignedToUser], ROW()-11), "")</f>
        <v>0</v>
      </c>
      <c r="E21" s="18" cm="1">
        <f t="array" ref="E21">IFERROR(INDEX(tblData[Progress], ROW()-11), "")</f>
        <v>0.5</v>
      </c>
      <c r="F21" s="19" cm="1">
        <f t="array" ref="F21">IFERROR(INDEX(tblData[TaskStart], ROW()-11), "")</f>
        <v>46037</v>
      </c>
      <c r="G21" s="78" cm="1">
        <f t="array" ref="G21">IFERROR(INDEX(tblData[TaskDue], ROW()-11) - INDEX(tblData[TaskStart], ROW()-11) + 1,"")</f>
        <v>25</v>
      </c>
      <c r="H21" s="17"/>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row>
    <row r="22" spans="1:64" s="1" customFormat="1" ht="40" customHeight="1" x14ac:dyDescent="0.35">
      <c r="A22" s="6"/>
      <c r="B22" s="61" t="str" cm="1">
        <f t="array" ref="B22">IFERROR(INDEX(tblData[Tiêu đề], ROW()-11), "")</f>
        <v>• Quy định tuyển dụng</v>
      </c>
      <c r="C22" s="17" t="s">
        <v>3</v>
      </c>
      <c r="D22" s="17" cm="1">
        <f t="array" ref="D22">IFERROR(INDEX(tblData[AssignedToUser], ROW()-11), "")</f>
        <v>0</v>
      </c>
      <c r="E22" s="18" cm="1">
        <f t="array" ref="E22">IFERROR(INDEX(tblData[Progress], ROW()-11), "")</f>
        <v>0.75</v>
      </c>
      <c r="F22" s="19" cm="1">
        <f t="array" ref="F22">IFERROR(INDEX(tblData[TaskStart], ROW()-11), "")</f>
        <v>46023</v>
      </c>
      <c r="G22" s="78" cm="1">
        <f t="array" ref="G22">IFERROR(INDEX(tblData[TaskDue], ROW()-11) - INDEX(tblData[TaskStart], ROW()-11) + 1,"")</f>
        <v>12</v>
      </c>
      <c r="H22" s="17"/>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row>
    <row r="23" spans="1:64" s="1" customFormat="1" ht="40" customHeight="1" x14ac:dyDescent="0.35">
      <c r="A23" s="6"/>
      <c r="B23" s="61" t="str" cm="1">
        <f t="array" ref="B23">IFERROR(INDEX(tblData[Tiêu đề], ROW()-11), "")</f>
        <v>• Phụ lục – biểu mẫu – register</v>
      </c>
      <c r="C23" s="17" t="s">
        <v>3</v>
      </c>
      <c r="D23" s="17" cm="1">
        <f t="array" ref="D23">IFERROR(INDEX(tblData[AssignedToUser], ROW()-11), "")</f>
        <v>0</v>
      </c>
      <c r="E23" s="18" cm="1">
        <f t="array" ref="E23">IFERROR(INDEX(tblData[Progress], ROW()-11), "")</f>
        <v>0.5</v>
      </c>
      <c r="F23" s="19" cm="1">
        <f t="array" ref="F23">IFERROR(INDEX(tblData[TaskStart], ROW()-11), "")</f>
        <v>46023</v>
      </c>
      <c r="G23" s="78" cm="1">
        <f t="array" ref="G23">IFERROR(INDEX(tblData[TaskDue], ROW()-11) - INDEX(tblData[TaskStart], ROW()-11) + 1,"")</f>
        <v>59</v>
      </c>
      <c r="H23" s="17"/>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row>
    <row r="24" spans="1:64" s="1" customFormat="1" ht="40" customHeight="1" x14ac:dyDescent="0.35">
      <c r="A24" s="6"/>
      <c r="B24" s="61" t="str" cm="1">
        <f t="array" ref="B24">IFERROR(INDEX(tblData[Tiêu đề], ROW()-11), "")</f>
        <v/>
      </c>
      <c r="C24" s="17"/>
      <c r="D24" s="17"/>
      <c r="E24" s="18" t="str" cm="1">
        <f t="array" ref="E24">IFERROR(INDEX(tblData[Progress], ROW()-11), "")</f>
        <v/>
      </c>
      <c r="F24" s="19" t="str" cm="1">
        <f t="array" ref="F24">IFERROR(INDEX(tblData[TaskStart], ROW()-11), "")</f>
        <v/>
      </c>
      <c r="G24" s="78" t="str" cm="1">
        <f t="array" ref="G24">IFERROR(INDEX(tblData[TaskDue], ROW()-11) - INDEX(tblData[TaskStart], ROW()-11) + 1,"")</f>
        <v/>
      </c>
      <c r="H24" s="17"/>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row>
    <row r="25" spans="1:64" s="1" customFormat="1" ht="40" customHeight="1" x14ac:dyDescent="0.35">
      <c r="A25" s="6"/>
      <c r="B25" s="80"/>
      <c r="C25" s="17"/>
      <c r="D25" s="17"/>
      <c r="E25" s="18"/>
      <c r="F25" s="19"/>
      <c r="G25" s="78"/>
      <c r="H25" s="17"/>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row>
    <row r="26" spans="1:64" s="1" customFormat="1" ht="40" customHeight="1" x14ac:dyDescent="0.35">
      <c r="A26" s="6"/>
      <c r="B26" s="81"/>
      <c r="C26" s="17"/>
      <c r="D26" s="17"/>
      <c r="E26" s="18"/>
      <c r="F26" s="19"/>
      <c r="G26" s="78"/>
      <c r="H26" s="17"/>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row>
    <row r="27" spans="1:64" s="1" customFormat="1" ht="40" customHeight="1" x14ac:dyDescent="0.35">
      <c r="A27" s="6"/>
      <c r="B27" s="82"/>
      <c r="C27" s="17"/>
      <c r="D27" s="17"/>
      <c r="E27" s="18"/>
      <c r="F27" s="19"/>
      <c r="G27" s="78"/>
      <c r="H27" s="17"/>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64" s="1" customFormat="1" ht="40" customHeight="1" x14ac:dyDescent="0.35">
      <c r="A28" s="6"/>
      <c r="B28" s="82"/>
      <c r="C28" s="17"/>
      <c r="D28" s="17"/>
      <c r="E28" s="18"/>
      <c r="F28" s="19"/>
      <c r="G28" s="78"/>
      <c r="H28" s="17"/>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row>
    <row r="29" spans="1:64" s="1" customFormat="1" ht="40" customHeight="1" x14ac:dyDescent="0.35">
      <c r="A29" s="6"/>
      <c r="B29" s="79"/>
      <c r="C29" s="17"/>
      <c r="D29" s="17"/>
      <c r="E29" s="18"/>
      <c r="F29" s="19"/>
      <c r="G29" s="78"/>
      <c r="H29" s="17"/>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row>
    <row r="30" spans="1:64" s="1" customFormat="1" ht="40" customHeight="1" x14ac:dyDescent="0.35">
      <c r="A30" s="7"/>
      <c r="B30" s="60"/>
      <c r="C30" s="17"/>
      <c r="D30" s="17"/>
      <c r="E30" s="18"/>
      <c r="F30" s="19"/>
      <c r="G30" s="20"/>
      <c r="H30" s="17"/>
      <c r="I30" s="14" t="str">
        <f ca="1">IF(AND($C30="Goal",I$7&gt;=$F30,I$7&lt;=$F30+$G30-1),2,IF(AND($C30="Milestone",I$7&gt;=$F30,I$7&lt;=$F30+$G30-1),1,""))</f>
        <v/>
      </c>
      <c r="J30" s="14" t="str">
        <f ca="1">IF(AND($C30="Goal",J$7&gt;=$F30,J$7&lt;=$F30+$G30-1),2,IF(AND($C30="Milestone",J$7&gt;=$F30,J$7&lt;=$F30+$G30-1),1,""))</f>
        <v/>
      </c>
      <c r="K30" s="14" t="str">
        <f ca="1">IF(AND($C30="Goal",K$7&gt;=$F30,K$7&lt;=$F30+$G30-1),2,IF(AND($C30="Milestone",K$7&gt;=$F30,K$7&lt;=$F30+$G30-1),1,""))</f>
        <v/>
      </c>
      <c r="L30" s="14" t="str">
        <f ca="1">IF(AND($C30="Goal",L$7&gt;=$F30,L$7&lt;=$F30+$G30-1),2,IF(AND($C30="Milestone",L$7&gt;=$F30,L$7&lt;=$F30+$G30-1),1,""))</f>
        <v/>
      </c>
      <c r="M30" s="14" t="str">
        <f ca="1">IF(AND($C30="Goal",M$7&gt;=$F30,M$7&lt;=$F30+$G30-1),2,IF(AND($C30="Milestone",M$7&gt;=$F30,M$7&lt;=$F30+$G30-1),1,""))</f>
        <v/>
      </c>
      <c r="N30" s="14" t="str">
        <f ca="1">IF(AND($C30="Goal",N$7&gt;=$F30,N$7&lt;=$F30+$G30-1),2,IF(AND($C30="Milestone",N$7&gt;=$F30,N$7&lt;=$F30+$G30-1),1,""))</f>
        <v/>
      </c>
      <c r="O30" s="14" t="str">
        <f ca="1">IF(AND($C30="Goal",O$7&gt;=$F30,O$7&lt;=$F30+$G30-1),2,IF(AND($C30="Milestone",O$7&gt;=$F30,O$7&lt;=$F30+$G30-1),1,""))</f>
        <v/>
      </c>
      <c r="P30" s="14" t="str">
        <f ca="1">IF(AND($C30="Goal",P$7&gt;=$F30,P$7&lt;=$F30+$G30-1),2,IF(AND($C30="Milestone",P$7&gt;=$F30,P$7&lt;=$F30+$G30-1),1,""))</f>
        <v/>
      </c>
      <c r="Q30" s="14" t="str">
        <f ca="1">IF(AND($C30="Goal",Q$7&gt;=$F30,Q$7&lt;=$F30+$G30-1),2,IF(AND($C30="Milestone",Q$7&gt;=$F30,Q$7&lt;=$F30+$G30-1),1,""))</f>
        <v/>
      </c>
      <c r="R30" s="14" t="str">
        <f ca="1">IF(AND($C30="Goal",R$7&gt;=$F30,R$7&lt;=$F30+$G30-1),2,IF(AND($C30="Milestone",R$7&gt;=$F30,R$7&lt;=$F30+$G30-1),1,""))</f>
        <v/>
      </c>
      <c r="S30" s="14" t="str">
        <f ca="1">IF(AND($C30="Goal",S$7&gt;=$F30,S$7&lt;=$F30+$G30-1),2,IF(AND($C30="Milestone",S$7&gt;=$F30,S$7&lt;=$F30+$G30-1),1,""))</f>
        <v/>
      </c>
      <c r="T30" s="14" t="str">
        <f ca="1">IF(AND($C30="Goal",T$7&gt;=$F30,T$7&lt;=$F30+$G30-1),2,IF(AND($C30="Milestone",T$7&gt;=$F30,T$7&lt;=$F30+$G30-1),1,""))</f>
        <v/>
      </c>
      <c r="U30" s="14" t="str">
        <f ca="1">IF(AND($C30="Goal",U$7&gt;=$F30,U$7&lt;=$F30+$G30-1),2,IF(AND($C30="Milestone",U$7&gt;=$F30,U$7&lt;=$F30+$G30-1),1,""))</f>
        <v/>
      </c>
      <c r="V30" s="14" t="str">
        <f ca="1">IF(AND($C30="Goal",V$7&gt;=$F30,V$7&lt;=$F30+$G30-1),2,IF(AND($C30="Milestone",V$7&gt;=$F30,V$7&lt;=$F30+$G30-1),1,""))</f>
        <v/>
      </c>
      <c r="W30" s="14" t="str">
        <f ca="1">IF(AND($C30="Goal",W$7&gt;=$F30,W$7&lt;=$F30+$G30-1),2,IF(AND($C30="Milestone",W$7&gt;=$F30,W$7&lt;=$F30+$G30-1),1,""))</f>
        <v/>
      </c>
      <c r="X30" s="14" t="str">
        <f ca="1">IF(AND($C30="Goal",X$7&gt;=$F30,X$7&lt;=$F30+$G30-1),2,IF(AND($C30="Milestone",X$7&gt;=$F30,X$7&lt;=$F30+$G30-1),1,""))</f>
        <v/>
      </c>
      <c r="Y30" s="14" t="str">
        <f ca="1">IF(AND($C30="Goal",Y$7&gt;=$F30,Y$7&lt;=$F30+$G30-1),2,IF(AND($C30="Milestone",Y$7&gt;=$F30,Y$7&lt;=$F30+$G30-1),1,""))</f>
        <v/>
      </c>
      <c r="Z30" s="14" t="str">
        <f ca="1">IF(AND($C30="Goal",Z$7&gt;=$F30,Z$7&lt;=$F30+$G30-1),2,IF(AND($C30="Milestone",Z$7&gt;=$F30,Z$7&lt;=$F30+$G30-1),1,""))</f>
        <v/>
      </c>
      <c r="AA30" s="14" t="str">
        <f ca="1">IF(AND($C30="Goal",AA$7&gt;=$F30,AA$7&lt;=$F30+$G30-1),2,IF(AND($C30="Milestone",AA$7&gt;=$F30,AA$7&lt;=$F30+$G30-1),1,""))</f>
        <v/>
      </c>
      <c r="AB30" s="14" t="str">
        <f ca="1">IF(AND($C30="Goal",AB$7&gt;=$F30,AB$7&lt;=$F30+$G30-1),2,IF(AND($C30="Milestone",AB$7&gt;=$F30,AB$7&lt;=$F30+$G30-1),1,""))</f>
        <v/>
      </c>
      <c r="AC30" s="14" t="str">
        <f ca="1">IF(AND($C30="Goal",AC$7&gt;=$F30,AC$7&lt;=$F30+$G30-1),2,IF(AND($C30="Milestone",AC$7&gt;=$F30,AC$7&lt;=$F30+$G30-1),1,""))</f>
        <v/>
      </c>
      <c r="AD30" s="14" t="str">
        <f ca="1">IF(AND($C30="Goal",AD$7&gt;=$F30,AD$7&lt;=$F30+$G30-1),2,IF(AND($C30="Milestone",AD$7&gt;=$F30,AD$7&lt;=$F30+$G30-1),1,""))</f>
        <v/>
      </c>
      <c r="AE30" s="14" t="str">
        <f ca="1">IF(AND($C30="Goal",AE$7&gt;=$F30,AE$7&lt;=$F30+$G30-1),2,IF(AND($C30="Milestone",AE$7&gt;=$F30,AE$7&lt;=$F30+$G30-1),1,""))</f>
        <v/>
      </c>
      <c r="AF30" s="14" t="str">
        <f ca="1">IF(AND($C30="Goal",AF$7&gt;=$F30,AF$7&lt;=$F30+$G30-1),2,IF(AND($C30="Milestone",AF$7&gt;=$F30,AF$7&lt;=$F30+$G30-1),1,""))</f>
        <v/>
      </c>
      <c r="AG30" s="14" t="str">
        <f ca="1">IF(AND($C30="Goal",AG$7&gt;=$F30,AG$7&lt;=$F30+$G30-1),2,IF(AND($C30="Milestone",AG$7&gt;=$F30,AG$7&lt;=$F30+$G30-1),1,""))</f>
        <v/>
      </c>
      <c r="AH30" s="14" t="str">
        <f ca="1">IF(AND($C30="Goal",AH$7&gt;=$F30,AH$7&lt;=$F30+$G30-1),2,IF(AND($C30="Milestone",AH$7&gt;=$F30,AH$7&lt;=$F30+$G30-1),1,""))</f>
        <v/>
      </c>
      <c r="AI30" s="14" t="str">
        <f ca="1">IF(AND($C30="Goal",AI$7&gt;=$F30,AI$7&lt;=$F30+$G30-1),2,IF(AND($C30="Milestone",AI$7&gt;=$F30,AI$7&lt;=$F30+$G30-1),1,""))</f>
        <v/>
      </c>
      <c r="AJ30" s="14" t="str">
        <f ca="1">IF(AND($C30="Goal",AJ$7&gt;=$F30,AJ$7&lt;=$F30+$G30-1),2,IF(AND($C30="Milestone",AJ$7&gt;=$F30,AJ$7&lt;=$F30+$G30-1),1,""))</f>
        <v/>
      </c>
      <c r="AK30" s="14" t="str">
        <f ca="1">IF(AND($C30="Goal",AK$7&gt;=$F30,AK$7&lt;=$F30+$G30-1),2,IF(AND($C30="Milestone",AK$7&gt;=$F30,AK$7&lt;=$F30+$G30-1),1,""))</f>
        <v/>
      </c>
      <c r="AL30" s="14" t="str">
        <f ca="1">IF(AND($C30="Goal",AL$7&gt;=$F30,AL$7&lt;=$F30+$G30-1),2,IF(AND($C30="Milestone",AL$7&gt;=$F30,AL$7&lt;=$F30+$G30-1),1,""))</f>
        <v/>
      </c>
      <c r="AM30" s="14" t="str">
        <f ca="1">IF(AND($C30="Goal",AM$7&gt;=$F30,AM$7&lt;=$F30+$G30-1),2,IF(AND($C30="Milestone",AM$7&gt;=$F30,AM$7&lt;=$F30+$G30-1),1,""))</f>
        <v/>
      </c>
      <c r="AN30" s="14" t="str">
        <f ca="1">IF(AND($C30="Goal",AN$7&gt;=$F30,AN$7&lt;=$F30+$G30-1),2,IF(AND($C30="Milestone",AN$7&gt;=$F30,AN$7&lt;=$F30+$G30-1),1,""))</f>
        <v/>
      </c>
      <c r="AO30" s="14" t="str">
        <f ca="1">IF(AND($C30="Goal",AO$7&gt;=$F30,AO$7&lt;=$F30+$G30-1),2,IF(AND($C30="Milestone",AO$7&gt;=$F30,AO$7&lt;=$F30+$G30-1),1,""))</f>
        <v/>
      </c>
      <c r="AP30" s="14" t="str">
        <f ca="1">IF(AND($C30="Goal",AP$7&gt;=$F30,AP$7&lt;=$F30+$G30-1),2,IF(AND($C30="Milestone",AP$7&gt;=$F30,AP$7&lt;=$F30+$G30-1),1,""))</f>
        <v/>
      </c>
      <c r="AQ30" s="14" t="str">
        <f ca="1">IF(AND($C30="Goal",AQ$7&gt;=$F30,AQ$7&lt;=$F30+$G30-1),2,IF(AND($C30="Milestone",AQ$7&gt;=$F30,AQ$7&lt;=$F30+$G30-1),1,""))</f>
        <v/>
      </c>
      <c r="AR30" s="14" t="str">
        <f ca="1">IF(AND($C30="Goal",AR$7&gt;=$F30,AR$7&lt;=$F30+$G30-1),2,IF(AND($C30="Milestone",AR$7&gt;=$F30,AR$7&lt;=$F30+$G30-1),1,""))</f>
        <v/>
      </c>
      <c r="AS30" s="14" t="str">
        <f ca="1">IF(AND($C30="Goal",AS$7&gt;=$F30,AS$7&lt;=$F30+$G30-1),2,IF(AND($C30="Milestone",AS$7&gt;=$F30,AS$7&lt;=$F30+$G30-1),1,""))</f>
        <v/>
      </c>
      <c r="AT30" s="14" t="str">
        <f ca="1">IF(AND($C30="Goal",AT$7&gt;=$F30,AT$7&lt;=$F30+$G30-1),2,IF(AND($C30="Milestone",AT$7&gt;=$F30,AT$7&lt;=$F30+$G30-1),1,""))</f>
        <v/>
      </c>
      <c r="AU30" s="14" t="str">
        <f ca="1">IF(AND($C30="Goal",AU$7&gt;=$F30,AU$7&lt;=$F30+$G30-1),2,IF(AND($C30="Milestone",AU$7&gt;=$F30,AU$7&lt;=$F30+$G30-1),1,""))</f>
        <v/>
      </c>
      <c r="AV30" s="14" t="str">
        <f ca="1">IF(AND($C30="Goal",AV$7&gt;=$F30,AV$7&lt;=$F30+$G30-1),2,IF(AND($C30="Milestone",AV$7&gt;=$F30,AV$7&lt;=$F30+$G30-1),1,""))</f>
        <v/>
      </c>
      <c r="AW30" s="14" t="str">
        <f ca="1">IF(AND($C30="Goal",AW$7&gt;=$F30,AW$7&lt;=$F30+$G30-1),2,IF(AND($C30="Milestone",AW$7&gt;=$F30,AW$7&lt;=$F30+$G30-1),1,""))</f>
        <v/>
      </c>
      <c r="AX30" s="14" t="str">
        <f ca="1">IF(AND($C30="Goal",AX$7&gt;=$F30,AX$7&lt;=$F30+$G30-1),2,IF(AND($C30="Milestone",AX$7&gt;=$F30,AX$7&lt;=$F30+$G30-1),1,""))</f>
        <v/>
      </c>
      <c r="AY30" s="14" t="str">
        <f ca="1">IF(AND($C30="Goal",AY$7&gt;=$F30,AY$7&lt;=$F30+$G30-1),2,IF(AND($C30="Milestone",AY$7&gt;=$F30,AY$7&lt;=$F30+$G30-1),1,""))</f>
        <v/>
      </c>
      <c r="AZ30" s="14" t="str">
        <f ca="1">IF(AND($C30="Goal",AZ$7&gt;=$F30,AZ$7&lt;=$F30+$G30-1),2,IF(AND($C30="Milestone",AZ$7&gt;=$F30,AZ$7&lt;=$F30+$G30-1),1,""))</f>
        <v/>
      </c>
      <c r="BA30" s="14" t="str">
        <f ca="1">IF(AND($C30="Goal",BA$7&gt;=$F30,BA$7&lt;=$F30+$G30-1),2,IF(AND($C30="Milestone",BA$7&gt;=$F30,BA$7&lt;=$F30+$G30-1),1,""))</f>
        <v/>
      </c>
      <c r="BB30" s="14" t="str">
        <f ca="1">IF(AND($C30="Goal",BB$7&gt;=$F30,BB$7&lt;=$F30+$G30-1),2,IF(AND($C30="Milestone",BB$7&gt;=$F30,BB$7&lt;=$F30+$G30-1),1,""))</f>
        <v/>
      </c>
      <c r="BC30" s="14" t="str">
        <f ca="1">IF(AND($C30="Goal",BC$7&gt;=$F30,BC$7&lt;=$F30+$G30-1),2,IF(AND($C30="Milestone",BC$7&gt;=$F30,BC$7&lt;=$F30+$G30-1),1,""))</f>
        <v/>
      </c>
      <c r="BD30" s="14" t="str">
        <f ca="1">IF(AND($C30="Goal",BD$7&gt;=$F30,BD$7&lt;=$F30+$G30-1),2,IF(AND($C30="Milestone",BD$7&gt;=$F30,BD$7&lt;=$F30+$G30-1),1,""))</f>
        <v/>
      </c>
      <c r="BE30" s="14" t="str">
        <f ca="1">IF(AND($C30="Goal",BE$7&gt;=$F30,BE$7&lt;=$F30+$G30-1),2,IF(AND($C30="Milestone",BE$7&gt;=$F30,BE$7&lt;=$F30+$G30-1),1,""))</f>
        <v/>
      </c>
      <c r="BF30" s="14" t="str">
        <f ca="1">IF(AND($C30="Goal",BF$7&gt;=$F30,BF$7&lt;=$F30+$G30-1),2,IF(AND($C30="Milestone",BF$7&gt;=$F30,BF$7&lt;=$F30+$G30-1),1,""))</f>
        <v/>
      </c>
      <c r="BG30" s="14" t="str">
        <f ca="1">IF(AND($C30="Goal",BG$7&gt;=$F30,BG$7&lt;=$F30+$G30-1),2,IF(AND($C30="Milestone",BG$7&gt;=$F30,BG$7&lt;=$F30+$G30-1),1,""))</f>
        <v/>
      </c>
      <c r="BH30" s="14" t="str">
        <f ca="1">IF(AND($C30="Goal",BH$7&gt;=$F30,BH$7&lt;=$F30+$G30-1),2,IF(AND($C30="Milestone",BH$7&gt;=$F30,BH$7&lt;=$F30+$G30-1),1,""))</f>
        <v/>
      </c>
      <c r="BI30" s="14" t="str">
        <f ca="1">IF(AND($C30="Goal",BI$7&gt;=$F30,BI$7&lt;=$F30+$G30-1),2,IF(AND($C30="Milestone",BI$7&gt;=$F30,BI$7&lt;=$F30+$G30-1),1,""))</f>
        <v/>
      </c>
      <c r="BJ30" s="14" t="str">
        <f ca="1">IF(AND($C30="Goal",BJ$7&gt;=$F30,BJ$7&lt;=$F30+$G30-1),2,IF(AND($C30="Milestone",BJ$7&gt;=$F30,BJ$7&lt;=$F30+$G30-1),1,""))</f>
        <v/>
      </c>
      <c r="BK30" s="14" t="str">
        <f ca="1">IF(AND($C30="Goal",BK$7&gt;=$F30,BK$7&lt;=$F30+$G30-1),2,IF(AND($C30="Milestone",BK$7&gt;=$F30,BK$7&lt;=$F30+$G30-1),1,""))</f>
        <v/>
      </c>
      <c r="BL30" s="14" t="str">
        <f ca="1">IF(AND($C30="Goal",BL$7&gt;=$F30,BL$7&lt;=$F30+$G30-1),2,IF(AND($C30="Milestone",BL$7&gt;=$F30,BL$7&lt;=$F30+$G30-1),1,""))</f>
        <v/>
      </c>
    </row>
    <row r="31" spans="1:64" s="1" customFormat="1" ht="40" customHeight="1" x14ac:dyDescent="0.35">
      <c r="A31" s="7"/>
      <c r="B31" s="61"/>
      <c r="C31" s="17"/>
      <c r="D31" s="17"/>
      <c r="E31" s="18"/>
      <c r="F31" s="19"/>
      <c r="G31" s="20"/>
      <c r="H31" s="17"/>
      <c r="I31" s="14" t="str">
        <f ca="1">IF(AND($C31="Goal",I$7&gt;=$F31,I$7&lt;=$F31+$G31-1),2,IF(AND($C31="Milestone",I$7&gt;=$F31,I$7&lt;=$F31+$G31-1),1,""))</f>
        <v/>
      </c>
      <c r="J31" s="14" t="str">
        <f ca="1">IF(AND($C31="Goal",J$7&gt;=$F31,J$7&lt;=$F31+$G31-1),2,IF(AND($C31="Milestone",J$7&gt;=$F31,J$7&lt;=$F31+$G31-1),1,""))</f>
        <v/>
      </c>
      <c r="K31" s="14" t="str">
        <f ca="1">IF(AND($C31="Goal",K$7&gt;=$F31,K$7&lt;=$F31+$G31-1),2,IF(AND($C31="Milestone",K$7&gt;=$F31,K$7&lt;=$F31+$G31-1),1,""))</f>
        <v/>
      </c>
      <c r="L31" s="14" t="str">
        <f ca="1">IF(AND($C31="Goal",L$7&gt;=$F31,L$7&lt;=$F31+$G31-1),2,IF(AND($C31="Milestone",L$7&gt;=$F31,L$7&lt;=$F31+$G31-1),1,""))</f>
        <v/>
      </c>
      <c r="M31" s="14" t="str">
        <f ca="1">IF(AND($C31="Goal",M$7&gt;=$F31,M$7&lt;=$F31+$G31-1),2,IF(AND($C31="Milestone",M$7&gt;=$F31,M$7&lt;=$F31+$G31-1),1,""))</f>
        <v/>
      </c>
      <c r="N31" s="14" t="str">
        <f ca="1">IF(AND($C31="Goal",N$7&gt;=$F31,N$7&lt;=$F31+$G31-1),2,IF(AND($C31="Milestone",N$7&gt;=$F31,N$7&lt;=$F31+$G31-1),1,""))</f>
        <v/>
      </c>
      <c r="O31" s="14" t="str">
        <f ca="1">IF(AND($C31="Goal",O$7&gt;=$F31,O$7&lt;=$F31+$G31-1),2,IF(AND($C31="Milestone",O$7&gt;=$F31,O$7&lt;=$F31+$G31-1),1,""))</f>
        <v/>
      </c>
      <c r="P31" s="14" t="str">
        <f ca="1">IF(AND($C31="Goal",P$7&gt;=$F31,P$7&lt;=$F31+$G31-1),2,IF(AND($C31="Milestone",P$7&gt;=$F31,P$7&lt;=$F31+$G31-1),1,""))</f>
        <v/>
      </c>
      <c r="Q31" s="14" t="str">
        <f ca="1">IF(AND($C31="Goal",Q$7&gt;=$F31,Q$7&lt;=$F31+$G31-1),2,IF(AND($C31="Milestone",Q$7&gt;=$F31,Q$7&lt;=$F31+$G31-1),1,""))</f>
        <v/>
      </c>
      <c r="R31" s="14" t="str">
        <f ca="1">IF(AND($C31="Goal",R$7&gt;=$F31,R$7&lt;=$F31+$G31-1),2,IF(AND($C31="Milestone",R$7&gt;=$F31,R$7&lt;=$F31+$G31-1),1,""))</f>
        <v/>
      </c>
      <c r="S31" s="14" t="str">
        <f ca="1">IF(AND($C31="Goal",S$7&gt;=$F31,S$7&lt;=$F31+$G31-1),2,IF(AND($C31="Milestone",S$7&gt;=$F31,S$7&lt;=$F31+$G31-1),1,""))</f>
        <v/>
      </c>
      <c r="T31" s="14" t="str">
        <f ca="1">IF(AND($C31="Goal",T$7&gt;=$F31,T$7&lt;=$F31+$G31-1),2,IF(AND($C31="Milestone",T$7&gt;=$F31,T$7&lt;=$F31+$G31-1),1,""))</f>
        <v/>
      </c>
      <c r="U31" s="14" t="str">
        <f ca="1">IF(AND($C31="Goal",U$7&gt;=$F31,U$7&lt;=$F31+$G31-1),2,IF(AND($C31="Milestone",U$7&gt;=$F31,U$7&lt;=$F31+$G31-1),1,""))</f>
        <v/>
      </c>
      <c r="V31" s="14" t="str">
        <f ca="1">IF(AND($C31="Goal",V$7&gt;=$F31,V$7&lt;=$F31+$G31-1),2,IF(AND($C31="Milestone",V$7&gt;=$F31,V$7&lt;=$F31+$G31-1),1,""))</f>
        <v/>
      </c>
      <c r="W31" s="14" t="str">
        <f ca="1">IF(AND($C31="Goal",W$7&gt;=$F31,W$7&lt;=$F31+$G31-1),2,IF(AND($C31="Milestone",W$7&gt;=$F31,W$7&lt;=$F31+$G31-1),1,""))</f>
        <v/>
      </c>
      <c r="X31" s="14" t="str">
        <f ca="1">IF(AND($C31="Goal",X$7&gt;=$F31,X$7&lt;=$F31+$G31-1),2,IF(AND($C31="Milestone",X$7&gt;=$F31,X$7&lt;=$F31+$G31-1),1,""))</f>
        <v/>
      </c>
      <c r="Y31" s="14" t="str">
        <f ca="1">IF(AND($C31="Goal",Y$7&gt;=$F31,Y$7&lt;=$F31+$G31-1),2,IF(AND($C31="Milestone",Y$7&gt;=$F31,Y$7&lt;=$F31+$G31-1),1,""))</f>
        <v/>
      </c>
      <c r="Z31" s="14" t="str">
        <f ca="1">IF(AND($C31="Goal",Z$7&gt;=$F31,Z$7&lt;=$F31+$G31-1),2,IF(AND($C31="Milestone",Z$7&gt;=$F31,Z$7&lt;=$F31+$G31-1),1,""))</f>
        <v/>
      </c>
      <c r="AA31" s="14" t="str">
        <f ca="1">IF(AND($C31="Goal",AA$7&gt;=$F31,AA$7&lt;=$F31+$G31-1),2,IF(AND($C31="Milestone",AA$7&gt;=$F31,AA$7&lt;=$F31+$G31-1),1,""))</f>
        <v/>
      </c>
      <c r="AB31" s="14" t="str">
        <f ca="1">IF(AND($C31="Goal",AB$7&gt;=$F31,AB$7&lt;=$F31+$G31-1),2,IF(AND($C31="Milestone",AB$7&gt;=$F31,AB$7&lt;=$F31+$G31-1),1,""))</f>
        <v/>
      </c>
      <c r="AC31" s="14" t="str">
        <f ca="1">IF(AND($C31="Goal",AC$7&gt;=$F31,AC$7&lt;=$F31+$G31-1),2,IF(AND($C31="Milestone",AC$7&gt;=$F31,AC$7&lt;=$F31+$G31-1),1,""))</f>
        <v/>
      </c>
      <c r="AD31" s="14" t="str">
        <f ca="1">IF(AND($C31="Goal",AD$7&gt;=$F31,AD$7&lt;=$F31+$G31-1),2,IF(AND($C31="Milestone",AD$7&gt;=$F31,AD$7&lt;=$F31+$G31-1),1,""))</f>
        <v/>
      </c>
      <c r="AE31" s="14" t="str">
        <f ca="1">IF(AND($C31="Goal",AE$7&gt;=$F31,AE$7&lt;=$F31+$G31-1),2,IF(AND($C31="Milestone",AE$7&gt;=$F31,AE$7&lt;=$F31+$G31-1),1,""))</f>
        <v/>
      </c>
      <c r="AF31" s="14" t="str">
        <f ca="1">IF(AND($C31="Goal",AF$7&gt;=$F31,AF$7&lt;=$F31+$G31-1),2,IF(AND($C31="Milestone",AF$7&gt;=$F31,AF$7&lt;=$F31+$G31-1),1,""))</f>
        <v/>
      </c>
      <c r="AG31" s="14" t="str">
        <f ca="1">IF(AND($C31="Goal",AG$7&gt;=$F31,AG$7&lt;=$F31+$G31-1),2,IF(AND($C31="Milestone",AG$7&gt;=$F31,AG$7&lt;=$F31+$G31-1),1,""))</f>
        <v/>
      </c>
      <c r="AH31" s="14" t="str">
        <f ca="1">IF(AND($C31="Goal",AH$7&gt;=$F31,AH$7&lt;=$F31+$G31-1),2,IF(AND($C31="Milestone",AH$7&gt;=$F31,AH$7&lt;=$F31+$G31-1),1,""))</f>
        <v/>
      </c>
      <c r="AI31" s="14" t="str">
        <f ca="1">IF(AND($C31="Goal",AI$7&gt;=$F31,AI$7&lt;=$F31+$G31-1),2,IF(AND($C31="Milestone",AI$7&gt;=$F31,AI$7&lt;=$F31+$G31-1),1,""))</f>
        <v/>
      </c>
      <c r="AJ31" s="14" t="str">
        <f ca="1">IF(AND($C31="Goal",AJ$7&gt;=$F31,AJ$7&lt;=$F31+$G31-1),2,IF(AND($C31="Milestone",AJ$7&gt;=$F31,AJ$7&lt;=$F31+$G31-1),1,""))</f>
        <v/>
      </c>
      <c r="AK31" s="14" t="str">
        <f ca="1">IF(AND($C31="Goal",AK$7&gt;=$F31,AK$7&lt;=$F31+$G31-1),2,IF(AND($C31="Milestone",AK$7&gt;=$F31,AK$7&lt;=$F31+$G31-1),1,""))</f>
        <v/>
      </c>
      <c r="AL31" s="14" t="str">
        <f ca="1">IF(AND($C31="Goal",AL$7&gt;=$F31,AL$7&lt;=$F31+$G31-1),2,IF(AND($C31="Milestone",AL$7&gt;=$F31,AL$7&lt;=$F31+$G31-1),1,""))</f>
        <v/>
      </c>
      <c r="AM31" s="14" t="str">
        <f ca="1">IF(AND($C31="Goal",AM$7&gt;=$F31,AM$7&lt;=$F31+$G31-1),2,IF(AND($C31="Milestone",AM$7&gt;=$F31,AM$7&lt;=$F31+$G31-1),1,""))</f>
        <v/>
      </c>
      <c r="AN31" s="14" t="str">
        <f ca="1">IF(AND($C31="Goal",AN$7&gt;=$F31,AN$7&lt;=$F31+$G31-1),2,IF(AND($C31="Milestone",AN$7&gt;=$F31,AN$7&lt;=$F31+$G31-1),1,""))</f>
        <v/>
      </c>
      <c r="AO31" s="14" t="str">
        <f ca="1">IF(AND($C31="Goal",AO$7&gt;=$F31,AO$7&lt;=$F31+$G31-1),2,IF(AND($C31="Milestone",AO$7&gt;=$F31,AO$7&lt;=$F31+$G31-1),1,""))</f>
        <v/>
      </c>
      <c r="AP31" s="14" t="str">
        <f ca="1">IF(AND($C31="Goal",AP$7&gt;=$F31,AP$7&lt;=$F31+$G31-1),2,IF(AND($C31="Milestone",AP$7&gt;=$F31,AP$7&lt;=$F31+$G31-1),1,""))</f>
        <v/>
      </c>
      <c r="AQ31" s="14" t="str">
        <f ca="1">IF(AND($C31="Goal",AQ$7&gt;=$F31,AQ$7&lt;=$F31+$G31-1),2,IF(AND($C31="Milestone",AQ$7&gt;=$F31,AQ$7&lt;=$F31+$G31-1),1,""))</f>
        <v/>
      </c>
      <c r="AR31" s="14" t="str">
        <f ca="1">IF(AND($C31="Goal",AR$7&gt;=$F31,AR$7&lt;=$F31+$G31-1),2,IF(AND($C31="Milestone",AR$7&gt;=$F31,AR$7&lt;=$F31+$G31-1),1,""))</f>
        <v/>
      </c>
      <c r="AS31" s="14" t="str">
        <f ca="1">IF(AND($C31="Goal",AS$7&gt;=$F31,AS$7&lt;=$F31+$G31-1),2,IF(AND($C31="Milestone",AS$7&gt;=$F31,AS$7&lt;=$F31+$G31-1),1,""))</f>
        <v/>
      </c>
      <c r="AT31" s="14" t="str">
        <f ca="1">IF(AND($C31="Goal",AT$7&gt;=$F31,AT$7&lt;=$F31+$G31-1),2,IF(AND($C31="Milestone",AT$7&gt;=$F31,AT$7&lt;=$F31+$G31-1),1,""))</f>
        <v/>
      </c>
      <c r="AU31" s="14" t="str">
        <f ca="1">IF(AND($C31="Goal",AU$7&gt;=$F31,AU$7&lt;=$F31+$G31-1),2,IF(AND($C31="Milestone",AU$7&gt;=$F31,AU$7&lt;=$F31+$G31-1),1,""))</f>
        <v/>
      </c>
      <c r="AV31" s="14" t="str">
        <f ca="1">IF(AND($C31="Goal",AV$7&gt;=$F31,AV$7&lt;=$F31+$G31-1),2,IF(AND($C31="Milestone",AV$7&gt;=$F31,AV$7&lt;=$F31+$G31-1),1,""))</f>
        <v/>
      </c>
      <c r="AW31" s="14" t="str">
        <f ca="1">IF(AND($C31="Goal",AW$7&gt;=$F31,AW$7&lt;=$F31+$G31-1),2,IF(AND($C31="Milestone",AW$7&gt;=$F31,AW$7&lt;=$F31+$G31-1),1,""))</f>
        <v/>
      </c>
      <c r="AX31" s="14" t="str">
        <f ca="1">IF(AND($C31="Goal",AX$7&gt;=$F31,AX$7&lt;=$F31+$G31-1),2,IF(AND($C31="Milestone",AX$7&gt;=$F31,AX$7&lt;=$F31+$G31-1),1,""))</f>
        <v/>
      </c>
      <c r="AY31" s="14" t="str">
        <f ca="1">IF(AND($C31="Goal",AY$7&gt;=$F31,AY$7&lt;=$F31+$G31-1),2,IF(AND($C31="Milestone",AY$7&gt;=$F31,AY$7&lt;=$F31+$G31-1),1,""))</f>
        <v/>
      </c>
      <c r="AZ31" s="14" t="str">
        <f ca="1">IF(AND($C31="Goal",AZ$7&gt;=$F31,AZ$7&lt;=$F31+$G31-1),2,IF(AND($C31="Milestone",AZ$7&gt;=$F31,AZ$7&lt;=$F31+$G31-1),1,""))</f>
        <v/>
      </c>
      <c r="BA31" s="14" t="str">
        <f ca="1">IF(AND($C31="Goal",BA$7&gt;=$F31,BA$7&lt;=$F31+$G31-1),2,IF(AND($C31="Milestone",BA$7&gt;=$F31,BA$7&lt;=$F31+$G31-1),1,""))</f>
        <v/>
      </c>
      <c r="BB31" s="14" t="str">
        <f ca="1">IF(AND($C31="Goal",BB$7&gt;=$F31,BB$7&lt;=$F31+$G31-1),2,IF(AND($C31="Milestone",BB$7&gt;=$F31,BB$7&lt;=$F31+$G31-1),1,""))</f>
        <v/>
      </c>
      <c r="BC31" s="14" t="str">
        <f ca="1">IF(AND($C31="Goal",BC$7&gt;=$F31,BC$7&lt;=$F31+$G31-1),2,IF(AND($C31="Milestone",BC$7&gt;=$F31,BC$7&lt;=$F31+$G31-1),1,""))</f>
        <v/>
      </c>
      <c r="BD31" s="14" t="str">
        <f ca="1">IF(AND($C31="Goal",BD$7&gt;=$F31,BD$7&lt;=$F31+$G31-1),2,IF(AND($C31="Milestone",BD$7&gt;=$F31,BD$7&lt;=$F31+$G31-1),1,""))</f>
        <v/>
      </c>
      <c r="BE31" s="14" t="str">
        <f ca="1">IF(AND($C31="Goal",BE$7&gt;=$F31,BE$7&lt;=$F31+$G31-1),2,IF(AND($C31="Milestone",BE$7&gt;=$F31,BE$7&lt;=$F31+$G31-1),1,""))</f>
        <v/>
      </c>
      <c r="BF31" s="14" t="str">
        <f ca="1">IF(AND($C31="Goal",BF$7&gt;=$F31,BF$7&lt;=$F31+$G31-1),2,IF(AND($C31="Milestone",BF$7&gt;=$F31,BF$7&lt;=$F31+$G31-1),1,""))</f>
        <v/>
      </c>
      <c r="BG31" s="14" t="str">
        <f ca="1">IF(AND($C31="Goal",BG$7&gt;=$F31,BG$7&lt;=$F31+$G31-1),2,IF(AND($C31="Milestone",BG$7&gt;=$F31,BG$7&lt;=$F31+$G31-1),1,""))</f>
        <v/>
      </c>
      <c r="BH31" s="14" t="str">
        <f ca="1">IF(AND($C31="Goal",BH$7&gt;=$F31,BH$7&lt;=$F31+$G31-1),2,IF(AND($C31="Milestone",BH$7&gt;=$F31,BH$7&lt;=$F31+$G31-1),1,""))</f>
        <v/>
      </c>
      <c r="BI31" s="14" t="str">
        <f ca="1">IF(AND($C31="Goal",BI$7&gt;=$F31,BI$7&lt;=$F31+$G31-1),2,IF(AND($C31="Milestone",BI$7&gt;=$F31,BI$7&lt;=$F31+$G31-1),1,""))</f>
        <v/>
      </c>
      <c r="BJ31" s="14" t="str">
        <f ca="1">IF(AND($C31="Goal",BJ$7&gt;=$F31,BJ$7&lt;=$F31+$G31-1),2,IF(AND($C31="Milestone",BJ$7&gt;=$F31,BJ$7&lt;=$F31+$G31-1),1,""))</f>
        <v/>
      </c>
      <c r="BK31" s="14" t="str">
        <f ca="1">IF(AND($C31="Goal",BK$7&gt;=$F31,BK$7&lt;=$F31+$G31-1),2,IF(AND($C31="Milestone",BK$7&gt;=$F31,BK$7&lt;=$F31+$G31-1),1,""))</f>
        <v/>
      </c>
      <c r="BL31" s="14" t="str">
        <f ca="1">IF(AND($C31="Goal",BL$7&gt;=$F31,BL$7&lt;=$F31+$G31-1),2,IF(AND($C31="Milestone",BL$7&gt;=$F31,BL$7&lt;=$F31+$G31-1),1,""))</f>
        <v/>
      </c>
    </row>
    <row r="32" spans="1:64" s="1" customFormat="1" ht="40" customHeight="1" x14ac:dyDescent="0.35">
      <c r="A32" s="6"/>
      <c r="B32" s="61"/>
      <c r="C32" s="17"/>
      <c r="D32" s="17"/>
      <c r="E32" s="18"/>
      <c r="F32" s="19"/>
      <c r="G32" s="20"/>
      <c r="H32" s="17"/>
      <c r="I32" s="14" t="str">
        <f ca="1">IF(AND($C32="Goal",I$7&gt;=$F32,I$7&lt;=$F32+$G32-1),2,IF(AND($C32="Milestone",I$7&gt;=$F32,I$7&lt;=$F32+$G32-1),1,""))</f>
        <v/>
      </c>
      <c r="J32" s="14" t="str">
        <f ca="1">IF(AND($C32="Goal",J$7&gt;=$F32,J$7&lt;=$F32+$G32-1),2,IF(AND($C32="Milestone",J$7&gt;=$F32,J$7&lt;=$F32+$G32-1),1,""))</f>
        <v/>
      </c>
      <c r="K32" s="14" t="str">
        <f ca="1">IF(AND($C32="Goal",K$7&gt;=$F32,K$7&lt;=$F32+$G32-1),2,IF(AND($C32="Milestone",K$7&gt;=$F32,K$7&lt;=$F32+$G32-1),1,""))</f>
        <v/>
      </c>
      <c r="L32" s="14" t="str">
        <f ca="1">IF(AND($C32="Goal",L$7&gt;=$F32,L$7&lt;=$F32+$G32-1),2,IF(AND($C32="Milestone",L$7&gt;=$F32,L$7&lt;=$F32+$G32-1),1,""))</f>
        <v/>
      </c>
      <c r="M32" s="14" t="str">
        <f ca="1">IF(AND($C32="Goal",M$7&gt;=$F32,M$7&lt;=$F32+$G32-1),2,IF(AND($C32="Milestone",M$7&gt;=$F32,M$7&lt;=$F32+$G32-1),1,""))</f>
        <v/>
      </c>
      <c r="N32" s="14" t="str">
        <f ca="1">IF(AND($C32="Goal",N$7&gt;=$F32,N$7&lt;=$F32+$G32-1),2,IF(AND($C32="Milestone",N$7&gt;=$F32,N$7&lt;=$F32+$G32-1),1,""))</f>
        <v/>
      </c>
      <c r="O32" s="14" t="str">
        <f ca="1">IF(AND($C32="Goal",O$7&gt;=$F32,O$7&lt;=$F32+$G32-1),2,IF(AND($C32="Milestone",O$7&gt;=$F32,O$7&lt;=$F32+$G32-1),1,""))</f>
        <v/>
      </c>
      <c r="P32" s="14" t="str">
        <f ca="1">IF(AND($C32="Goal",P$7&gt;=$F32,P$7&lt;=$F32+$G32-1),2,IF(AND($C32="Milestone",P$7&gt;=$F32,P$7&lt;=$F32+$G32-1),1,""))</f>
        <v/>
      </c>
      <c r="Q32" s="14" t="str">
        <f ca="1">IF(AND($C32="Goal",Q$7&gt;=$F32,Q$7&lt;=$F32+$G32-1),2,IF(AND($C32="Milestone",Q$7&gt;=$F32,Q$7&lt;=$F32+$G32-1),1,""))</f>
        <v/>
      </c>
      <c r="R32" s="14" t="str">
        <f ca="1">IF(AND($C32="Goal",R$7&gt;=$F32,R$7&lt;=$F32+$G32-1),2,IF(AND($C32="Milestone",R$7&gt;=$F32,R$7&lt;=$F32+$G32-1),1,""))</f>
        <v/>
      </c>
      <c r="S32" s="14" t="str">
        <f ca="1">IF(AND($C32="Goal",S$7&gt;=$F32,S$7&lt;=$F32+$G32-1),2,IF(AND($C32="Milestone",S$7&gt;=$F32,S$7&lt;=$F32+$G32-1),1,""))</f>
        <v/>
      </c>
      <c r="T32" s="14" t="str">
        <f ca="1">IF(AND($C32="Goal",T$7&gt;=$F32,T$7&lt;=$F32+$G32-1),2,IF(AND($C32="Milestone",T$7&gt;=$F32,T$7&lt;=$F32+$G32-1),1,""))</f>
        <v/>
      </c>
      <c r="U32" s="14" t="str">
        <f ca="1">IF(AND($C32="Goal",U$7&gt;=$F32,U$7&lt;=$F32+$G32-1),2,IF(AND($C32="Milestone",U$7&gt;=$F32,U$7&lt;=$F32+$G32-1),1,""))</f>
        <v/>
      </c>
      <c r="V32" s="14" t="str">
        <f ca="1">IF(AND($C32="Goal",V$7&gt;=$F32,V$7&lt;=$F32+$G32-1),2,IF(AND($C32="Milestone",V$7&gt;=$F32,V$7&lt;=$F32+$G32-1),1,""))</f>
        <v/>
      </c>
      <c r="W32" s="14" t="str">
        <f ca="1">IF(AND($C32="Goal",W$7&gt;=$F32,W$7&lt;=$F32+$G32-1),2,IF(AND($C32="Milestone",W$7&gt;=$F32,W$7&lt;=$F32+$G32-1),1,""))</f>
        <v/>
      </c>
      <c r="X32" s="14" t="str">
        <f ca="1">IF(AND($C32="Goal",X$7&gt;=$F32,X$7&lt;=$F32+$G32-1),2,IF(AND($C32="Milestone",X$7&gt;=$F32,X$7&lt;=$F32+$G32-1),1,""))</f>
        <v/>
      </c>
      <c r="Y32" s="14" t="str">
        <f ca="1">IF(AND($C32="Goal",Y$7&gt;=$F32,Y$7&lt;=$F32+$G32-1),2,IF(AND($C32="Milestone",Y$7&gt;=$F32,Y$7&lt;=$F32+$G32-1),1,""))</f>
        <v/>
      </c>
      <c r="Z32" s="14" t="str">
        <f ca="1">IF(AND($C32="Goal",Z$7&gt;=$F32,Z$7&lt;=$F32+$G32-1),2,IF(AND($C32="Milestone",Z$7&gt;=$F32,Z$7&lt;=$F32+$G32-1),1,""))</f>
        <v/>
      </c>
      <c r="AA32" s="14" t="str">
        <f ca="1">IF(AND($C32="Goal",AA$7&gt;=$F32,AA$7&lt;=$F32+$G32-1),2,IF(AND($C32="Milestone",AA$7&gt;=$F32,AA$7&lt;=$F32+$G32-1),1,""))</f>
        <v/>
      </c>
      <c r="AB32" s="14" t="str">
        <f ca="1">IF(AND($C32="Goal",AB$7&gt;=$F32,AB$7&lt;=$F32+$G32-1),2,IF(AND($C32="Milestone",AB$7&gt;=$F32,AB$7&lt;=$F32+$G32-1),1,""))</f>
        <v/>
      </c>
      <c r="AC32" s="14" t="str">
        <f ca="1">IF(AND($C32="Goal",AC$7&gt;=$F32,AC$7&lt;=$F32+$G32-1),2,IF(AND($C32="Milestone",AC$7&gt;=$F32,AC$7&lt;=$F32+$G32-1),1,""))</f>
        <v/>
      </c>
      <c r="AD32" s="14" t="str">
        <f ca="1">IF(AND($C32="Goal",AD$7&gt;=$F32,AD$7&lt;=$F32+$G32-1),2,IF(AND($C32="Milestone",AD$7&gt;=$F32,AD$7&lt;=$F32+$G32-1),1,""))</f>
        <v/>
      </c>
      <c r="AE32" s="14" t="str">
        <f ca="1">IF(AND($C32="Goal",AE$7&gt;=$F32,AE$7&lt;=$F32+$G32-1),2,IF(AND($C32="Milestone",AE$7&gt;=$F32,AE$7&lt;=$F32+$G32-1),1,""))</f>
        <v/>
      </c>
      <c r="AF32" s="14" t="str">
        <f ca="1">IF(AND($C32="Goal",AF$7&gt;=$F32,AF$7&lt;=$F32+$G32-1),2,IF(AND($C32="Milestone",AF$7&gt;=$F32,AF$7&lt;=$F32+$G32-1),1,""))</f>
        <v/>
      </c>
      <c r="AG32" s="14" t="str">
        <f ca="1">IF(AND($C32="Goal",AG$7&gt;=$F32,AG$7&lt;=$F32+$G32-1),2,IF(AND($C32="Milestone",AG$7&gt;=$F32,AG$7&lt;=$F32+$G32-1),1,""))</f>
        <v/>
      </c>
      <c r="AH32" s="14" t="str">
        <f ca="1">IF(AND($C32="Goal",AH$7&gt;=$F32,AH$7&lt;=$F32+$G32-1),2,IF(AND($C32="Milestone",AH$7&gt;=$F32,AH$7&lt;=$F32+$G32-1),1,""))</f>
        <v/>
      </c>
      <c r="AI32" s="14" t="str">
        <f ca="1">IF(AND($C32="Goal",AI$7&gt;=$F32,AI$7&lt;=$F32+$G32-1),2,IF(AND($C32="Milestone",AI$7&gt;=$F32,AI$7&lt;=$F32+$G32-1),1,""))</f>
        <v/>
      </c>
      <c r="AJ32" s="14" t="str">
        <f ca="1">IF(AND($C32="Goal",AJ$7&gt;=$F32,AJ$7&lt;=$F32+$G32-1),2,IF(AND($C32="Milestone",AJ$7&gt;=$F32,AJ$7&lt;=$F32+$G32-1),1,""))</f>
        <v/>
      </c>
      <c r="AK32" s="14" t="str">
        <f ca="1">IF(AND($C32="Goal",AK$7&gt;=$F32,AK$7&lt;=$F32+$G32-1),2,IF(AND($C32="Milestone",AK$7&gt;=$F32,AK$7&lt;=$F32+$G32-1),1,""))</f>
        <v/>
      </c>
      <c r="AL32" s="14" t="str">
        <f ca="1">IF(AND($C32="Goal",AL$7&gt;=$F32,AL$7&lt;=$F32+$G32-1),2,IF(AND($C32="Milestone",AL$7&gt;=$F32,AL$7&lt;=$F32+$G32-1),1,""))</f>
        <v/>
      </c>
      <c r="AM32" s="14" t="str">
        <f ca="1">IF(AND($C32="Goal",AM$7&gt;=$F32,AM$7&lt;=$F32+$G32-1),2,IF(AND($C32="Milestone",AM$7&gt;=$F32,AM$7&lt;=$F32+$G32-1),1,""))</f>
        <v/>
      </c>
      <c r="AN32" s="14" t="str">
        <f ca="1">IF(AND($C32="Goal",AN$7&gt;=$F32,AN$7&lt;=$F32+$G32-1),2,IF(AND($C32="Milestone",AN$7&gt;=$F32,AN$7&lt;=$F32+$G32-1),1,""))</f>
        <v/>
      </c>
      <c r="AO32" s="14" t="str">
        <f ca="1">IF(AND($C32="Goal",AO$7&gt;=$F32,AO$7&lt;=$F32+$G32-1),2,IF(AND($C32="Milestone",AO$7&gt;=$F32,AO$7&lt;=$F32+$G32-1),1,""))</f>
        <v/>
      </c>
      <c r="AP32" s="14" t="str">
        <f ca="1">IF(AND($C32="Goal",AP$7&gt;=$F32,AP$7&lt;=$F32+$G32-1),2,IF(AND($C32="Milestone",AP$7&gt;=$F32,AP$7&lt;=$F32+$G32-1),1,""))</f>
        <v/>
      </c>
      <c r="AQ32" s="14" t="str">
        <f ca="1">IF(AND($C32="Goal",AQ$7&gt;=$F32,AQ$7&lt;=$F32+$G32-1),2,IF(AND($C32="Milestone",AQ$7&gt;=$F32,AQ$7&lt;=$F32+$G32-1),1,""))</f>
        <v/>
      </c>
      <c r="AR32" s="14" t="str">
        <f ca="1">IF(AND($C32="Goal",AR$7&gt;=$F32,AR$7&lt;=$F32+$G32-1),2,IF(AND($C32="Milestone",AR$7&gt;=$F32,AR$7&lt;=$F32+$G32-1),1,""))</f>
        <v/>
      </c>
      <c r="AS32" s="14" t="str">
        <f ca="1">IF(AND($C32="Goal",AS$7&gt;=$F32,AS$7&lt;=$F32+$G32-1),2,IF(AND($C32="Milestone",AS$7&gt;=$F32,AS$7&lt;=$F32+$G32-1),1,""))</f>
        <v/>
      </c>
      <c r="AT32" s="14" t="str">
        <f ca="1">IF(AND($C32="Goal",AT$7&gt;=$F32,AT$7&lt;=$F32+$G32-1),2,IF(AND($C32="Milestone",AT$7&gt;=$F32,AT$7&lt;=$F32+$G32-1),1,""))</f>
        <v/>
      </c>
      <c r="AU32" s="14" t="str">
        <f ca="1">IF(AND($C32="Goal",AU$7&gt;=$F32,AU$7&lt;=$F32+$G32-1),2,IF(AND($C32="Milestone",AU$7&gt;=$F32,AU$7&lt;=$F32+$G32-1),1,""))</f>
        <v/>
      </c>
      <c r="AV32" s="14" t="str">
        <f ca="1">IF(AND($C32="Goal",AV$7&gt;=$F32,AV$7&lt;=$F32+$G32-1),2,IF(AND($C32="Milestone",AV$7&gt;=$F32,AV$7&lt;=$F32+$G32-1),1,""))</f>
        <v/>
      </c>
      <c r="AW32" s="14" t="str">
        <f ca="1">IF(AND($C32="Goal",AW$7&gt;=$F32,AW$7&lt;=$F32+$G32-1),2,IF(AND($C32="Milestone",AW$7&gt;=$F32,AW$7&lt;=$F32+$G32-1),1,""))</f>
        <v/>
      </c>
      <c r="AX32" s="14" t="str">
        <f ca="1">IF(AND($C32="Goal",AX$7&gt;=$F32,AX$7&lt;=$F32+$G32-1),2,IF(AND($C32="Milestone",AX$7&gt;=$F32,AX$7&lt;=$F32+$G32-1),1,""))</f>
        <v/>
      </c>
      <c r="AY32" s="14" t="str">
        <f ca="1">IF(AND($C32="Goal",AY$7&gt;=$F32,AY$7&lt;=$F32+$G32-1),2,IF(AND($C32="Milestone",AY$7&gt;=$F32,AY$7&lt;=$F32+$G32-1),1,""))</f>
        <v/>
      </c>
      <c r="AZ32" s="14" t="str">
        <f ca="1">IF(AND($C32="Goal",AZ$7&gt;=$F32,AZ$7&lt;=$F32+$G32-1),2,IF(AND($C32="Milestone",AZ$7&gt;=$F32,AZ$7&lt;=$F32+$G32-1),1,""))</f>
        <v/>
      </c>
      <c r="BA32" s="14" t="str">
        <f ca="1">IF(AND($C32="Goal",BA$7&gt;=$F32,BA$7&lt;=$F32+$G32-1),2,IF(AND($C32="Milestone",BA$7&gt;=$F32,BA$7&lt;=$F32+$G32-1),1,""))</f>
        <v/>
      </c>
      <c r="BB32" s="14" t="str">
        <f ca="1">IF(AND($C32="Goal",BB$7&gt;=$F32,BB$7&lt;=$F32+$G32-1),2,IF(AND($C32="Milestone",BB$7&gt;=$F32,BB$7&lt;=$F32+$G32-1),1,""))</f>
        <v/>
      </c>
      <c r="BC32" s="14" t="str">
        <f ca="1">IF(AND($C32="Goal",BC$7&gt;=$F32,BC$7&lt;=$F32+$G32-1),2,IF(AND($C32="Milestone",BC$7&gt;=$F32,BC$7&lt;=$F32+$G32-1),1,""))</f>
        <v/>
      </c>
      <c r="BD32" s="14" t="str">
        <f ca="1">IF(AND($C32="Goal",BD$7&gt;=$F32,BD$7&lt;=$F32+$G32-1),2,IF(AND($C32="Milestone",BD$7&gt;=$F32,BD$7&lt;=$F32+$G32-1),1,""))</f>
        <v/>
      </c>
      <c r="BE32" s="14" t="str">
        <f ca="1">IF(AND($C32="Goal",BE$7&gt;=$F32,BE$7&lt;=$F32+$G32-1),2,IF(AND($C32="Milestone",BE$7&gt;=$F32,BE$7&lt;=$F32+$G32-1),1,""))</f>
        <v/>
      </c>
      <c r="BF32" s="14" t="str">
        <f ca="1">IF(AND($C32="Goal",BF$7&gt;=$F32,BF$7&lt;=$F32+$G32-1),2,IF(AND($C32="Milestone",BF$7&gt;=$F32,BF$7&lt;=$F32+$G32-1),1,""))</f>
        <v/>
      </c>
      <c r="BG32" s="14" t="str">
        <f ca="1">IF(AND($C32="Goal",BG$7&gt;=$F32,BG$7&lt;=$F32+$G32-1),2,IF(AND($C32="Milestone",BG$7&gt;=$F32,BG$7&lt;=$F32+$G32-1),1,""))</f>
        <v/>
      </c>
      <c r="BH32" s="14" t="str">
        <f ca="1">IF(AND($C32="Goal",BH$7&gt;=$F32,BH$7&lt;=$F32+$G32-1),2,IF(AND($C32="Milestone",BH$7&gt;=$F32,BH$7&lt;=$F32+$G32-1),1,""))</f>
        <v/>
      </c>
      <c r="BI32" s="14" t="str">
        <f ca="1">IF(AND($C32="Goal",BI$7&gt;=$F32,BI$7&lt;=$F32+$G32-1),2,IF(AND($C32="Milestone",BI$7&gt;=$F32,BI$7&lt;=$F32+$G32-1),1,""))</f>
        <v/>
      </c>
      <c r="BJ32" s="14" t="str">
        <f ca="1">IF(AND($C32="Goal",BJ$7&gt;=$F32,BJ$7&lt;=$F32+$G32-1),2,IF(AND($C32="Milestone",BJ$7&gt;=$F32,BJ$7&lt;=$F32+$G32-1),1,""))</f>
        <v/>
      </c>
      <c r="BK32" s="14" t="str">
        <f ca="1">IF(AND($C32="Goal",BK$7&gt;=$F32,BK$7&lt;=$F32+$G32-1),2,IF(AND($C32="Milestone",BK$7&gt;=$F32,BK$7&lt;=$F32+$G32-1),1,""))</f>
        <v/>
      </c>
      <c r="BL32" s="14" t="str">
        <f ca="1">IF(AND($C32="Goal",BL$7&gt;=$F32,BL$7&lt;=$F32+$G32-1),2,IF(AND($C32="Milestone",BL$7&gt;=$F32,BL$7&lt;=$F32+$G32-1),1,""))</f>
        <v/>
      </c>
    </row>
    <row r="33" spans="1:65" s="1" customFormat="1" ht="40" customHeight="1" x14ac:dyDescent="0.35">
      <c r="A33" s="6"/>
      <c r="B33" s="61"/>
      <c r="C33" s="17"/>
      <c r="D33" s="17"/>
      <c r="E33" s="18"/>
      <c r="F33" s="19"/>
      <c r="G33" s="20"/>
      <c r="H33" s="17"/>
      <c r="I33" s="14" t="str">
        <f ca="1">IF(AND($C33="Goal",I$7&gt;=$F33,I$7&lt;=$F33+$G33-1),2,IF(AND($C33="Milestone",I$7&gt;=$F33,I$7&lt;=$F33+$G33-1),1,""))</f>
        <v/>
      </c>
      <c r="J33" s="14" t="str">
        <f ca="1">IF(AND($C33="Goal",J$7&gt;=$F33,J$7&lt;=$F33+$G33-1),2,IF(AND($C33="Milestone",J$7&gt;=$F33,J$7&lt;=$F33+$G33-1),1,""))</f>
        <v/>
      </c>
      <c r="K33" s="14" t="str">
        <f ca="1">IF(AND($C33="Goal",K$7&gt;=$F33,K$7&lt;=$F33+$G33-1),2,IF(AND($C33="Milestone",K$7&gt;=$F33,K$7&lt;=$F33+$G33-1),1,""))</f>
        <v/>
      </c>
      <c r="L33" s="14" t="str">
        <f ca="1">IF(AND($C33="Goal",L$7&gt;=$F33,L$7&lt;=$F33+$G33-1),2,IF(AND($C33="Milestone",L$7&gt;=$F33,L$7&lt;=$F33+$G33-1),1,""))</f>
        <v/>
      </c>
      <c r="M33" s="14" t="str">
        <f ca="1">IF(AND($C33="Goal",M$7&gt;=$F33,M$7&lt;=$F33+$G33-1),2,IF(AND($C33="Milestone",M$7&gt;=$F33,M$7&lt;=$F33+$G33-1),1,""))</f>
        <v/>
      </c>
      <c r="N33" s="14" t="str">
        <f ca="1">IF(AND($C33="Goal",N$7&gt;=$F33,N$7&lt;=$F33+$G33-1),2,IF(AND($C33="Milestone",N$7&gt;=$F33,N$7&lt;=$F33+$G33-1),1,""))</f>
        <v/>
      </c>
      <c r="O33" s="14" t="str">
        <f ca="1">IF(AND($C33="Goal",O$7&gt;=$F33,O$7&lt;=$F33+$G33-1),2,IF(AND($C33="Milestone",O$7&gt;=$F33,O$7&lt;=$F33+$G33-1),1,""))</f>
        <v/>
      </c>
      <c r="P33" s="14" t="str">
        <f ca="1">IF(AND($C33="Goal",P$7&gt;=$F33,P$7&lt;=$F33+$G33-1),2,IF(AND($C33="Milestone",P$7&gt;=$F33,P$7&lt;=$F33+$G33-1),1,""))</f>
        <v/>
      </c>
      <c r="Q33" s="14" t="str">
        <f ca="1">IF(AND($C33="Goal",Q$7&gt;=$F33,Q$7&lt;=$F33+$G33-1),2,IF(AND($C33="Milestone",Q$7&gt;=$F33,Q$7&lt;=$F33+$G33-1),1,""))</f>
        <v/>
      </c>
      <c r="R33" s="14" t="str">
        <f ca="1">IF(AND($C33="Goal",R$7&gt;=$F33,R$7&lt;=$F33+$G33-1),2,IF(AND($C33="Milestone",R$7&gt;=$F33,R$7&lt;=$F33+$G33-1),1,""))</f>
        <v/>
      </c>
      <c r="S33" s="14" t="str">
        <f ca="1">IF(AND($C33="Goal",S$7&gt;=$F33,S$7&lt;=$F33+$G33-1),2,IF(AND($C33="Milestone",S$7&gt;=$F33,S$7&lt;=$F33+$G33-1),1,""))</f>
        <v/>
      </c>
      <c r="T33" s="14" t="str">
        <f ca="1">IF(AND($C33="Goal",T$7&gt;=$F33,T$7&lt;=$F33+$G33-1),2,IF(AND($C33="Milestone",T$7&gt;=$F33,T$7&lt;=$F33+$G33-1),1,""))</f>
        <v/>
      </c>
      <c r="U33" s="14" t="str">
        <f ca="1">IF(AND($C33="Goal",U$7&gt;=$F33,U$7&lt;=$F33+$G33-1),2,IF(AND($C33="Milestone",U$7&gt;=$F33,U$7&lt;=$F33+$G33-1),1,""))</f>
        <v/>
      </c>
      <c r="V33" s="14" t="str">
        <f ca="1">IF(AND($C33="Goal",V$7&gt;=$F33,V$7&lt;=$F33+$G33-1),2,IF(AND($C33="Milestone",V$7&gt;=$F33,V$7&lt;=$F33+$G33-1),1,""))</f>
        <v/>
      </c>
      <c r="W33" s="14" t="str">
        <f ca="1">IF(AND($C33="Goal",W$7&gt;=$F33,W$7&lt;=$F33+$G33-1),2,IF(AND($C33="Milestone",W$7&gt;=$F33,W$7&lt;=$F33+$G33-1),1,""))</f>
        <v/>
      </c>
      <c r="X33" s="14" t="str">
        <f ca="1">IF(AND($C33="Goal",X$7&gt;=$F33,X$7&lt;=$F33+$G33-1),2,IF(AND($C33="Milestone",X$7&gt;=$F33,X$7&lt;=$F33+$G33-1),1,""))</f>
        <v/>
      </c>
      <c r="Y33" s="14" t="str">
        <f ca="1">IF(AND($C33="Goal",Y$7&gt;=$F33,Y$7&lt;=$F33+$G33-1),2,IF(AND($C33="Milestone",Y$7&gt;=$F33,Y$7&lt;=$F33+$G33-1),1,""))</f>
        <v/>
      </c>
      <c r="Z33" s="14" t="str">
        <f ca="1">IF(AND($C33="Goal",Z$7&gt;=$F33,Z$7&lt;=$F33+$G33-1),2,IF(AND($C33="Milestone",Z$7&gt;=$F33,Z$7&lt;=$F33+$G33-1),1,""))</f>
        <v/>
      </c>
      <c r="AA33" s="14" t="str">
        <f ca="1">IF(AND($C33="Goal",AA$7&gt;=$F33,AA$7&lt;=$F33+$G33-1),2,IF(AND($C33="Milestone",AA$7&gt;=$F33,AA$7&lt;=$F33+$G33-1),1,""))</f>
        <v/>
      </c>
      <c r="AB33" s="14" t="str">
        <f ca="1">IF(AND($C33="Goal",AB$7&gt;=$F33,AB$7&lt;=$F33+$G33-1),2,IF(AND($C33="Milestone",AB$7&gt;=$F33,AB$7&lt;=$F33+$G33-1),1,""))</f>
        <v/>
      </c>
      <c r="AC33" s="14" t="str">
        <f ca="1">IF(AND($C33="Goal",AC$7&gt;=$F33,AC$7&lt;=$F33+$G33-1),2,IF(AND($C33="Milestone",AC$7&gt;=$F33,AC$7&lt;=$F33+$G33-1),1,""))</f>
        <v/>
      </c>
      <c r="AD33" s="14" t="str">
        <f ca="1">IF(AND($C33="Goal",AD$7&gt;=$F33,AD$7&lt;=$F33+$G33-1),2,IF(AND($C33="Milestone",AD$7&gt;=$F33,AD$7&lt;=$F33+$G33-1),1,""))</f>
        <v/>
      </c>
      <c r="AE33" s="14" t="str">
        <f ca="1">IF(AND($C33="Goal",AE$7&gt;=$F33,AE$7&lt;=$F33+$G33-1),2,IF(AND($C33="Milestone",AE$7&gt;=$F33,AE$7&lt;=$F33+$G33-1),1,""))</f>
        <v/>
      </c>
      <c r="AF33" s="14" t="str">
        <f ca="1">IF(AND($C33="Goal",AF$7&gt;=$F33,AF$7&lt;=$F33+$G33-1),2,IF(AND($C33="Milestone",AF$7&gt;=$F33,AF$7&lt;=$F33+$G33-1),1,""))</f>
        <v/>
      </c>
      <c r="AG33" s="14" t="str">
        <f ca="1">IF(AND($C33="Goal",AG$7&gt;=$F33,AG$7&lt;=$F33+$G33-1),2,IF(AND($C33="Milestone",AG$7&gt;=$F33,AG$7&lt;=$F33+$G33-1),1,""))</f>
        <v/>
      </c>
      <c r="AH33" s="14" t="str">
        <f ca="1">IF(AND($C33="Goal",AH$7&gt;=$F33,AH$7&lt;=$F33+$G33-1),2,IF(AND($C33="Milestone",AH$7&gt;=$F33,AH$7&lt;=$F33+$G33-1),1,""))</f>
        <v/>
      </c>
      <c r="AI33" s="14" t="str">
        <f ca="1">IF(AND($C33="Goal",AI$7&gt;=$F33,AI$7&lt;=$F33+$G33-1),2,IF(AND($C33="Milestone",AI$7&gt;=$F33,AI$7&lt;=$F33+$G33-1),1,""))</f>
        <v/>
      </c>
      <c r="AJ33" s="14" t="str">
        <f ca="1">IF(AND($C33="Goal",AJ$7&gt;=$F33,AJ$7&lt;=$F33+$G33-1),2,IF(AND($C33="Milestone",AJ$7&gt;=$F33,AJ$7&lt;=$F33+$G33-1),1,""))</f>
        <v/>
      </c>
      <c r="AK33" s="14" t="str">
        <f ca="1">IF(AND($C33="Goal",AK$7&gt;=$F33,AK$7&lt;=$F33+$G33-1),2,IF(AND($C33="Milestone",AK$7&gt;=$F33,AK$7&lt;=$F33+$G33-1),1,""))</f>
        <v/>
      </c>
      <c r="AL33" s="14" t="str">
        <f ca="1">IF(AND($C33="Goal",AL$7&gt;=$F33,AL$7&lt;=$F33+$G33-1),2,IF(AND($C33="Milestone",AL$7&gt;=$F33,AL$7&lt;=$F33+$G33-1),1,""))</f>
        <v/>
      </c>
      <c r="AM33" s="14" t="str">
        <f ca="1">IF(AND($C33="Goal",AM$7&gt;=$F33,AM$7&lt;=$F33+$G33-1),2,IF(AND($C33="Milestone",AM$7&gt;=$F33,AM$7&lt;=$F33+$G33-1),1,""))</f>
        <v/>
      </c>
      <c r="AN33" s="14" t="str">
        <f ca="1">IF(AND($C33="Goal",AN$7&gt;=$F33,AN$7&lt;=$F33+$G33-1),2,IF(AND($C33="Milestone",AN$7&gt;=$F33,AN$7&lt;=$F33+$G33-1),1,""))</f>
        <v/>
      </c>
      <c r="AO33" s="14" t="str">
        <f ca="1">IF(AND($C33="Goal",AO$7&gt;=$F33,AO$7&lt;=$F33+$G33-1),2,IF(AND($C33="Milestone",AO$7&gt;=$F33,AO$7&lt;=$F33+$G33-1),1,""))</f>
        <v/>
      </c>
      <c r="AP33" s="14" t="str">
        <f ca="1">IF(AND($C33="Goal",AP$7&gt;=$F33,AP$7&lt;=$F33+$G33-1),2,IF(AND($C33="Milestone",AP$7&gt;=$F33,AP$7&lt;=$F33+$G33-1),1,""))</f>
        <v/>
      </c>
      <c r="AQ33" s="14" t="str">
        <f ca="1">IF(AND($C33="Goal",AQ$7&gt;=$F33,AQ$7&lt;=$F33+$G33-1),2,IF(AND($C33="Milestone",AQ$7&gt;=$F33,AQ$7&lt;=$F33+$G33-1),1,""))</f>
        <v/>
      </c>
      <c r="AR33" s="14" t="str">
        <f ca="1">IF(AND($C33="Goal",AR$7&gt;=$F33,AR$7&lt;=$F33+$G33-1),2,IF(AND($C33="Milestone",AR$7&gt;=$F33,AR$7&lt;=$F33+$G33-1),1,""))</f>
        <v/>
      </c>
      <c r="AS33" s="14" t="str">
        <f ca="1">IF(AND($C33="Goal",AS$7&gt;=$F33,AS$7&lt;=$F33+$G33-1),2,IF(AND($C33="Milestone",AS$7&gt;=$F33,AS$7&lt;=$F33+$G33-1),1,""))</f>
        <v/>
      </c>
      <c r="AT33" s="14" t="str">
        <f ca="1">IF(AND($C33="Goal",AT$7&gt;=$F33,AT$7&lt;=$F33+$G33-1),2,IF(AND($C33="Milestone",AT$7&gt;=$F33,AT$7&lt;=$F33+$G33-1),1,""))</f>
        <v/>
      </c>
      <c r="AU33" s="14" t="str">
        <f ca="1">IF(AND($C33="Goal",AU$7&gt;=$F33,AU$7&lt;=$F33+$G33-1),2,IF(AND($C33="Milestone",AU$7&gt;=$F33,AU$7&lt;=$F33+$G33-1),1,""))</f>
        <v/>
      </c>
      <c r="AV33" s="14" t="str">
        <f ca="1">IF(AND($C33="Goal",AV$7&gt;=$F33,AV$7&lt;=$F33+$G33-1),2,IF(AND($C33="Milestone",AV$7&gt;=$F33,AV$7&lt;=$F33+$G33-1),1,""))</f>
        <v/>
      </c>
      <c r="AW33" s="14" t="str">
        <f ca="1">IF(AND($C33="Goal",AW$7&gt;=$F33,AW$7&lt;=$F33+$G33-1),2,IF(AND($C33="Milestone",AW$7&gt;=$F33,AW$7&lt;=$F33+$G33-1),1,""))</f>
        <v/>
      </c>
      <c r="AX33" s="14" t="str">
        <f ca="1">IF(AND($C33="Goal",AX$7&gt;=$F33,AX$7&lt;=$F33+$G33-1),2,IF(AND($C33="Milestone",AX$7&gt;=$F33,AX$7&lt;=$F33+$G33-1),1,""))</f>
        <v/>
      </c>
      <c r="AY33" s="14" t="str">
        <f ca="1">IF(AND($C33="Goal",AY$7&gt;=$F33,AY$7&lt;=$F33+$G33-1),2,IF(AND($C33="Milestone",AY$7&gt;=$F33,AY$7&lt;=$F33+$G33-1),1,""))</f>
        <v/>
      </c>
      <c r="AZ33" s="14" t="str">
        <f ca="1">IF(AND($C33="Goal",AZ$7&gt;=$F33,AZ$7&lt;=$F33+$G33-1),2,IF(AND($C33="Milestone",AZ$7&gt;=$F33,AZ$7&lt;=$F33+$G33-1),1,""))</f>
        <v/>
      </c>
      <c r="BA33" s="14" t="str">
        <f ca="1">IF(AND($C33="Goal",BA$7&gt;=$F33,BA$7&lt;=$F33+$G33-1),2,IF(AND($C33="Milestone",BA$7&gt;=$F33,BA$7&lt;=$F33+$G33-1),1,""))</f>
        <v/>
      </c>
      <c r="BB33" s="14" t="str">
        <f ca="1">IF(AND($C33="Goal",BB$7&gt;=$F33,BB$7&lt;=$F33+$G33-1),2,IF(AND($C33="Milestone",BB$7&gt;=$F33,BB$7&lt;=$F33+$G33-1),1,""))</f>
        <v/>
      </c>
      <c r="BC33" s="14" t="str">
        <f ca="1">IF(AND($C33="Goal",BC$7&gt;=$F33,BC$7&lt;=$F33+$G33-1),2,IF(AND($C33="Milestone",BC$7&gt;=$F33,BC$7&lt;=$F33+$G33-1),1,""))</f>
        <v/>
      </c>
      <c r="BD33" s="14" t="str">
        <f ca="1">IF(AND($C33="Goal",BD$7&gt;=$F33,BD$7&lt;=$F33+$G33-1),2,IF(AND($C33="Milestone",BD$7&gt;=$F33,BD$7&lt;=$F33+$G33-1),1,""))</f>
        <v/>
      </c>
      <c r="BE33" s="14" t="str">
        <f ca="1">IF(AND($C33="Goal",BE$7&gt;=$F33,BE$7&lt;=$F33+$G33-1),2,IF(AND($C33="Milestone",BE$7&gt;=$F33,BE$7&lt;=$F33+$G33-1),1,""))</f>
        <v/>
      </c>
      <c r="BF33" s="14" t="str">
        <f ca="1">IF(AND($C33="Goal",BF$7&gt;=$F33,BF$7&lt;=$F33+$G33-1),2,IF(AND($C33="Milestone",BF$7&gt;=$F33,BF$7&lt;=$F33+$G33-1),1,""))</f>
        <v/>
      </c>
      <c r="BG33" s="14" t="str">
        <f ca="1">IF(AND($C33="Goal",BG$7&gt;=$F33,BG$7&lt;=$F33+$G33-1),2,IF(AND($C33="Milestone",BG$7&gt;=$F33,BG$7&lt;=$F33+$G33-1),1,""))</f>
        <v/>
      </c>
      <c r="BH33" s="14" t="str">
        <f ca="1">IF(AND($C33="Goal",BH$7&gt;=$F33,BH$7&lt;=$F33+$G33-1),2,IF(AND($C33="Milestone",BH$7&gt;=$F33,BH$7&lt;=$F33+$G33-1),1,""))</f>
        <v/>
      </c>
      <c r="BI33" s="14" t="str">
        <f ca="1">IF(AND($C33="Goal",BI$7&gt;=$F33,BI$7&lt;=$F33+$G33-1),2,IF(AND($C33="Milestone",BI$7&gt;=$F33,BI$7&lt;=$F33+$G33-1),1,""))</f>
        <v/>
      </c>
      <c r="BJ33" s="14" t="str">
        <f ca="1">IF(AND($C33="Goal",BJ$7&gt;=$F33,BJ$7&lt;=$F33+$G33-1),2,IF(AND($C33="Milestone",BJ$7&gt;=$F33,BJ$7&lt;=$F33+$G33-1),1,""))</f>
        <v/>
      </c>
      <c r="BK33" s="14" t="str">
        <f ca="1">IF(AND($C33="Goal",BK$7&gt;=$F33,BK$7&lt;=$F33+$G33-1),2,IF(AND($C33="Milestone",BK$7&gt;=$F33,BK$7&lt;=$F33+$G33-1),1,""))</f>
        <v/>
      </c>
      <c r="BL33" s="14" t="str">
        <f ca="1">IF(AND($C33="Goal",BL$7&gt;=$F33,BL$7&lt;=$F33+$G33-1),2,IF(AND($C33="Milestone",BL$7&gt;=$F33,BL$7&lt;=$F33+$G33-1),1,""))</f>
        <v/>
      </c>
    </row>
    <row r="34" spans="1:65" s="1" customFormat="1" ht="40" customHeight="1" x14ac:dyDescent="0.35">
      <c r="A34" s="6"/>
      <c r="B34" s="61"/>
      <c r="C34" s="17"/>
      <c r="D34" s="17"/>
      <c r="E34" s="18"/>
      <c r="F34" s="19"/>
      <c r="G34" s="20"/>
      <c r="H34" s="17"/>
      <c r="I34" s="14" t="str">
        <f ca="1">IF(AND($C34="Goal",I$7&gt;=$F34,I$7&lt;=$F34+$G34-1),2,IF(AND($C34="Milestone",I$7&gt;=$F34,I$7&lt;=$F34+$G34-1),1,""))</f>
        <v/>
      </c>
      <c r="J34" s="14" t="str">
        <f ca="1">IF(AND($C34="Goal",J$7&gt;=$F34,J$7&lt;=$F34+$G34-1),2,IF(AND($C34="Milestone",J$7&gt;=$F34,J$7&lt;=$F34+$G34-1),1,""))</f>
        <v/>
      </c>
      <c r="K34" s="14" t="str">
        <f ca="1">IF(AND($C34="Goal",K$7&gt;=$F34,K$7&lt;=$F34+$G34-1),2,IF(AND($C34="Milestone",K$7&gt;=$F34,K$7&lt;=$F34+$G34-1),1,""))</f>
        <v/>
      </c>
      <c r="L34" s="14" t="str">
        <f ca="1">IF(AND($C34="Goal",L$7&gt;=$F34,L$7&lt;=$F34+$G34-1),2,IF(AND($C34="Milestone",L$7&gt;=$F34,L$7&lt;=$F34+$G34-1),1,""))</f>
        <v/>
      </c>
      <c r="M34" s="14" t="str">
        <f ca="1">IF(AND($C34="Goal",M$7&gt;=$F34,M$7&lt;=$F34+$G34-1),2,IF(AND($C34="Milestone",M$7&gt;=$F34,M$7&lt;=$F34+$G34-1),1,""))</f>
        <v/>
      </c>
      <c r="N34" s="14" t="str">
        <f ca="1">IF(AND($C34="Goal",N$7&gt;=$F34,N$7&lt;=$F34+$G34-1),2,IF(AND($C34="Milestone",N$7&gt;=$F34,N$7&lt;=$F34+$G34-1),1,""))</f>
        <v/>
      </c>
      <c r="O34" s="14" t="str">
        <f ca="1">IF(AND($C34="Goal",O$7&gt;=$F34,O$7&lt;=$F34+$G34-1),2,IF(AND($C34="Milestone",O$7&gt;=$F34,O$7&lt;=$F34+$G34-1),1,""))</f>
        <v/>
      </c>
      <c r="P34" s="14" t="str">
        <f ca="1">IF(AND($C34="Goal",P$7&gt;=$F34,P$7&lt;=$F34+$G34-1),2,IF(AND($C34="Milestone",P$7&gt;=$F34,P$7&lt;=$F34+$G34-1),1,""))</f>
        <v/>
      </c>
      <c r="Q34" s="14" t="str">
        <f ca="1">IF(AND($C34="Goal",Q$7&gt;=$F34,Q$7&lt;=$F34+$G34-1),2,IF(AND($C34="Milestone",Q$7&gt;=$F34,Q$7&lt;=$F34+$G34-1),1,""))</f>
        <v/>
      </c>
      <c r="R34" s="14" t="str">
        <f ca="1">IF(AND($C34="Goal",R$7&gt;=$F34,R$7&lt;=$F34+$G34-1),2,IF(AND($C34="Milestone",R$7&gt;=$F34,R$7&lt;=$F34+$G34-1),1,""))</f>
        <v/>
      </c>
      <c r="S34" s="14" t="str">
        <f ca="1">IF(AND($C34="Goal",S$7&gt;=$F34,S$7&lt;=$F34+$G34-1),2,IF(AND($C34="Milestone",S$7&gt;=$F34,S$7&lt;=$F34+$G34-1),1,""))</f>
        <v/>
      </c>
      <c r="T34" s="14" t="str">
        <f ca="1">IF(AND($C34="Goal",T$7&gt;=$F34,T$7&lt;=$F34+$G34-1),2,IF(AND($C34="Milestone",T$7&gt;=$F34,T$7&lt;=$F34+$G34-1),1,""))</f>
        <v/>
      </c>
      <c r="U34" s="14" t="str">
        <f ca="1">IF(AND($C34="Goal",U$7&gt;=$F34,U$7&lt;=$F34+$G34-1),2,IF(AND($C34="Milestone",U$7&gt;=$F34,U$7&lt;=$F34+$G34-1),1,""))</f>
        <v/>
      </c>
      <c r="V34" s="14" t="str">
        <f ca="1">IF(AND($C34="Goal",V$7&gt;=$F34,V$7&lt;=$F34+$G34-1),2,IF(AND($C34="Milestone",V$7&gt;=$F34,V$7&lt;=$F34+$G34-1),1,""))</f>
        <v/>
      </c>
      <c r="W34" s="14" t="str">
        <f ca="1">IF(AND($C34="Goal",W$7&gt;=$F34,W$7&lt;=$F34+$G34-1),2,IF(AND($C34="Milestone",W$7&gt;=$F34,W$7&lt;=$F34+$G34-1),1,""))</f>
        <v/>
      </c>
      <c r="X34" s="14" t="str">
        <f ca="1">IF(AND($C34="Goal",X$7&gt;=$F34,X$7&lt;=$F34+$G34-1),2,IF(AND($C34="Milestone",X$7&gt;=$F34,X$7&lt;=$F34+$G34-1),1,""))</f>
        <v/>
      </c>
      <c r="Y34" s="14" t="str">
        <f ca="1">IF(AND($C34="Goal",Y$7&gt;=$F34,Y$7&lt;=$F34+$G34-1),2,IF(AND($C34="Milestone",Y$7&gt;=$F34,Y$7&lt;=$F34+$G34-1),1,""))</f>
        <v/>
      </c>
      <c r="Z34" s="14" t="str">
        <f ca="1">IF(AND($C34="Goal",Z$7&gt;=$F34,Z$7&lt;=$F34+$G34-1),2,IF(AND($C34="Milestone",Z$7&gt;=$F34,Z$7&lt;=$F34+$G34-1),1,""))</f>
        <v/>
      </c>
      <c r="AA34" s="14" t="str">
        <f ca="1">IF(AND($C34="Goal",AA$7&gt;=$F34,AA$7&lt;=$F34+$G34-1),2,IF(AND($C34="Milestone",AA$7&gt;=$F34,AA$7&lt;=$F34+$G34-1),1,""))</f>
        <v/>
      </c>
      <c r="AB34" s="14" t="str">
        <f ca="1">IF(AND($C34="Goal",AB$7&gt;=$F34,AB$7&lt;=$F34+$G34-1),2,IF(AND($C34="Milestone",AB$7&gt;=$F34,AB$7&lt;=$F34+$G34-1),1,""))</f>
        <v/>
      </c>
      <c r="AC34" s="14" t="str">
        <f ca="1">IF(AND($C34="Goal",AC$7&gt;=$F34,AC$7&lt;=$F34+$G34-1),2,IF(AND($C34="Milestone",AC$7&gt;=$F34,AC$7&lt;=$F34+$G34-1),1,""))</f>
        <v/>
      </c>
      <c r="AD34" s="14" t="str">
        <f ca="1">IF(AND($C34="Goal",AD$7&gt;=$F34,AD$7&lt;=$F34+$G34-1),2,IF(AND($C34="Milestone",AD$7&gt;=$F34,AD$7&lt;=$F34+$G34-1),1,""))</f>
        <v/>
      </c>
      <c r="AE34" s="14" t="str">
        <f ca="1">IF(AND($C34="Goal",AE$7&gt;=$F34,AE$7&lt;=$F34+$G34-1),2,IF(AND($C34="Milestone",AE$7&gt;=$F34,AE$7&lt;=$F34+$G34-1),1,""))</f>
        <v/>
      </c>
      <c r="AF34" s="14" t="str">
        <f ca="1">IF(AND($C34="Goal",AF$7&gt;=$F34,AF$7&lt;=$F34+$G34-1),2,IF(AND($C34="Milestone",AF$7&gt;=$F34,AF$7&lt;=$F34+$G34-1),1,""))</f>
        <v/>
      </c>
      <c r="AG34" s="14" t="str">
        <f ca="1">IF(AND($C34="Goal",AG$7&gt;=$F34,AG$7&lt;=$F34+$G34-1),2,IF(AND($C34="Milestone",AG$7&gt;=$F34,AG$7&lt;=$F34+$G34-1),1,""))</f>
        <v/>
      </c>
      <c r="AH34" s="14" t="str">
        <f ca="1">IF(AND($C34="Goal",AH$7&gt;=$F34,AH$7&lt;=$F34+$G34-1),2,IF(AND($C34="Milestone",AH$7&gt;=$F34,AH$7&lt;=$F34+$G34-1),1,""))</f>
        <v/>
      </c>
      <c r="AI34" s="14" t="str">
        <f ca="1">IF(AND($C34="Goal",AI$7&gt;=$F34,AI$7&lt;=$F34+$G34-1),2,IF(AND($C34="Milestone",AI$7&gt;=$F34,AI$7&lt;=$F34+$G34-1),1,""))</f>
        <v/>
      </c>
      <c r="AJ34" s="14" t="str">
        <f ca="1">IF(AND($C34="Goal",AJ$7&gt;=$F34,AJ$7&lt;=$F34+$G34-1),2,IF(AND($C34="Milestone",AJ$7&gt;=$F34,AJ$7&lt;=$F34+$G34-1),1,""))</f>
        <v/>
      </c>
      <c r="AK34" s="14" t="str">
        <f ca="1">IF(AND($C34="Goal",AK$7&gt;=$F34,AK$7&lt;=$F34+$G34-1),2,IF(AND($C34="Milestone",AK$7&gt;=$F34,AK$7&lt;=$F34+$G34-1),1,""))</f>
        <v/>
      </c>
      <c r="AL34" s="14" t="str">
        <f ca="1">IF(AND($C34="Goal",AL$7&gt;=$F34,AL$7&lt;=$F34+$G34-1),2,IF(AND($C34="Milestone",AL$7&gt;=$F34,AL$7&lt;=$F34+$G34-1),1,""))</f>
        <v/>
      </c>
      <c r="AM34" s="14" t="str">
        <f ca="1">IF(AND($C34="Goal",AM$7&gt;=$F34,AM$7&lt;=$F34+$G34-1),2,IF(AND($C34="Milestone",AM$7&gt;=$F34,AM$7&lt;=$F34+$G34-1),1,""))</f>
        <v/>
      </c>
      <c r="AN34" s="14" t="str">
        <f ca="1">IF(AND($C34="Goal",AN$7&gt;=$F34,AN$7&lt;=$F34+$G34-1),2,IF(AND($C34="Milestone",AN$7&gt;=$F34,AN$7&lt;=$F34+$G34-1),1,""))</f>
        <v/>
      </c>
      <c r="AO34" s="14" t="str">
        <f ca="1">IF(AND($C34="Goal",AO$7&gt;=$F34,AO$7&lt;=$F34+$G34-1),2,IF(AND($C34="Milestone",AO$7&gt;=$F34,AO$7&lt;=$F34+$G34-1),1,""))</f>
        <v/>
      </c>
      <c r="AP34" s="14" t="str">
        <f ca="1">IF(AND($C34="Goal",AP$7&gt;=$F34,AP$7&lt;=$F34+$G34-1),2,IF(AND($C34="Milestone",AP$7&gt;=$F34,AP$7&lt;=$F34+$G34-1),1,""))</f>
        <v/>
      </c>
      <c r="AQ34" s="14" t="str">
        <f ca="1">IF(AND($C34="Goal",AQ$7&gt;=$F34,AQ$7&lt;=$F34+$G34-1),2,IF(AND($C34="Milestone",AQ$7&gt;=$F34,AQ$7&lt;=$F34+$G34-1),1,""))</f>
        <v/>
      </c>
      <c r="AR34" s="14" t="str">
        <f ca="1">IF(AND($C34="Goal",AR$7&gt;=$F34,AR$7&lt;=$F34+$G34-1),2,IF(AND($C34="Milestone",AR$7&gt;=$F34,AR$7&lt;=$F34+$G34-1),1,""))</f>
        <v/>
      </c>
      <c r="AS34" s="14" t="str">
        <f ca="1">IF(AND($C34="Goal",AS$7&gt;=$F34,AS$7&lt;=$F34+$G34-1),2,IF(AND($C34="Milestone",AS$7&gt;=$F34,AS$7&lt;=$F34+$G34-1),1,""))</f>
        <v/>
      </c>
      <c r="AT34" s="14" t="str">
        <f ca="1">IF(AND($C34="Goal",AT$7&gt;=$F34,AT$7&lt;=$F34+$G34-1),2,IF(AND($C34="Milestone",AT$7&gt;=$F34,AT$7&lt;=$F34+$G34-1),1,""))</f>
        <v/>
      </c>
      <c r="AU34" s="14" t="str">
        <f ca="1">IF(AND($C34="Goal",AU$7&gt;=$F34,AU$7&lt;=$F34+$G34-1),2,IF(AND($C34="Milestone",AU$7&gt;=$F34,AU$7&lt;=$F34+$G34-1),1,""))</f>
        <v/>
      </c>
      <c r="AV34" s="14" t="str">
        <f ca="1">IF(AND($C34="Goal",AV$7&gt;=$F34,AV$7&lt;=$F34+$G34-1),2,IF(AND($C34="Milestone",AV$7&gt;=$F34,AV$7&lt;=$F34+$G34-1),1,""))</f>
        <v/>
      </c>
      <c r="AW34" s="14" t="str">
        <f ca="1">IF(AND($C34="Goal",AW$7&gt;=$F34,AW$7&lt;=$F34+$G34-1),2,IF(AND($C34="Milestone",AW$7&gt;=$F34,AW$7&lt;=$F34+$G34-1),1,""))</f>
        <v/>
      </c>
      <c r="AX34" s="14" t="str">
        <f ca="1">IF(AND($C34="Goal",AX$7&gt;=$F34,AX$7&lt;=$F34+$G34-1),2,IF(AND($C34="Milestone",AX$7&gt;=$F34,AX$7&lt;=$F34+$G34-1),1,""))</f>
        <v/>
      </c>
      <c r="AY34" s="14" t="str">
        <f ca="1">IF(AND($C34="Goal",AY$7&gt;=$F34,AY$7&lt;=$F34+$G34-1),2,IF(AND($C34="Milestone",AY$7&gt;=$F34,AY$7&lt;=$F34+$G34-1),1,""))</f>
        <v/>
      </c>
      <c r="AZ34" s="14" t="str">
        <f ca="1">IF(AND($C34="Goal",AZ$7&gt;=$F34,AZ$7&lt;=$F34+$G34-1),2,IF(AND($C34="Milestone",AZ$7&gt;=$F34,AZ$7&lt;=$F34+$G34-1),1,""))</f>
        <v/>
      </c>
      <c r="BA34" s="14" t="str">
        <f ca="1">IF(AND($C34="Goal",BA$7&gt;=$F34,BA$7&lt;=$F34+$G34-1),2,IF(AND($C34="Milestone",BA$7&gt;=$F34,BA$7&lt;=$F34+$G34-1),1,""))</f>
        <v/>
      </c>
      <c r="BB34" s="14" t="str">
        <f ca="1">IF(AND($C34="Goal",BB$7&gt;=$F34,BB$7&lt;=$F34+$G34-1),2,IF(AND($C34="Milestone",BB$7&gt;=$F34,BB$7&lt;=$F34+$G34-1),1,""))</f>
        <v/>
      </c>
      <c r="BC34" s="14" t="str">
        <f ca="1">IF(AND($C34="Goal",BC$7&gt;=$F34,BC$7&lt;=$F34+$G34-1),2,IF(AND($C34="Milestone",BC$7&gt;=$F34,BC$7&lt;=$F34+$G34-1),1,""))</f>
        <v/>
      </c>
      <c r="BD34" s="14" t="str">
        <f ca="1">IF(AND($C34="Goal",BD$7&gt;=$F34,BD$7&lt;=$F34+$G34-1),2,IF(AND($C34="Milestone",BD$7&gt;=$F34,BD$7&lt;=$F34+$G34-1),1,""))</f>
        <v/>
      </c>
      <c r="BE34" s="14" t="str">
        <f ca="1">IF(AND($C34="Goal",BE$7&gt;=$F34,BE$7&lt;=$F34+$G34-1),2,IF(AND($C34="Milestone",BE$7&gt;=$F34,BE$7&lt;=$F34+$G34-1),1,""))</f>
        <v/>
      </c>
      <c r="BF34" s="14" t="str">
        <f ca="1">IF(AND($C34="Goal",BF$7&gt;=$F34,BF$7&lt;=$F34+$G34-1),2,IF(AND($C34="Milestone",BF$7&gt;=$F34,BF$7&lt;=$F34+$G34-1),1,""))</f>
        <v/>
      </c>
      <c r="BG34" s="14" t="str">
        <f ca="1">IF(AND($C34="Goal",BG$7&gt;=$F34,BG$7&lt;=$F34+$G34-1),2,IF(AND($C34="Milestone",BG$7&gt;=$F34,BG$7&lt;=$F34+$G34-1),1,""))</f>
        <v/>
      </c>
      <c r="BH34" s="14" t="str">
        <f ca="1">IF(AND($C34="Goal",BH$7&gt;=$F34,BH$7&lt;=$F34+$G34-1),2,IF(AND($C34="Milestone",BH$7&gt;=$F34,BH$7&lt;=$F34+$G34-1),1,""))</f>
        <v/>
      </c>
      <c r="BI34" s="14" t="str">
        <f ca="1">IF(AND($C34="Goal",BI$7&gt;=$F34,BI$7&lt;=$F34+$G34-1),2,IF(AND($C34="Milestone",BI$7&gt;=$F34,BI$7&lt;=$F34+$G34-1),1,""))</f>
        <v/>
      </c>
      <c r="BJ34" s="14" t="str">
        <f ca="1">IF(AND($C34="Goal",BJ$7&gt;=$F34,BJ$7&lt;=$F34+$G34-1),2,IF(AND($C34="Milestone",BJ$7&gt;=$F34,BJ$7&lt;=$F34+$G34-1),1,""))</f>
        <v/>
      </c>
      <c r="BK34" s="14" t="str">
        <f ca="1">IF(AND($C34="Goal",BK$7&gt;=$F34,BK$7&lt;=$F34+$G34-1),2,IF(AND($C34="Milestone",BK$7&gt;=$F34,BK$7&lt;=$F34+$G34-1),1,""))</f>
        <v/>
      </c>
      <c r="BL34" s="14" t="str">
        <f ca="1">IF(AND($C34="Goal",BL$7&gt;=$F34,BL$7&lt;=$F34+$G34-1),2,IF(AND($C34="Milestone",BL$7&gt;=$F34,BL$7&lt;=$F34+$G34-1),1,""))</f>
        <v/>
      </c>
    </row>
    <row r="35" spans="1:65" s="1" customFormat="1" ht="40" customHeight="1" x14ac:dyDescent="0.35">
      <c r="A35" s="6"/>
      <c r="B35" s="61"/>
      <c r="C35" s="17"/>
      <c r="D35" s="17"/>
      <c r="E35" s="18"/>
      <c r="F35" s="19"/>
      <c r="G35" s="20"/>
      <c r="H35" s="17"/>
      <c r="I35" s="14" t="str">
        <f ca="1">IF(AND($C35="Goal",I$7&gt;=$F35,I$7&lt;=$F35+$G35-1),2,IF(AND($C35="Milestone",I$7&gt;=$F35,I$7&lt;=$F35+$G35-1),1,""))</f>
        <v/>
      </c>
      <c r="J35" s="14" t="str">
        <f ca="1">IF(AND($C35="Goal",J$7&gt;=$F35,J$7&lt;=$F35+$G35-1),2,IF(AND($C35="Milestone",J$7&gt;=$F35,J$7&lt;=$F35+$G35-1),1,""))</f>
        <v/>
      </c>
      <c r="K35" s="14" t="str">
        <f ca="1">IF(AND($C35="Goal",K$7&gt;=$F35,K$7&lt;=$F35+$G35-1),2,IF(AND($C35="Milestone",K$7&gt;=$F35,K$7&lt;=$F35+$G35-1),1,""))</f>
        <v/>
      </c>
      <c r="L35" s="14" t="str">
        <f ca="1">IF(AND($C35="Goal",L$7&gt;=$F35,L$7&lt;=$F35+$G35-1),2,IF(AND($C35="Milestone",L$7&gt;=$F35,L$7&lt;=$F35+$G35-1),1,""))</f>
        <v/>
      </c>
      <c r="M35" s="14" t="str">
        <f ca="1">IF(AND($C35="Goal",M$7&gt;=$F35,M$7&lt;=$F35+$G35-1),2,IF(AND($C35="Milestone",M$7&gt;=$F35,M$7&lt;=$F35+$G35-1),1,""))</f>
        <v/>
      </c>
      <c r="N35" s="14" t="str">
        <f ca="1">IF(AND($C35="Goal",N$7&gt;=$F35,N$7&lt;=$F35+$G35-1),2,IF(AND($C35="Milestone",N$7&gt;=$F35,N$7&lt;=$F35+$G35-1),1,""))</f>
        <v/>
      </c>
      <c r="O35" s="14" t="str">
        <f ca="1">IF(AND($C35="Goal",O$7&gt;=$F35,O$7&lt;=$F35+$G35-1),2,IF(AND($C35="Milestone",O$7&gt;=$F35,O$7&lt;=$F35+$G35-1),1,""))</f>
        <v/>
      </c>
      <c r="P35" s="14" t="str">
        <f ca="1">IF(AND($C35="Goal",P$7&gt;=$F35,P$7&lt;=$F35+$G35-1),2,IF(AND($C35="Milestone",P$7&gt;=$F35,P$7&lt;=$F35+$G35-1),1,""))</f>
        <v/>
      </c>
      <c r="Q35" s="14" t="str">
        <f ca="1">IF(AND($C35="Goal",Q$7&gt;=$F35,Q$7&lt;=$F35+$G35-1),2,IF(AND($C35="Milestone",Q$7&gt;=$F35,Q$7&lt;=$F35+$G35-1),1,""))</f>
        <v/>
      </c>
      <c r="R35" s="14" t="str">
        <f ca="1">IF(AND($C35="Goal",R$7&gt;=$F35,R$7&lt;=$F35+$G35-1),2,IF(AND($C35="Milestone",R$7&gt;=$F35,R$7&lt;=$F35+$G35-1),1,""))</f>
        <v/>
      </c>
      <c r="S35" s="14" t="str">
        <f ca="1">IF(AND($C35="Goal",S$7&gt;=$F35,S$7&lt;=$F35+$G35-1),2,IF(AND($C35="Milestone",S$7&gt;=$F35,S$7&lt;=$F35+$G35-1),1,""))</f>
        <v/>
      </c>
      <c r="T35" s="14" t="str">
        <f ca="1">IF(AND($C35="Goal",T$7&gt;=$F35,T$7&lt;=$F35+$G35-1),2,IF(AND($C35="Milestone",T$7&gt;=$F35,T$7&lt;=$F35+$G35-1),1,""))</f>
        <v/>
      </c>
      <c r="U35" s="14" t="str">
        <f ca="1">IF(AND($C35="Goal",U$7&gt;=$F35,U$7&lt;=$F35+$G35-1),2,IF(AND($C35="Milestone",U$7&gt;=$F35,U$7&lt;=$F35+$G35-1),1,""))</f>
        <v/>
      </c>
      <c r="V35" s="14" t="str">
        <f ca="1">IF(AND($C35="Goal",V$7&gt;=$F35,V$7&lt;=$F35+$G35-1),2,IF(AND($C35="Milestone",V$7&gt;=$F35,V$7&lt;=$F35+$G35-1),1,""))</f>
        <v/>
      </c>
      <c r="W35" s="14" t="str">
        <f ca="1">IF(AND($C35="Goal",W$7&gt;=$F35,W$7&lt;=$F35+$G35-1),2,IF(AND($C35="Milestone",W$7&gt;=$F35,W$7&lt;=$F35+$G35-1),1,""))</f>
        <v/>
      </c>
      <c r="X35" s="14" t="str">
        <f ca="1">IF(AND($C35="Goal",X$7&gt;=$F35,X$7&lt;=$F35+$G35-1),2,IF(AND($C35="Milestone",X$7&gt;=$F35,X$7&lt;=$F35+$G35-1),1,""))</f>
        <v/>
      </c>
      <c r="Y35" s="14" t="str">
        <f ca="1">IF(AND($C35="Goal",Y$7&gt;=$F35,Y$7&lt;=$F35+$G35-1),2,IF(AND($C35="Milestone",Y$7&gt;=$F35,Y$7&lt;=$F35+$G35-1),1,""))</f>
        <v/>
      </c>
      <c r="Z35" s="14" t="str">
        <f ca="1">IF(AND($C35="Goal",Z$7&gt;=$F35,Z$7&lt;=$F35+$G35-1),2,IF(AND($C35="Milestone",Z$7&gt;=$F35,Z$7&lt;=$F35+$G35-1),1,""))</f>
        <v/>
      </c>
      <c r="AA35" s="14" t="str">
        <f ca="1">IF(AND($C35="Goal",AA$7&gt;=$F35,AA$7&lt;=$F35+$G35-1),2,IF(AND($C35="Milestone",AA$7&gt;=$F35,AA$7&lt;=$F35+$G35-1),1,""))</f>
        <v/>
      </c>
      <c r="AB35" s="14" t="str">
        <f ca="1">IF(AND($C35="Goal",AB$7&gt;=$F35,AB$7&lt;=$F35+$G35-1),2,IF(AND($C35="Milestone",AB$7&gt;=$F35,AB$7&lt;=$F35+$G35-1),1,""))</f>
        <v/>
      </c>
      <c r="AC35" s="14" t="str">
        <f ca="1">IF(AND($C35="Goal",AC$7&gt;=$F35,AC$7&lt;=$F35+$G35-1),2,IF(AND($C35="Milestone",AC$7&gt;=$F35,AC$7&lt;=$F35+$G35-1),1,""))</f>
        <v/>
      </c>
      <c r="AD35" s="14" t="str">
        <f ca="1">IF(AND($C35="Goal",AD$7&gt;=$F35,AD$7&lt;=$F35+$G35-1),2,IF(AND($C35="Milestone",AD$7&gt;=$F35,AD$7&lt;=$F35+$G35-1),1,""))</f>
        <v/>
      </c>
      <c r="AE35" s="14" t="str">
        <f ca="1">IF(AND($C35="Goal",AE$7&gt;=$F35,AE$7&lt;=$F35+$G35-1),2,IF(AND($C35="Milestone",AE$7&gt;=$F35,AE$7&lt;=$F35+$G35-1),1,""))</f>
        <v/>
      </c>
      <c r="AF35" s="14" t="str">
        <f ca="1">IF(AND($C35="Goal",AF$7&gt;=$F35,AF$7&lt;=$F35+$G35-1),2,IF(AND($C35="Milestone",AF$7&gt;=$F35,AF$7&lt;=$F35+$G35-1),1,""))</f>
        <v/>
      </c>
      <c r="AG35" s="14" t="str">
        <f ca="1">IF(AND($C35="Goal",AG$7&gt;=$F35,AG$7&lt;=$F35+$G35-1),2,IF(AND($C35="Milestone",AG$7&gt;=$F35,AG$7&lt;=$F35+$G35-1),1,""))</f>
        <v/>
      </c>
      <c r="AH35" s="14" t="str">
        <f ca="1">IF(AND($C35="Goal",AH$7&gt;=$F35,AH$7&lt;=$F35+$G35-1),2,IF(AND($C35="Milestone",AH$7&gt;=$F35,AH$7&lt;=$F35+$G35-1),1,""))</f>
        <v/>
      </c>
      <c r="AI35" s="14" t="str">
        <f ca="1">IF(AND($C35="Goal",AI$7&gt;=$F35,AI$7&lt;=$F35+$G35-1),2,IF(AND($C35="Milestone",AI$7&gt;=$F35,AI$7&lt;=$F35+$G35-1),1,""))</f>
        <v/>
      </c>
      <c r="AJ35" s="14" t="str">
        <f ca="1">IF(AND($C35="Goal",AJ$7&gt;=$F35,AJ$7&lt;=$F35+$G35-1),2,IF(AND($C35="Milestone",AJ$7&gt;=$F35,AJ$7&lt;=$F35+$G35-1),1,""))</f>
        <v/>
      </c>
      <c r="AK35" s="14" t="str">
        <f ca="1">IF(AND($C35="Goal",AK$7&gt;=$F35,AK$7&lt;=$F35+$G35-1),2,IF(AND($C35="Milestone",AK$7&gt;=$F35,AK$7&lt;=$F35+$G35-1),1,""))</f>
        <v/>
      </c>
      <c r="AL35" s="14" t="str">
        <f ca="1">IF(AND($C35="Goal",AL$7&gt;=$F35,AL$7&lt;=$F35+$G35-1),2,IF(AND($C35="Milestone",AL$7&gt;=$F35,AL$7&lt;=$F35+$G35-1),1,""))</f>
        <v/>
      </c>
      <c r="AM35" s="14" t="str">
        <f ca="1">IF(AND($C35="Goal",AM$7&gt;=$F35,AM$7&lt;=$F35+$G35-1),2,IF(AND($C35="Milestone",AM$7&gt;=$F35,AM$7&lt;=$F35+$G35-1),1,""))</f>
        <v/>
      </c>
      <c r="AN35" s="14" t="str">
        <f ca="1">IF(AND($C35="Goal",AN$7&gt;=$F35,AN$7&lt;=$F35+$G35-1),2,IF(AND($C35="Milestone",AN$7&gt;=$F35,AN$7&lt;=$F35+$G35-1),1,""))</f>
        <v/>
      </c>
      <c r="AO35" s="14" t="str">
        <f ca="1">IF(AND($C35="Goal",AO$7&gt;=$F35,AO$7&lt;=$F35+$G35-1),2,IF(AND($C35="Milestone",AO$7&gt;=$F35,AO$7&lt;=$F35+$G35-1),1,""))</f>
        <v/>
      </c>
      <c r="AP35" s="14" t="str">
        <f ca="1">IF(AND($C35="Goal",AP$7&gt;=$F35,AP$7&lt;=$F35+$G35-1),2,IF(AND($C35="Milestone",AP$7&gt;=$F35,AP$7&lt;=$F35+$G35-1),1,""))</f>
        <v/>
      </c>
      <c r="AQ35" s="14" t="str">
        <f ca="1">IF(AND($C35="Goal",AQ$7&gt;=$F35,AQ$7&lt;=$F35+$G35-1),2,IF(AND($C35="Milestone",AQ$7&gt;=$F35,AQ$7&lt;=$F35+$G35-1),1,""))</f>
        <v/>
      </c>
      <c r="AR35" s="14" t="str">
        <f ca="1">IF(AND($C35="Goal",AR$7&gt;=$F35,AR$7&lt;=$F35+$G35-1),2,IF(AND($C35="Milestone",AR$7&gt;=$F35,AR$7&lt;=$F35+$G35-1),1,""))</f>
        <v/>
      </c>
      <c r="AS35" s="14" t="str">
        <f ca="1">IF(AND($C35="Goal",AS$7&gt;=$F35,AS$7&lt;=$F35+$G35-1),2,IF(AND($C35="Milestone",AS$7&gt;=$F35,AS$7&lt;=$F35+$G35-1),1,""))</f>
        <v/>
      </c>
      <c r="AT35" s="14" t="str">
        <f ca="1">IF(AND($C35="Goal",AT$7&gt;=$F35,AT$7&lt;=$F35+$G35-1),2,IF(AND($C35="Milestone",AT$7&gt;=$F35,AT$7&lt;=$F35+$G35-1),1,""))</f>
        <v/>
      </c>
      <c r="AU35" s="14" t="str">
        <f ca="1">IF(AND($C35="Goal",AU$7&gt;=$F35,AU$7&lt;=$F35+$G35-1),2,IF(AND($C35="Milestone",AU$7&gt;=$F35,AU$7&lt;=$F35+$G35-1),1,""))</f>
        <v/>
      </c>
      <c r="AV35" s="14" t="str">
        <f ca="1">IF(AND($C35="Goal",AV$7&gt;=$F35,AV$7&lt;=$F35+$G35-1),2,IF(AND($C35="Milestone",AV$7&gt;=$F35,AV$7&lt;=$F35+$G35-1),1,""))</f>
        <v/>
      </c>
      <c r="AW35" s="14" t="str">
        <f ca="1">IF(AND($C35="Goal",AW$7&gt;=$F35,AW$7&lt;=$F35+$G35-1),2,IF(AND($C35="Milestone",AW$7&gt;=$F35,AW$7&lt;=$F35+$G35-1),1,""))</f>
        <v/>
      </c>
      <c r="AX35" s="14" t="str">
        <f ca="1">IF(AND($C35="Goal",AX$7&gt;=$F35,AX$7&lt;=$F35+$G35-1),2,IF(AND($C35="Milestone",AX$7&gt;=$F35,AX$7&lt;=$F35+$G35-1),1,""))</f>
        <v/>
      </c>
      <c r="AY35" s="14" t="str">
        <f ca="1">IF(AND($C35="Goal",AY$7&gt;=$F35,AY$7&lt;=$F35+$G35-1),2,IF(AND($C35="Milestone",AY$7&gt;=$F35,AY$7&lt;=$F35+$G35-1),1,""))</f>
        <v/>
      </c>
      <c r="AZ35" s="14" t="str">
        <f ca="1">IF(AND($C35="Goal",AZ$7&gt;=$F35,AZ$7&lt;=$F35+$G35-1),2,IF(AND($C35="Milestone",AZ$7&gt;=$F35,AZ$7&lt;=$F35+$G35-1),1,""))</f>
        <v/>
      </c>
      <c r="BA35" s="14" t="str">
        <f ca="1">IF(AND($C35="Goal",BA$7&gt;=$F35,BA$7&lt;=$F35+$G35-1),2,IF(AND($C35="Milestone",BA$7&gt;=$F35,BA$7&lt;=$F35+$G35-1),1,""))</f>
        <v/>
      </c>
      <c r="BB35" s="14" t="str">
        <f ca="1">IF(AND($C35="Goal",BB$7&gt;=$F35,BB$7&lt;=$F35+$G35-1),2,IF(AND($C35="Milestone",BB$7&gt;=$F35,BB$7&lt;=$F35+$G35-1),1,""))</f>
        <v/>
      </c>
      <c r="BC35" s="14" t="str">
        <f ca="1">IF(AND($C35="Goal",BC$7&gt;=$F35,BC$7&lt;=$F35+$G35-1),2,IF(AND($C35="Milestone",BC$7&gt;=$F35,BC$7&lt;=$F35+$G35-1),1,""))</f>
        <v/>
      </c>
      <c r="BD35" s="14" t="str">
        <f ca="1">IF(AND($C35="Goal",BD$7&gt;=$F35,BD$7&lt;=$F35+$G35-1),2,IF(AND($C35="Milestone",BD$7&gt;=$F35,BD$7&lt;=$F35+$G35-1),1,""))</f>
        <v/>
      </c>
      <c r="BE35" s="14" t="str">
        <f ca="1">IF(AND($C35="Goal",BE$7&gt;=$F35,BE$7&lt;=$F35+$G35-1),2,IF(AND($C35="Milestone",BE$7&gt;=$F35,BE$7&lt;=$F35+$G35-1),1,""))</f>
        <v/>
      </c>
      <c r="BF35" s="14" t="str">
        <f ca="1">IF(AND($C35="Goal",BF$7&gt;=$F35,BF$7&lt;=$F35+$G35-1),2,IF(AND($C35="Milestone",BF$7&gt;=$F35,BF$7&lt;=$F35+$G35-1),1,""))</f>
        <v/>
      </c>
      <c r="BG35" s="14" t="str">
        <f ca="1">IF(AND($C35="Goal",BG$7&gt;=$F35,BG$7&lt;=$F35+$G35-1),2,IF(AND($C35="Milestone",BG$7&gt;=$F35,BG$7&lt;=$F35+$G35-1),1,""))</f>
        <v/>
      </c>
      <c r="BH35" s="14" t="str">
        <f ca="1">IF(AND($C35="Goal",BH$7&gt;=$F35,BH$7&lt;=$F35+$G35-1),2,IF(AND($C35="Milestone",BH$7&gt;=$F35,BH$7&lt;=$F35+$G35-1),1,""))</f>
        <v/>
      </c>
      <c r="BI35" s="14" t="str">
        <f ca="1">IF(AND($C35="Goal",BI$7&gt;=$F35,BI$7&lt;=$F35+$G35-1),2,IF(AND($C35="Milestone",BI$7&gt;=$F35,BI$7&lt;=$F35+$G35-1),1,""))</f>
        <v/>
      </c>
      <c r="BJ35" s="14" t="str">
        <f ca="1">IF(AND($C35="Goal",BJ$7&gt;=$F35,BJ$7&lt;=$F35+$G35-1),2,IF(AND($C35="Milestone",BJ$7&gt;=$F35,BJ$7&lt;=$F35+$G35-1),1,""))</f>
        <v/>
      </c>
      <c r="BK35" s="14" t="str">
        <f ca="1">IF(AND($C35="Goal",BK$7&gt;=$F35,BK$7&lt;=$F35+$G35-1),2,IF(AND($C35="Milestone",BK$7&gt;=$F35,BK$7&lt;=$F35+$G35-1),1,""))</f>
        <v/>
      </c>
      <c r="BL35" s="14" t="str">
        <f ca="1">IF(AND($C35="Goal",BL$7&gt;=$F35,BL$7&lt;=$F35+$G35-1),2,IF(AND($C35="Milestone",BL$7&gt;=$F35,BL$7&lt;=$F35+$G35-1),1,""))</f>
        <v/>
      </c>
    </row>
    <row r="36" spans="1:65" s="1" customFormat="1" ht="40" customHeight="1" x14ac:dyDescent="0.35">
      <c r="A36" s="6"/>
      <c r="B36" s="60"/>
      <c r="C36" s="17"/>
      <c r="D36" s="17"/>
      <c r="E36" s="18"/>
      <c r="F36" s="19"/>
      <c r="G36" s="20"/>
      <c r="H36" s="17"/>
      <c r="I36" s="14" t="str">
        <f ca="1">IF(AND($C36="Goal",I$7&gt;=$F36,I$7&lt;=$F36+$G36-1),2,IF(AND($C36="Milestone",I$7&gt;=$F36,I$7&lt;=$F36+$G36-1),1,""))</f>
        <v/>
      </c>
      <c r="J36" s="14" t="str">
        <f ca="1">IF(AND($C36="Goal",J$7&gt;=$F36,J$7&lt;=$F36+$G36-1),2,IF(AND($C36="Milestone",J$7&gt;=$F36,J$7&lt;=$F36+$G36-1),1,""))</f>
        <v/>
      </c>
      <c r="K36" s="14" t="str">
        <f ca="1">IF(AND($C36="Goal",K$7&gt;=$F36,K$7&lt;=$F36+$G36-1),2,IF(AND($C36="Milestone",K$7&gt;=$F36,K$7&lt;=$F36+$G36-1),1,""))</f>
        <v/>
      </c>
      <c r="L36" s="14" t="str">
        <f ca="1">IF(AND($C36="Goal",L$7&gt;=$F36,L$7&lt;=$F36+$G36-1),2,IF(AND($C36="Milestone",L$7&gt;=$F36,L$7&lt;=$F36+$G36-1),1,""))</f>
        <v/>
      </c>
      <c r="M36" s="14" t="str">
        <f ca="1">IF(AND($C36="Goal",M$7&gt;=$F36,M$7&lt;=$F36+$G36-1),2,IF(AND($C36="Milestone",M$7&gt;=$F36,M$7&lt;=$F36+$G36-1),1,""))</f>
        <v/>
      </c>
      <c r="N36" s="14" t="str">
        <f ca="1">IF(AND($C36="Goal",N$7&gt;=$F36,N$7&lt;=$F36+$G36-1),2,IF(AND($C36="Milestone",N$7&gt;=$F36,N$7&lt;=$F36+$G36-1),1,""))</f>
        <v/>
      </c>
      <c r="O36" s="14" t="str">
        <f ca="1">IF(AND($C36="Goal",O$7&gt;=$F36,O$7&lt;=$F36+$G36-1),2,IF(AND($C36="Milestone",O$7&gt;=$F36,O$7&lt;=$F36+$G36-1),1,""))</f>
        <v/>
      </c>
      <c r="P36" s="14" t="str">
        <f ca="1">IF(AND($C36="Goal",P$7&gt;=$F36,P$7&lt;=$F36+$G36-1),2,IF(AND($C36="Milestone",P$7&gt;=$F36,P$7&lt;=$F36+$G36-1),1,""))</f>
        <v/>
      </c>
      <c r="Q36" s="14" t="str">
        <f ca="1">IF(AND($C36="Goal",Q$7&gt;=$F36,Q$7&lt;=$F36+$G36-1),2,IF(AND($C36="Milestone",Q$7&gt;=$F36,Q$7&lt;=$F36+$G36-1),1,""))</f>
        <v/>
      </c>
      <c r="R36" s="14" t="str">
        <f ca="1">IF(AND($C36="Goal",R$7&gt;=$F36,R$7&lt;=$F36+$G36-1),2,IF(AND($C36="Milestone",R$7&gt;=$F36,R$7&lt;=$F36+$G36-1),1,""))</f>
        <v/>
      </c>
      <c r="S36" s="14" t="str">
        <f ca="1">IF(AND($C36="Goal",S$7&gt;=$F36,S$7&lt;=$F36+$G36-1),2,IF(AND($C36="Milestone",S$7&gt;=$F36,S$7&lt;=$F36+$G36-1),1,""))</f>
        <v/>
      </c>
      <c r="T36" s="14" t="str">
        <f ca="1">IF(AND($C36="Goal",T$7&gt;=$F36,T$7&lt;=$F36+$G36-1),2,IF(AND($C36="Milestone",T$7&gt;=$F36,T$7&lt;=$F36+$G36-1),1,""))</f>
        <v/>
      </c>
      <c r="U36" s="14" t="str">
        <f ca="1">IF(AND($C36="Goal",U$7&gt;=$F36,U$7&lt;=$F36+$G36-1),2,IF(AND($C36="Milestone",U$7&gt;=$F36,U$7&lt;=$F36+$G36-1),1,""))</f>
        <v/>
      </c>
      <c r="V36" s="14" t="str">
        <f ca="1">IF(AND($C36="Goal",V$7&gt;=$F36,V$7&lt;=$F36+$G36-1),2,IF(AND($C36="Milestone",V$7&gt;=$F36,V$7&lt;=$F36+$G36-1),1,""))</f>
        <v/>
      </c>
      <c r="W36" s="14" t="str">
        <f ca="1">IF(AND($C36="Goal",W$7&gt;=$F36,W$7&lt;=$F36+$G36-1),2,IF(AND($C36="Milestone",W$7&gt;=$F36,W$7&lt;=$F36+$G36-1),1,""))</f>
        <v/>
      </c>
      <c r="X36" s="14" t="str">
        <f ca="1">IF(AND($C36="Goal",X$7&gt;=$F36,X$7&lt;=$F36+$G36-1),2,IF(AND($C36="Milestone",X$7&gt;=$F36,X$7&lt;=$F36+$G36-1),1,""))</f>
        <v/>
      </c>
      <c r="Y36" s="14" t="str">
        <f ca="1">IF(AND($C36="Goal",Y$7&gt;=$F36,Y$7&lt;=$F36+$G36-1),2,IF(AND($C36="Milestone",Y$7&gt;=$F36,Y$7&lt;=$F36+$G36-1),1,""))</f>
        <v/>
      </c>
      <c r="Z36" s="14" t="str">
        <f ca="1">IF(AND($C36="Goal",Z$7&gt;=$F36,Z$7&lt;=$F36+$G36-1),2,IF(AND($C36="Milestone",Z$7&gt;=$F36,Z$7&lt;=$F36+$G36-1),1,""))</f>
        <v/>
      </c>
      <c r="AA36" s="14" t="str">
        <f ca="1">IF(AND($C36="Goal",AA$7&gt;=$F36,AA$7&lt;=$F36+$G36-1),2,IF(AND($C36="Milestone",AA$7&gt;=$F36,AA$7&lt;=$F36+$G36-1),1,""))</f>
        <v/>
      </c>
      <c r="AB36" s="14" t="str">
        <f ca="1">IF(AND($C36="Goal",AB$7&gt;=$F36,AB$7&lt;=$F36+$G36-1),2,IF(AND($C36="Milestone",AB$7&gt;=$F36,AB$7&lt;=$F36+$G36-1),1,""))</f>
        <v/>
      </c>
      <c r="AC36" s="14" t="str">
        <f ca="1">IF(AND($C36="Goal",AC$7&gt;=$F36,AC$7&lt;=$F36+$G36-1),2,IF(AND($C36="Milestone",AC$7&gt;=$F36,AC$7&lt;=$F36+$G36-1),1,""))</f>
        <v/>
      </c>
      <c r="AD36" s="14" t="str">
        <f ca="1">IF(AND($C36="Goal",AD$7&gt;=$F36,AD$7&lt;=$F36+$G36-1),2,IF(AND($C36="Milestone",AD$7&gt;=$F36,AD$7&lt;=$F36+$G36-1),1,""))</f>
        <v/>
      </c>
      <c r="AE36" s="14" t="str">
        <f ca="1">IF(AND($C36="Goal",AE$7&gt;=$F36,AE$7&lt;=$F36+$G36-1),2,IF(AND($C36="Milestone",AE$7&gt;=$F36,AE$7&lt;=$F36+$G36-1),1,""))</f>
        <v/>
      </c>
      <c r="AF36" s="14" t="str">
        <f ca="1">IF(AND($C36="Goal",AF$7&gt;=$F36,AF$7&lt;=$F36+$G36-1),2,IF(AND($C36="Milestone",AF$7&gt;=$F36,AF$7&lt;=$F36+$G36-1),1,""))</f>
        <v/>
      </c>
      <c r="AG36" s="14" t="str">
        <f ca="1">IF(AND($C36="Goal",AG$7&gt;=$F36,AG$7&lt;=$F36+$G36-1),2,IF(AND($C36="Milestone",AG$7&gt;=$F36,AG$7&lt;=$F36+$G36-1),1,""))</f>
        <v/>
      </c>
      <c r="AH36" s="14" t="str">
        <f ca="1">IF(AND($C36="Goal",AH$7&gt;=$F36,AH$7&lt;=$F36+$G36-1),2,IF(AND($C36="Milestone",AH$7&gt;=$F36,AH$7&lt;=$F36+$G36-1),1,""))</f>
        <v/>
      </c>
      <c r="AI36" s="14" t="str">
        <f ca="1">IF(AND($C36="Goal",AI$7&gt;=$F36,AI$7&lt;=$F36+$G36-1),2,IF(AND($C36="Milestone",AI$7&gt;=$F36,AI$7&lt;=$F36+$G36-1),1,""))</f>
        <v/>
      </c>
      <c r="AJ36" s="14" t="str">
        <f ca="1">IF(AND($C36="Goal",AJ$7&gt;=$F36,AJ$7&lt;=$F36+$G36-1),2,IF(AND($C36="Milestone",AJ$7&gt;=$F36,AJ$7&lt;=$F36+$G36-1),1,""))</f>
        <v/>
      </c>
      <c r="AK36" s="14" t="str">
        <f ca="1">IF(AND($C36="Goal",AK$7&gt;=$F36,AK$7&lt;=$F36+$G36-1),2,IF(AND($C36="Milestone",AK$7&gt;=$F36,AK$7&lt;=$F36+$G36-1),1,""))</f>
        <v/>
      </c>
      <c r="AL36" s="14" t="str">
        <f ca="1">IF(AND($C36="Goal",AL$7&gt;=$F36,AL$7&lt;=$F36+$G36-1),2,IF(AND($C36="Milestone",AL$7&gt;=$F36,AL$7&lt;=$F36+$G36-1),1,""))</f>
        <v/>
      </c>
      <c r="AM36" s="14" t="str">
        <f ca="1">IF(AND($C36="Goal",AM$7&gt;=$F36,AM$7&lt;=$F36+$G36-1),2,IF(AND($C36="Milestone",AM$7&gt;=$F36,AM$7&lt;=$F36+$G36-1),1,""))</f>
        <v/>
      </c>
      <c r="AN36" s="14" t="str">
        <f ca="1">IF(AND($C36="Goal",AN$7&gt;=$F36,AN$7&lt;=$F36+$G36-1),2,IF(AND($C36="Milestone",AN$7&gt;=$F36,AN$7&lt;=$F36+$G36-1),1,""))</f>
        <v/>
      </c>
      <c r="AO36" s="14" t="str">
        <f ca="1">IF(AND($C36="Goal",AO$7&gt;=$F36,AO$7&lt;=$F36+$G36-1),2,IF(AND($C36="Milestone",AO$7&gt;=$F36,AO$7&lt;=$F36+$G36-1),1,""))</f>
        <v/>
      </c>
      <c r="AP36" s="14" t="str">
        <f ca="1">IF(AND($C36="Goal",AP$7&gt;=$F36,AP$7&lt;=$F36+$G36-1),2,IF(AND($C36="Milestone",AP$7&gt;=$F36,AP$7&lt;=$F36+$G36-1),1,""))</f>
        <v/>
      </c>
      <c r="AQ36" s="14" t="str">
        <f ca="1">IF(AND($C36="Goal",AQ$7&gt;=$F36,AQ$7&lt;=$F36+$G36-1),2,IF(AND($C36="Milestone",AQ$7&gt;=$F36,AQ$7&lt;=$F36+$G36-1),1,""))</f>
        <v/>
      </c>
      <c r="AR36" s="14" t="str">
        <f ca="1">IF(AND($C36="Goal",AR$7&gt;=$F36,AR$7&lt;=$F36+$G36-1),2,IF(AND($C36="Milestone",AR$7&gt;=$F36,AR$7&lt;=$F36+$G36-1),1,""))</f>
        <v/>
      </c>
      <c r="AS36" s="14" t="str">
        <f ca="1">IF(AND($C36="Goal",AS$7&gt;=$F36,AS$7&lt;=$F36+$G36-1),2,IF(AND($C36="Milestone",AS$7&gt;=$F36,AS$7&lt;=$F36+$G36-1),1,""))</f>
        <v/>
      </c>
      <c r="AT36" s="14" t="str">
        <f ca="1">IF(AND($C36="Goal",AT$7&gt;=$F36,AT$7&lt;=$F36+$G36-1),2,IF(AND($C36="Milestone",AT$7&gt;=$F36,AT$7&lt;=$F36+$G36-1),1,""))</f>
        <v/>
      </c>
      <c r="AU36" s="14" t="str">
        <f ca="1">IF(AND($C36="Goal",AU$7&gt;=$F36,AU$7&lt;=$F36+$G36-1),2,IF(AND($C36="Milestone",AU$7&gt;=$F36,AU$7&lt;=$F36+$G36-1),1,""))</f>
        <v/>
      </c>
      <c r="AV36" s="14" t="str">
        <f ca="1">IF(AND($C36="Goal",AV$7&gt;=$F36,AV$7&lt;=$F36+$G36-1),2,IF(AND($C36="Milestone",AV$7&gt;=$F36,AV$7&lt;=$F36+$G36-1),1,""))</f>
        <v/>
      </c>
      <c r="AW36" s="14" t="str">
        <f ca="1">IF(AND($C36="Goal",AW$7&gt;=$F36,AW$7&lt;=$F36+$G36-1),2,IF(AND($C36="Milestone",AW$7&gt;=$F36,AW$7&lt;=$F36+$G36-1),1,""))</f>
        <v/>
      </c>
      <c r="AX36" s="14" t="str">
        <f ca="1">IF(AND($C36="Goal",AX$7&gt;=$F36,AX$7&lt;=$F36+$G36-1),2,IF(AND($C36="Milestone",AX$7&gt;=$F36,AX$7&lt;=$F36+$G36-1),1,""))</f>
        <v/>
      </c>
      <c r="AY36" s="14" t="str">
        <f ca="1">IF(AND($C36="Goal",AY$7&gt;=$F36,AY$7&lt;=$F36+$G36-1),2,IF(AND($C36="Milestone",AY$7&gt;=$F36,AY$7&lt;=$F36+$G36-1),1,""))</f>
        <v/>
      </c>
      <c r="AZ36" s="14" t="str">
        <f ca="1">IF(AND($C36="Goal",AZ$7&gt;=$F36,AZ$7&lt;=$F36+$G36-1),2,IF(AND($C36="Milestone",AZ$7&gt;=$F36,AZ$7&lt;=$F36+$G36-1),1,""))</f>
        <v/>
      </c>
      <c r="BA36" s="14" t="str">
        <f ca="1">IF(AND($C36="Goal",BA$7&gt;=$F36,BA$7&lt;=$F36+$G36-1),2,IF(AND($C36="Milestone",BA$7&gt;=$F36,BA$7&lt;=$F36+$G36-1),1,""))</f>
        <v/>
      </c>
      <c r="BB36" s="14" t="str">
        <f ca="1">IF(AND($C36="Goal",BB$7&gt;=$F36,BB$7&lt;=$F36+$G36-1),2,IF(AND($C36="Milestone",BB$7&gt;=$F36,BB$7&lt;=$F36+$G36-1),1,""))</f>
        <v/>
      </c>
      <c r="BC36" s="14" t="str">
        <f ca="1">IF(AND($C36="Goal",BC$7&gt;=$F36,BC$7&lt;=$F36+$G36-1),2,IF(AND($C36="Milestone",BC$7&gt;=$F36,BC$7&lt;=$F36+$G36-1),1,""))</f>
        <v/>
      </c>
      <c r="BD36" s="14" t="str">
        <f ca="1">IF(AND($C36="Goal",BD$7&gt;=$F36,BD$7&lt;=$F36+$G36-1),2,IF(AND($C36="Milestone",BD$7&gt;=$F36,BD$7&lt;=$F36+$G36-1),1,""))</f>
        <v/>
      </c>
      <c r="BE36" s="14" t="str">
        <f ca="1">IF(AND($C36="Goal",BE$7&gt;=$F36,BE$7&lt;=$F36+$G36-1),2,IF(AND($C36="Milestone",BE$7&gt;=$F36,BE$7&lt;=$F36+$G36-1),1,""))</f>
        <v/>
      </c>
      <c r="BF36" s="14" t="str">
        <f ca="1">IF(AND($C36="Goal",BF$7&gt;=$F36,BF$7&lt;=$F36+$G36-1),2,IF(AND($C36="Milestone",BF$7&gt;=$F36,BF$7&lt;=$F36+$G36-1),1,""))</f>
        <v/>
      </c>
      <c r="BG36" s="14" t="str">
        <f ca="1">IF(AND($C36="Goal",BG$7&gt;=$F36,BG$7&lt;=$F36+$G36-1),2,IF(AND($C36="Milestone",BG$7&gt;=$F36,BG$7&lt;=$F36+$G36-1),1,""))</f>
        <v/>
      </c>
      <c r="BH36" s="14" t="str">
        <f ca="1">IF(AND($C36="Goal",BH$7&gt;=$F36,BH$7&lt;=$F36+$G36-1),2,IF(AND($C36="Milestone",BH$7&gt;=$F36,BH$7&lt;=$F36+$G36-1),1,""))</f>
        <v/>
      </c>
      <c r="BI36" s="14" t="str">
        <f ca="1">IF(AND($C36="Goal",BI$7&gt;=$F36,BI$7&lt;=$F36+$G36-1),2,IF(AND($C36="Milestone",BI$7&gt;=$F36,BI$7&lt;=$F36+$G36-1),1,""))</f>
        <v/>
      </c>
      <c r="BJ36" s="14" t="str">
        <f ca="1">IF(AND($C36="Goal",BJ$7&gt;=$F36,BJ$7&lt;=$F36+$G36-1),2,IF(AND($C36="Milestone",BJ$7&gt;=$F36,BJ$7&lt;=$F36+$G36-1),1,""))</f>
        <v/>
      </c>
      <c r="BK36" s="14" t="str">
        <f ca="1">IF(AND($C36="Goal",BK$7&gt;=$F36,BK$7&lt;=$F36+$G36-1),2,IF(AND($C36="Milestone",BK$7&gt;=$F36,BK$7&lt;=$F36+$G36-1),1,""))</f>
        <v/>
      </c>
      <c r="BL36" s="14" t="str">
        <f ca="1">IF(AND($C36="Goal",BL$7&gt;=$F36,BL$7&lt;=$F36+$G36-1),2,IF(AND($C36="Milestone",BL$7&gt;=$F36,BL$7&lt;=$F36+$G36-1),1,""))</f>
        <v/>
      </c>
    </row>
    <row r="37" spans="1:65" s="1" customFormat="1" ht="40" customHeight="1" x14ac:dyDescent="0.35">
      <c r="A37" s="6"/>
      <c r="B37" s="61"/>
      <c r="C37" s="17"/>
      <c r="D37" s="17"/>
      <c r="E37" s="18"/>
      <c r="F37" s="19"/>
      <c r="G37" s="20"/>
      <c r="H37" s="17"/>
      <c r="I37" s="14" t="str">
        <f ca="1">IF(AND($C37="Goal",I$7&gt;=$F37,I$7&lt;=$F37+$G37-1),2,IF(AND($C37="Milestone",I$7&gt;=$F37,I$7&lt;=$F37+$G37-1),1,""))</f>
        <v/>
      </c>
      <c r="J37" s="14" t="str">
        <f ca="1">IF(AND($C37="Goal",J$7&gt;=$F37,J$7&lt;=$F37+$G37-1),2,IF(AND($C37="Milestone",J$7&gt;=$F37,J$7&lt;=$F37+$G37-1),1,""))</f>
        <v/>
      </c>
      <c r="K37" s="14" t="str">
        <f ca="1">IF(AND($C37="Goal",K$7&gt;=$F37,K$7&lt;=$F37+$G37-1),2,IF(AND($C37="Milestone",K$7&gt;=$F37,K$7&lt;=$F37+$G37-1),1,""))</f>
        <v/>
      </c>
      <c r="L37" s="14" t="str">
        <f ca="1">IF(AND($C37="Goal",L$7&gt;=$F37,L$7&lt;=$F37+$G37-1),2,IF(AND($C37="Milestone",L$7&gt;=$F37,L$7&lt;=$F37+$G37-1),1,""))</f>
        <v/>
      </c>
      <c r="M37" s="14" t="str">
        <f ca="1">IF(AND($C37="Goal",M$7&gt;=$F37,M$7&lt;=$F37+$G37-1),2,IF(AND($C37="Milestone",M$7&gt;=$F37,M$7&lt;=$F37+$G37-1),1,""))</f>
        <v/>
      </c>
      <c r="N37" s="14" t="str">
        <f ca="1">IF(AND($C37="Goal",N$7&gt;=$F37,N$7&lt;=$F37+$G37-1),2,IF(AND($C37="Milestone",N$7&gt;=$F37,N$7&lt;=$F37+$G37-1),1,""))</f>
        <v/>
      </c>
      <c r="O37" s="14" t="str">
        <f ca="1">IF(AND($C37="Goal",O$7&gt;=$F37,O$7&lt;=$F37+$G37-1),2,IF(AND($C37="Milestone",O$7&gt;=$F37,O$7&lt;=$F37+$G37-1),1,""))</f>
        <v/>
      </c>
      <c r="P37" s="14" t="str">
        <f ca="1">IF(AND($C37="Goal",P$7&gt;=$F37,P$7&lt;=$F37+$G37-1),2,IF(AND($C37="Milestone",P$7&gt;=$F37,P$7&lt;=$F37+$G37-1),1,""))</f>
        <v/>
      </c>
      <c r="Q37" s="14" t="str">
        <f ca="1">IF(AND($C37="Goal",Q$7&gt;=$F37,Q$7&lt;=$F37+$G37-1),2,IF(AND($C37="Milestone",Q$7&gt;=$F37,Q$7&lt;=$F37+$G37-1),1,""))</f>
        <v/>
      </c>
      <c r="R37" s="14" t="str">
        <f ca="1">IF(AND($C37="Goal",R$7&gt;=$F37,R$7&lt;=$F37+$G37-1),2,IF(AND($C37="Milestone",R$7&gt;=$F37,R$7&lt;=$F37+$G37-1),1,""))</f>
        <v/>
      </c>
      <c r="S37" s="14" t="str">
        <f ca="1">IF(AND($C37="Goal",S$7&gt;=$F37,S$7&lt;=$F37+$G37-1),2,IF(AND($C37="Milestone",S$7&gt;=$F37,S$7&lt;=$F37+$G37-1),1,""))</f>
        <v/>
      </c>
      <c r="T37" s="14" t="str">
        <f ca="1">IF(AND($C37="Goal",T$7&gt;=$F37,T$7&lt;=$F37+$G37-1),2,IF(AND($C37="Milestone",T$7&gt;=$F37,T$7&lt;=$F37+$G37-1),1,""))</f>
        <v/>
      </c>
      <c r="U37" s="14" t="str">
        <f ca="1">IF(AND($C37="Goal",U$7&gt;=$F37,U$7&lt;=$F37+$G37-1),2,IF(AND($C37="Milestone",U$7&gt;=$F37,U$7&lt;=$F37+$G37-1),1,""))</f>
        <v/>
      </c>
      <c r="V37" s="14" t="str">
        <f ca="1">IF(AND($C37="Goal",V$7&gt;=$F37,V$7&lt;=$F37+$G37-1),2,IF(AND($C37="Milestone",V$7&gt;=$F37,V$7&lt;=$F37+$G37-1),1,""))</f>
        <v/>
      </c>
      <c r="W37" s="14" t="str">
        <f ca="1">IF(AND($C37="Goal",W$7&gt;=$F37,W$7&lt;=$F37+$G37-1),2,IF(AND($C37="Milestone",W$7&gt;=$F37,W$7&lt;=$F37+$G37-1),1,""))</f>
        <v/>
      </c>
      <c r="X37" s="14" t="str">
        <f ca="1">IF(AND($C37="Goal",X$7&gt;=$F37,X$7&lt;=$F37+$G37-1),2,IF(AND($C37="Milestone",X$7&gt;=$F37,X$7&lt;=$F37+$G37-1),1,""))</f>
        <v/>
      </c>
      <c r="Y37" s="14" t="str">
        <f ca="1">IF(AND($C37="Goal",Y$7&gt;=$F37,Y$7&lt;=$F37+$G37-1),2,IF(AND($C37="Milestone",Y$7&gt;=$F37,Y$7&lt;=$F37+$G37-1),1,""))</f>
        <v/>
      </c>
      <c r="Z37" s="14" t="str">
        <f ca="1">IF(AND($C37="Goal",Z$7&gt;=$F37,Z$7&lt;=$F37+$G37-1),2,IF(AND($C37="Milestone",Z$7&gt;=$F37,Z$7&lt;=$F37+$G37-1),1,""))</f>
        <v/>
      </c>
      <c r="AA37" s="14" t="str">
        <f ca="1">IF(AND($C37="Goal",AA$7&gt;=$F37,AA$7&lt;=$F37+$G37-1),2,IF(AND($C37="Milestone",AA$7&gt;=$F37,AA$7&lt;=$F37+$G37-1),1,""))</f>
        <v/>
      </c>
      <c r="AB37" s="14" t="str">
        <f ca="1">IF(AND($C37="Goal",AB$7&gt;=$F37,AB$7&lt;=$F37+$G37-1),2,IF(AND($C37="Milestone",AB$7&gt;=$F37,AB$7&lt;=$F37+$G37-1),1,""))</f>
        <v/>
      </c>
      <c r="AC37" s="14" t="str">
        <f ca="1">IF(AND($C37="Goal",AC$7&gt;=$F37,AC$7&lt;=$F37+$G37-1),2,IF(AND($C37="Milestone",AC$7&gt;=$F37,AC$7&lt;=$F37+$G37-1),1,""))</f>
        <v/>
      </c>
      <c r="AD37" s="14" t="str">
        <f ca="1">IF(AND($C37="Goal",AD$7&gt;=$F37,AD$7&lt;=$F37+$G37-1),2,IF(AND($C37="Milestone",AD$7&gt;=$F37,AD$7&lt;=$F37+$G37-1),1,""))</f>
        <v/>
      </c>
      <c r="AE37" s="14" t="str">
        <f ca="1">IF(AND($C37="Goal",AE$7&gt;=$F37,AE$7&lt;=$F37+$G37-1),2,IF(AND($C37="Milestone",AE$7&gt;=$F37,AE$7&lt;=$F37+$G37-1),1,""))</f>
        <v/>
      </c>
      <c r="AF37" s="14" t="str">
        <f ca="1">IF(AND($C37="Goal",AF$7&gt;=$F37,AF$7&lt;=$F37+$G37-1),2,IF(AND($C37="Milestone",AF$7&gt;=$F37,AF$7&lt;=$F37+$G37-1),1,""))</f>
        <v/>
      </c>
      <c r="AG37" s="14" t="str">
        <f ca="1">IF(AND($C37="Goal",AG$7&gt;=$F37,AG$7&lt;=$F37+$G37-1),2,IF(AND($C37="Milestone",AG$7&gt;=$F37,AG$7&lt;=$F37+$G37-1),1,""))</f>
        <v/>
      </c>
      <c r="AH37" s="14" t="str">
        <f ca="1">IF(AND($C37="Goal",AH$7&gt;=$F37,AH$7&lt;=$F37+$G37-1),2,IF(AND($C37="Milestone",AH$7&gt;=$F37,AH$7&lt;=$F37+$G37-1),1,""))</f>
        <v/>
      </c>
      <c r="AI37" s="14" t="str">
        <f ca="1">IF(AND($C37="Goal",AI$7&gt;=$F37,AI$7&lt;=$F37+$G37-1),2,IF(AND($C37="Milestone",AI$7&gt;=$F37,AI$7&lt;=$F37+$G37-1),1,""))</f>
        <v/>
      </c>
      <c r="AJ37" s="14" t="str">
        <f ca="1">IF(AND($C37="Goal",AJ$7&gt;=$F37,AJ$7&lt;=$F37+$G37-1),2,IF(AND($C37="Milestone",AJ$7&gt;=$F37,AJ$7&lt;=$F37+$G37-1),1,""))</f>
        <v/>
      </c>
      <c r="AK37" s="14" t="str">
        <f ca="1">IF(AND($C37="Goal",AK$7&gt;=$F37,AK$7&lt;=$F37+$G37-1),2,IF(AND($C37="Milestone",AK$7&gt;=$F37,AK$7&lt;=$F37+$G37-1),1,""))</f>
        <v/>
      </c>
      <c r="AL37" s="14" t="str">
        <f ca="1">IF(AND($C37="Goal",AL$7&gt;=$F37,AL$7&lt;=$F37+$G37-1),2,IF(AND($C37="Milestone",AL$7&gt;=$F37,AL$7&lt;=$F37+$G37-1),1,""))</f>
        <v/>
      </c>
      <c r="AM37" s="14" t="str">
        <f ca="1">IF(AND($C37="Goal",AM$7&gt;=$F37,AM$7&lt;=$F37+$G37-1),2,IF(AND($C37="Milestone",AM$7&gt;=$F37,AM$7&lt;=$F37+$G37-1),1,""))</f>
        <v/>
      </c>
      <c r="AN37" s="14" t="str">
        <f ca="1">IF(AND($C37="Goal",AN$7&gt;=$F37,AN$7&lt;=$F37+$G37-1),2,IF(AND($C37="Milestone",AN$7&gt;=$F37,AN$7&lt;=$F37+$G37-1),1,""))</f>
        <v/>
      </c>
      <c r="AO37" s="14" t="str">
        <f ca="1">IF(AND($C37="Goal",AO$7&gt;=$F37,AO$7&lt;=$F37+$G37-1),2,IF(AND($C37="Milestone",AO$7&gt;=$F37,AO$7&lt;=$F37+$G37-1),1,""))</f>
        <v/>
      </c>
      <c r="AP37" s="14" t="str">
        <f ca="1">IF(AND($C37="Goal",AP$7&gt;=$F37,AP$7&lt;=$F37+$G37-1),2,IF(AND($C37="Milestone",AP$7&gt;=$F37,AP$7&lt;=$F37+$G37-1),1,""))</f>
        <v/>
      </c>
      <c r="AQ37" s="14" t="str">
        <f ca="1">IF(AND($C37="Goal",AQ$7&gt;=$F37,AQ$7&lt;=$F37+$G37-1),2,IF(AND($C37="Milestone",AQ$7&gt;=$F37,AQ$7&lt;=$F37+$G37-1),1,""))</f>
        <v/>
      </c>
      <c r="AR37" s="14" t="str">
        <f ca="1">IF(AND($C37="Goal",AR$7&gt;=$F37,AR$7&lt;=$F37+$G37-1),2,IF(AND($C37="Milestone",AR$7&gt;=$F37,AR$7&lt;=$F37+$G37-1),1,""))</f>
        <v/>
      </c>
      <c r="AS37" s="14" t="str">
        <f ca="1">IF(AND($C37="Goal",AS$7&gt;=$F37,AS$7&lt;=$F37+$G37-1),2,IF(AND($C37="Milestone",AS$7&gt;=$F37,AS$7&lt;=$F37+$G37-1),1,""))</f>
        <v/>
      </c>
      <c r="AT37" s="14" t="str">
        <f ca="1">IF(AND($C37="Goal",AT$7&gt;=$F37,AT$7&lt;=$F37+$G37-1),2,IF(AND($C37="Milestone",AT$7&gt;=$F37,AT$7&lt;=$F37+$G37-1),1,""))</f>
        <v/>
      </c>
      <c r="AU37" s="14" t="str">
        <f ca="1">IF(AND($C37="Goal",AU$7&gt;=$F37,AU$7&lt;=$F37+$G37-1),2,IF(AND($C37="Milestone",AU$7&gt;=$F37,AU$7&lt;=$F37+$G37-1),1,""))</f>
        <v/>
      </c>
      <c r="AV37" s="14" t="str">
        <f ca="1">IF(AND($C37="Goal",AV$7&gt;=$F37,AV$7&lt;=$F37+$G37-1),2,IF(AND($C37="Milestone",AV$7&gt;=$F37,AV$7&lt;=$F37+$G37-1),1,""))</f>
        <v/>
      </c>
      <c r="AW37" s="14" t="str">
        <f ca="1">IF(AND($C37="Goal",AW$7&gt;=$F37,AW$7&lt;=$F37+$G37-1),2,IF(AND($C37="Milestone",AW$7&gt;=$F37,AW$7&lt;=$F37+$G37-1),1,""))</f>
        <v/>
      </c>
      <c r="AX37" s="14" t="str">
        <f ca="1">IF(AND($C37="Goal",AX$7&gt;=$F37,AX$7&lt;=$F37+$G37-1),2,IF(AND($C37="Milestone",AX$7&gt;=$F37,AX$7&lt;=$F37+$G37-1),1,""))</f>
        <v/>
      </c>
      <c r="AY37" s="14" t="str">
        <f ca="1">IF(AND($C37="Goal",AY$7&gt;=$F37,AY$7&lt;=$F37+$G37-1),2,IF(AND($C37="Milestone",AY$7&gt;=$F37,AY$7&lt;=$F37+$G37-1),1,""))</f>
        <v/>
      </c>
      <c r="AZ37" s="14" t="str">
        <f ca="1">IF(AND($C37="Goal",AZ$7&gt;=$F37,AZ$7&lt;=$F37+$G37-1),2,IF(AND($C37="Milestone",AZ$7&gt;=$F37,AZ$7&lt;=$F37+$G37-1),1,""))</f>
        <v/>
      </c>
      <c r="BA37" s="14" t="str">
        <f ca="1">IF(AND($C37="Goal",BA$7&gt;=$F37,BA$7&lt;=$F37+$G37-1),2,IF(AND($C37="Milestone",BA$7&gt;=$F37,BA$7&lt;=$F37+$G37-1),1,""))</f>
        <v/>
      </c>
      <c r="BB37" s="14" t="str">
        <f ca="1">IF(AND($C37="Goal",BB$7&gt;=$F37,BB$7&lt;=$F37+$G37-1),2,IF(AND($C37="Milestone",BB$7&gt;=$F37,BB$7&lt;=$F37+$G37-1),1,""))</f>
        <v/>
      </c>
      <c r="BC37" s="14" t="str">
        <f ca="1">IF(AND($C37="Goal",BC$7&gt;=$F37,BC$7&lt;=$F37+$G37-1),2,IF(AND($C37="Milestone",BC$7&gt;=$F37,BC$7&lt;=$F37+$G37-1),1,""))</f>
        <v/>
      </c>
      <c r="BD37" s="14" t="str">
        <f ca="1">IF(AND($C37="Goal",BD$7&gt;=$F37,BD$7&lt;=$F37+$G37-1),2,IF(AND($C37="Milestone",BD$7&gt;=$F37,BD$7&lt;=$F37+$G37-1),1,""))</f>
        <v/>
      </c>
      <c r="BE37" s="14" t="str">
        <f ca="1">IF(AND($C37="Goal",BE$7&gt;=$F37,BE$7&lt;=$F37+$G37-1),2,IF(AND($C37="Milestone",BE$7&gt;=$F37,BE$7&lt;=$F37+$G37-1),1,""))</f>
        <v/>
      </c>
      <c r="BF37" s="14" t="str">
        <f ca="1">IF(AND($C37="Goal",BF$7&gt;=$F37,BF$7&lt;=$F37+$G37-1),2,IF(AND($C37="Milestone",BF$7&gt;=$F37,BF$7&lt;=$F37+$G37-1),1,""))</f>
        <v/>
      </c>
      <c r="BG37" s="14" t="str">
        <f ca="1">IF(AND($C37="Goal",BG$7&gt;=$F37,BG$7&lt;=$F37+$G37-1),2,IF(AND($C37="Milestone",BG$7&gt;=$F37,BG$7&lt;=$F37+$G37-1),1,""))</f>
        <v/>
      </c>
      <c r="BH37" s="14" t="str">
        <f ca="1">IF(AND($C37="Goal",BH$7&gt;=$F37,BH$7&lt;=$F37+$G37-1),2,IF(AND($C37="Milestone",BH$7&gt;=$F37,BH$7&lt;=$F37+$G37-1),1,""))</f>
        <v/>
      </c>
      <c r="BI37" s="14" t="str">
        <f ca="1">IF(AND($C37="Goal",BI$7&gt;=$F37,BI$7&lt;=$F37+$G37-1),2,IF(AND($C37="Milestone",BI$7&gt;=$F37,BI$7&lt;=$F37+$G37-1),1,""))</f>
        <v/>
      </c>
      <c r="BJ37" s="14" t="str">
        <f ca="1">IF(AND($C37="Goal",BJ$7&gt;=$F37,BJ$7&lt;=$F37+$G37-1),2,IF(AND($C37="Milestone",BJ$7&gt;=$F37,BJ$7&lt;=$F37+$G37-1),1,""))</f>
        <v/>
      </c>
      <c r="BK37" s="14" t="str">
        <f ca="1">IF(AND($C37="Goal",BK$7&gt;=$F37,BK$7&lt;=$F37+$G37-1),2,IF(AND($C37="Milestone",BK$7&gt;=$F37,BK$7&lt;=$F37+$G37-1),1,""))</f>
        <v/>
      </c>
      <c r="BL37" s="14" t="str">
        <f ca="1">IF(AND($C37="Goal",BL$7&gt;=$F37,BL$7&lt;=$F37+$G37-1),2,IF(AND($C37="Milestone",BL$7&gt;=$F37,BL$7&lt;=$F37+$G37-1),1,""))</f>
        <v/>
      </c>
    </row>
    <row r="38" spans="1:65" s="1" customFormat="1" ht="40" customHeight="1" x14ac:dyDescent="0.35">
      <c r="A38" s="6"/>
      <c r="B38" s="61"/>
      <c r="C38" s="17"/>
      <c r="D38" s="17"/>
      <c r="E38" s="18"/>
      <c r="F38" s="19"/>
      <c r="G38" s="20"/>
      <c r="H38" s="17"/>
      <c r="I38" s="14" t="str">
        <f ca="1">IF(AND($C38="Goal",I$7&gt;=$F38,I$7&lt;=$F38+$G38-1),2,IF(AND($C38="Milestone",I$7&gt;=$F38,I$7&lt;=$F38+$G38-1),1,""))</f>
        <v/>
      </c>
      <c r="J38" s="14" t="str">
        <f ca="1">IF(AND($C38="Goal",J$7&gt;=$F38,J$7&lt;=$F38+$G38-1),2,IF(AND($C38="Milestone",J$7&gt;=$F38,J$7&lt;=$F38+$G38-1),1,""))</f>
        <v/>
      </c>
      <c r="K38" s="14" t="str">
        <f ca="1">IF(AND($C38="Goal",K$7&gt;=$F38,K$7&lt;=$F38+$G38-1),2,IF(AND($C38="Milestone",K$7&gt;=$F38,K$7&lt;=$F38+$G38-1),1,""))</f>
        <v/>
      </c>
      <c r="L38" s="14" t="str">
        <f ca="1">IF(AND($C38="Goal",L$7&gt;=$F38,L$7&lt;=$F38+$G38-1),2,IF(AND($C38="Milestone",L$7&gt;=$F38,L$7&lt;=$F38+$G38-1),1,""))</f>
        <v/>
      </c>
      <c r="M38" s="14" t="str">
        <f ca="1">IF(AND($C38="Goal",M$7&gt;=$F38,M$7&lt;=$F38+$G38-1),2,IF(AND($C38="Milestone",M$7&gt;=$F38,M$7&lt;=$F38+$G38-1),1,""))</f>
        <v/>
      </c>
      <c r="N38" s="14" t="str">
        <f ca="1">IF(AND($C38="Goal",N$7&gt;=$F38,N$7&lt;=$F38+$G38-1),2,IF(AND($C38="Milestone",N$7&gt;=$F38,N$7&lt;=$F38+$G38-1),1,""))</f>
        <v/>
      </c>
      <c r="O38" s="14" t="str">
        <f ca="1">IF(AND($C38="Goal",O$7&gt;=$F38,O$7&lt;=$F38+$G38-1),2,IF(AND($C38="Milestone",O$7&gt;=$F38,O$7&lt;=$F38+$G38-1),1,""))</f>
        <v/>
      </c>
      <c r="P38" s="14" t="str">
        <f ca="1">IF(AND($C38="Goal",P$7&gt;=$F38,P$7&lt;=$F38+$G38-1),2,IF(AND($C38="Milestone",P$7&gt;=$F38,P$7&lt;=$F38+$G38-1),1,""))</f>
        <v/>
      </c>
      <c r="Q38" s="14" t="str">
        <f ca="1">IF(AND($C38="Goal",Q$7&gt;=$F38,Q$7&lt;=$F38+$G38-1),2,IF(AND($C38="Milestone",Q$7&gt;=$F38,Q$7&lt;=$F38+$G38-1),1,""))</f>
        <v/>
      </c>
      <c r="R38" s="14" t="str">
        <f ca="1">IF(AND($C38="Goal",R$7&gt;=$F38,R$7&lt;=$F38+$G38-1),2,IF(AND($C38="Milestone",R$7&gt;=$F38,R$7&lt;=$F38+$G38-1),1,""))</f>
        <v/>
      </c>
      <c r="S38" s="14" t="str">
        <f ca="1">IF(AND($C38="Goal",S$7&gt;=$F38,S$7&lt;=$F38+$G38-1),2,IF(AND($C38="Milestone",S$7&gt;=$F38,S$7&lt;=$F38+$G38-1),1,""))</f>
        <v/>
      </c>
      <c r="T38" s="14" t="str">
        <f ca="1">IF(AND($C38="Goal",T$7&gt;=$F38,T$7&lt;=$F38+$G38-1),2,IF(AND($C38="Milestone",T$7&gt;=$F38,T$7&lt;=$F38+$G38-1),1,""))</f>
        <v/>
      </c>
      <c r="U38" s="14" t="str">
        <f ca="1">IF(AND($C38="Goal",U$7&gt;=$F38,U$7&lt;=$F38+$G38-1),2,IF(AND($C38="Milestone",U$7&gt;=$F38,U$7&lt;=$F38+$G38-1),1,""))</f>
        <v/>
      </c>
      <c r="V38" s="14" t="str">
        <f ca="1">IF(AND($C38="Goal",V$7&gt;=$F38,V$7&lt;=$F38+$G38-1),2,IF(AND($C38="Milestone",V$7&gt;=$F38,V$7&lt;=$F38+$G38-1),1,""))</f>
        <v/>
      </c>
      <c r="W38" s="14" t="str">
        <f ca="1">IF(AND($C38="Goal",W$7&gt;=$F38,W$7&lt;=$F38+$G38-1),2,IF(AND($C38="Milestone",W$7&gt;=$F38,W$7&lt;=$F38+$G38-1),1,""))</f>
        <v/>
      </c>
      <c r="X38" s="14" t="str">
        <f ca="1">IF(AND($C38="Goal",X$7&gt;=$F38,X$7&lt;=$F38+$G38-1),2,IF(AND($C38="Milestone",X$7&gt;=$F38,X$7&lt;=$F38+$G38-1),1,""))</f>
        <v/>
      </c>
      <c r="Y38" s="14" t="str">
        <f ca="1">IF(AND($C38="Goal",Y$7&gt;=$F38,Y$7&lt;=$F38+$G38-1),2,IF(AND($C38="Milestone",Y$7&gt;=$F38,Y$7&lt;=$F38+$G38-1),1,""))</f>
        <v/>
      </c>
      <c r="Z38" s="14" t="str">
        <f ca="1">IF(AND($C38="Goal",Z$7&gt;=$F38,Z$7&lt;=$F38+$G38-1),2,IF(AND($C38="Milestone",Z$7&gt;=$F38,Z$7&lt;=$F38+$G38-1),1,""))</f>
        <v/>
      </c>
      <c r="AA38" s="14" t="str">
        <f ca="1">IF(AND($C38="Goal",AA$7&gt;=$F38,AA$7&lt;=$F38+$G38-1),2,IF(AND($C38="Milestone",AA$7&gt;=$F38,AA$7&lt;=$F38+$G38-1),1,""))</f>
        <v/>
      </c>
      <c r="AB38" s="14" t="str">
        <f ca="1">IF(AND($C38="Goal",AB$7&gt;=$F38,AB$7&lt;=$F38+$G38-1),2,IF(AND($C38="Milestone",AB$7&gt;=$F38,AB$7&lt;=$F38+$G38-1),1,""))</f>
        <v/>
      </c>
      <c r="AC38" s="14" t="str">
        <f ca="1">IF(AND($C38="Goal",AC$7&gt;=$F38,AC$7&lt;=$F38+$G38-1),2,IF(AND($C38="Milestone",AC$7&gt;=$F38,AC$7&lt;=$F38+$G38-1),1,""))</f>
        <v/>
      </c>
      <c r="AD38" s="14" t="str">
        <f ca="1">IF(AND($C38="Goal",AD$7&gt;=$F38,AD$7&lt;=$F38+$G38-1),2,IF(AND($C38="Milestone",AD$7&gt;=$F38,AD$7&lt;=$F38+$G38-1),1,""))</f>
        <v/>
      </c>
      <c r="AE38" s="14" t="str">
        <f ca="1">IF(AND($C38="Goal",AE$7&gt;=$F38,AE$7&lt;=$F38+$G38-1),2,IF(AND($C38="Milestone",AE$7&gt;=$F38,AE$7&lt;=$F38+$G38-1),1,""))</f>
        <v/>
      </c>
      <c r="AF38" s="14" t="str">
        <f ca="1">IF(AND($C38="Goal",AF$7&gt;=$F38,AF$7&lt;=$F38+$G38-1),2,IF(AND($C38="Milestone",AF$7&gt;=$F38,AF$7&lt;=$F38+$G38-1),1,""))</f>
        <v/>
      </c>
      <c r="AG38" s="14" t="str">
        <f ca="1">IF(AND($C38="Goal",AG$7&gt;=$F38,AG$7&lt;=$F38+$G38-1),2,IF(AND($C38="Milestone",AG$7&gt;=$F38,AG$7&lt;=$F38+$G38-1),1,""))</f>
        <v/>
      </c>
      <c r="AH38" s="14" t="str">
        <f ca="1">IF(AND($C38="Goal",AH$7&gt;=$F38,AH$7&lt;=$F38+$G38-1),2,IF(AND($C38="Milestone",AH$7&gt;=$F38,AH$7&lt;=$F38+$G38-1),1,""))</f>
        <v/>
      </c>
      <c r="AI38" s="14" t="str">
        <f ca="1">IF(AND($C38="Goal",AI$7&gt;=$F38,AI$7&lt;=$F38+$G38-1),2,IF(AND($C38="Milestone",AI$7&gt;=$F38,AI$7&lt;=$F38+$G38-1),1,""))</f>
        <v/>
      </c>
      <c r="AJ38" s="14" t="str">
        <f ca="1">IF(AND($C38="Goal",AJ$7&gt;=$F38,AJ$7&lt;=$F38+$G38-1),2,IF(AND($C38="Milestone",AJ$7&gt;=$F38,AJ$7&lt;=$F38+$G38-1),1,""))</f>
        <v/>
      </c>
      <c r="AK38" s="14" t="str">
        <f ca="1">IF(AND($C38="Goal",AK$7&gt;=$F38,AK$7&lt;=$F38+$G38-1),2,IF(AND($C38="Milestone",AK$7&gt;=$F38,AK$7&lt;=$F38+$G38-1),1,""))</f>
        <v/>
      </c>
      <c r="AL38" s="14" t="str">
        <f ca="1">IF(AND($C38="Goal",AL$7&gt;=$F38,AL$7&lt;=$F38+$G38-1),2,IF(AND($C38="Milestone",AL$7&gt;=$F38,AL$7&lt;=$F38+$G38-1),1,""))</f>
        <v/>
      </c>
      <c r="AM38" s="14" t="str">
        <f ca="1">IF(AND($C38="Goal",AM$7&gt;=$F38,AM$7&lt;=$F38+$G38-1),2,IF(AND($C38="Milestone",AM$7&gt;=$F38,AM$7&lt;=$F38+$G38-1),1,""))</f>
        <v/>
      </c>
      <c r="AN38" s="14" t="str">
        <f ca="1">IF(AND($C38="Goal",AN$7&gt;=$F38,AN$7&lt;=$F38+$G38-1),2,IF(AND($C38="Milestone",AN$7&gt;=$F38,AN$7&lt;=$F38+$G38-1),1,""))</f>
        <v/>
      </c>
      <c r="AO38" s="14" t="str">
        <f ca="1">IF(AND($C38="Goal",AO$7&gt;=$F38,AO$7&lt;=$F38+$G38-1),2,IF(AND($C38="Milestone",AO$7&gt;=$F38,AO$7&lt;=$F38+$G38-1),1,""))</f>
        <v/>
      </c>
      <c r="AP38" s="14" t="str">
        <f ca="1">IF(AND($C38="Goal",AP$7&gt;=$F38,AP$7&lt;=$F38+$G38-1),2,IF(AND($C38="Milestone",AP$7&gt;=$F38,AP$7&lt;=$F38+$G38-1),1,""))</f>
        <v/>
      </c>
      <c r="AQ38" s="14" t="str">
        <f ca="1">IF(AND($C38="Goal",AQ$7&gt;=$F38,AQ$7&lt;=$F38+$G38-1),2,IF(AND($C38="Milestone",AQ$7&gt;=$F38,AQ$7&lt;=$F38+$G38-1),1,""))</f>
        <v/>
      </c>
      <c r="AR38" s="14" t="str">
        <f ca="1">IF(AND($C38="Goal",AR$7&gt;=$F38,AR$7&lt;=$F38+$G38-1),2,IF(AND($C38="Milestone",AR$7&gt;=$F38,AR$7&lt;=$F38+$G38-1),1,""))</f>
        <v/>
      </c>
      <c r="AS38" s="14" t="str">
        <f ca="1">IF(AND($C38="Goal",AS$7&gt;=$F38,AS$7&lt;=$F38+$G38-1),2,IF(AND($C38="Milestone",AS$7&gt;=$F38,AS$7&lt;=$F38+$G38-1),1,""))</f>
        <v/>
      </c>
      <c r="AT38" s="14" t="str">
        <f ca="1">IF(AND($C38="Goal",AT$7&gt;=$F38,AT$7&lt;=$F38+$G38-1),2,IF(AND($C38="Milestone",AT$7&gt;=$F38,AT$7&lt;=$F38+$G38-1),1,""))</f>
        <v/>
      </c>
      <c r="AU38" s="14" t="str">
        <f ca="1">IF(AND($C38="Goal",AU$7&gt;=$F38,AU$7&lt;=$F38+$G38-1),2,IF(AND($C38="Milestone",AU$7&gt;=$F38,AU$7&lt;=$F38+$G38-1),1,""))</f>
        <v/>
      </c>
      <c r="AV38" s="14" t="str">
        <f ca="1">IF(AND($C38="Goal",AV$7&gt;=$F38,AV$7&lt;=$F38+$G38-1),2,IF(AND($C38="Milestone",AV$7&gt;=$F38,AV$7&lt;=$F38+$G38-1),1,""))</f>
        <v/>
      </c>
      <c r="AW38" s="14" t="str">
        <f ca="1">IF(AND($C38="Goal",AW$7&gt;=$F38,AW$7&lt;=$F38+$G38-1),2,IF(AND($C38="Milestone",AW$7&gt;=$F38,AW$7&lt;=$F38+$G38-1),1,""))</f>
        <v/>
      </c>
      <c r="AX38" s="14" t="str">
        <f ca="1">IF(AND($C38="Goal",AX$7&gt;=$F38,AX$7&lt;=$F38+$G38-1),2,IF(AND($C38="Milestone",AX$7&gt;=$F38,AX$7&lt;=$F38+$G38-1),1,""))</f>
        <v/>
      </c>
      <c r="AY38" s="14" t="str">
        <f ca="1">IF(AND($C38="Goal",AY$7&gt;=$F38,AY$7&lt;=$F38+$G38-1),2,IF(AND($C38="Milestone",AY$7&gt;=$F38,AY$7&lt;=$F38+$G38-1),1,""))</f>
        <v/>
      </c>
      <c r="AZ38" s="14" t="str">
        <f ca="1">IF(AND($C38="Goal",AZ$7&gt;=$F38,AZ$7&lt;=$F38+$G38-1),2,IF(AND($C38="Milestone",AZ$7&gt;=$F38,AZ$7&lt;=$F38+$G38-1),1,""))</f>
        <v/>
      </c>
      <c r="BA38" s="14" t="str">
        <f ca="1">IF(AND($C38="Goal",BA$7&gt;=$F38,BA$7&lt;=$F38+$G38-1),2,IF(AND($C38="Milestone",BA$7&gt;=$F38,BA$7&lt;=$F38+$G38-1),1,""))</f>
        <v/>
      </c>
      <c r="BB38" s="14" t="str">
        <f ca="1">IF(AND($C38="Goal",BB$7&gt;=$F38,BB$7&lt;=$F38+$G38-1),2,IF(AND($C38="Milestone",BB$7&gt;=$F38,BB$7&lt;=$F38+$G38-1),1,""))</f>
        <v/>
      </c>
      <c r="BC38" s="14" t="str">
        <f ca="1">IF(AND($C38="Goal",BC$7&gt;=$F38,BC$7&lt;=$F38+$G38-1),2,IF(AND($C38="Milestone",BC$7&gt;=$F38,BC$7&lt;=$F38+$G38-1),1,""))</f>
        <v/>
      </c>
      <c r="BD38" s="14" t="str">
        <f ca="1">IF(AND($C38="Goal",BD$7&gt;=$F38,BD$7&lt;=$F38+$G38-1),2,IF(AND($C38="Milestone",BD$7&gt;=$F38,BD$7&lt;=$F38+$G38-1),1,""))</f>
        <v/>
      </c>
      <c r="BE38" s="14" t="str">
        <f ca="1">IF(AND($C38="Goal",BE$7&gt;=$F38,BE$7&lt;=$F38+$G38-1),2,IF(AND($C38="Milestone",BE$7&gt;=$F38,BE$7&lt;=$F38+$G38-1),1,""))</f>
        <v/>
      </c>
      <c r="BF38" s="14" t="str">
        <f ca="1">IF(AND($C38="Goal",BF$7&gt;=$F38,BF$7&lt;=$F38+$G38-1),2,IF(AND($C38="Milestone",BF$7&gt;=$F38,BF$7&lt;=$F38+$G38-1),1,""))</f>
        <v/>
      </c>
      <c r="BG38" s="14" t="str">
        <f ca="1">IF(AND($C38="Goal",BG$7&gt;=$F38,BG$7&lt;=$F38+$G38-1),2,IF(AND($C38="Milestone",BG$7&gt;=$F38,BG$7&lt;=$F38+$G38-1),1,""))</f>
        <v/>
      </c>
      <c r="BH38" s="14" t="str">
        <f ca="1">IF(AND($C38="Goal",BH$7&gt;=$F38,BH$7&lt;=$F38+$G38-1),2,IF(AND($C38="Milestone",BH$7&gt;=$F38,BH$7&lt;=$F38+$G38-1),1,""))</f>
        <v/>
      </c>
      <c r="BI38" s="14" t="str">
        <f ca="1">IF(AND($C38="Goal",BI$7&gt;=$F38,BI$7&lt;=$F38+$G38-1),2,IF(AND($C38="Milestone",BI$7&gt;=$F38,BI$7&lt;=$F38+$G38-1),1,""))</f>
        <v/>
      </c>
      <c r="BJ38" s="14" t="str">
        <f ca="1">IF(AND($C38="Goal",BJ$7&gt;=$F38,BJ$7&lt;=$F38+$G38-1),2,IF(AND($C38="Milestone",BJ$7&gt;=$F38,BJ$7&lt;=$F38+$G38-1),1,""))</f>
        <v/>
      </c>
      <c r="BK38" s="14" t="str">
        <f ca="1">IF(AND($C38="Goal",BK$7&gt;=$F38,BK$7&lt;=$F38+$G38-1),2,IF(AND($C38="Milestone",BK$7&gt;=$F38,BK$7&lt;=$F38+$G38-1),1,""))</f>
        <v/>
      </c>
      <c r="BL38" s="14" t="str">
        <f ca="1">IF(AND($C38="Goal",BL$7&gt;=$F38,BL$7&lt;=$F38+$G38-1),2,IF(AND($C38="Milestone",BL$7&gt;=$F38,BL$7&lt;=$F38+$G38-1),1,""))</f>
        <v/>
      </c>
    </row>
    <row r="39" spans="1:65" s="1" customFormat="1" ht="40" customHeight="1" x14ac:dyDescent="0.35">
      <c r="A39" s="6"/>
      <c r="B39" s="61"/>
      <c r="C39" s="17"/>
      <c r="D39" s="17"/>
      <c r="E39" s="18"/>
      <c r="F39" s="19"/>
      <c r="G39" s="20"/>
      <c r="H39" s="17"/>
      <c r="I39" s="14" t="str">
        <f ca="1">IF(AND($C39="Goal",I$7&gt;=$F39,I$7&lt;=$F39+$G39-1),2,IF(AND($C39="Milestone",I$7&gt;=$F39,I$7&lt;=$F39+$G39-1),1,""))</f>
        <v/>
      </c>
      <c r="J39" s="14" t="str">
        <f ca="1">IF(AND($C39="Goal",J$7&gt;=$F39,J$7&lt;=$F39+$G39-1),2,IF(AND($C39="Milestone",J$7&gt;=$F39,J$7&lt;=$F39+$G39-1),1,""))</f>
        <v/>
      </c>
      <c r="K39" s="14" t="str">
        <f ca="1">IF(AND($C39="Goal",K$7&gt;=$F39,K$7&lt;=$F39+$G39-1),2,IF(AND($C39="Milestone",K$7&gt;=$F39,K$7&lt;=$F39+$G39-1),1,""))</f>
        <v/>
      </c>
      <c r="L39" s="14" t="str">
        <f ca="1">IF(AND($C39="Goal",L$7&gt;=$F39,L$7&lt;=$F39+$G39-1),2,IF(AND($C39="Milestone",L$7&gt;=$F39,L$7&lt;=$F39+$G39-1),1,""))</f>
        <v/>
      </c>
      <c r="M39" s="14" t="str">
        <f ca="1">IF(AND($C39="Goal",M$7&gt;=$F39,M$7&lt;=$F39+$G39-1),2,IF(AND($C39="Milestone",M$7&gt;=$F39,M$7&lt;=$F39+$G39-1),1,""))</f>
        <v/>
      </c>
      <c r="N39" s="14" t="str">
        <f ca="1">IF(AND($C39="Goal",N$7&gt;=$F39,N$7&lt;=$F39+$G39-1),2,IF(AND($C39="Milestone",N$7&gt;=$F39,N$7&lt;=$F39+$G39-1),1,""))</f>
        <v/>
      </c>
      <c r="O39" s="14" t="str">
        <f ca="1">IF(AND($C39="Goal",O$7&gt;=$F39,O$7&lt;=$F39+$G39-1),2,IF(AND($C39="Milestone",O$7&gt;=$F39,O$7&lt;=$F39+$G39-1),1,""))</f>
        <v/>
      </c>
      <c r="P39" s="14" t="str">
        <f ca="1">IF(AND($C39="Goal",P$7&gt;=$F39,P$7&lt;=$F39+$G39-1),2,IF(AND($C39="Milestone",P$7&gt;=$F39,P$7&lt;=$F39+$G39-1),1,""))</f>
        <v/>
      </c>
      <c r="Q39" s="14" t="str">
        <f ca="1">IF(AND($C39="Goal",Q$7&gt;=$F39,Q$7&lt;=$F39+$G39-1),2,IF(AND($C39="Milestone",Q$7&gt;=$F39,Q$7&lt;=$F39+$G39-1),1,""))</f>
        <v/>
      </c>
      <c r="R39" s="14" t="str">
        <f ca="1">IF(AND($C39="Goal",R$7&gt;=$F39,R$7&lt;=$F39+$G39-1),2,IF(AND($C39="Milestone",R$7&gt;=$F39,R$7&lt;=$F39+$G39-1),1,""))</f>
        <v/>
      </c>
      <c r="S39" s="14" t="str">
        <f ca="1">IF(AND($C39="Goal",S$7&gt;=$F39,S$7&lt;=$F39+$G39-1),2,IF(AND($C39="Milestone",S$7&gt;=$F39,S$7&lt;=$F39+$G39-1),1,""))</f>
        <v/>
      </c>
      <c r="T39" s="14" t="str">
        <f ca="1">IF(AND($C39="Goal",T$7&gt;=$F39,T$7&lt;=$F39+$G39-1),2,IF(AND($C39="Milestone",T$7&gt;=$F39,T$7&lt;=$F39+$G39-1),1,""))</f>
        <v/>
      </c>
      <c r="U39" s="14" t="str">
        <f ca="1">IF(AND($C39="Goal",U$7&gt;=$F39,U$7&lt;=$F39+$G39-1),2,IF(AND($C39="Milestone",U$7&gt;=$F39,U$7&lt;=$F39+$G39-1),1,""))</f>
        <v/>
      </c>
      <c r="V39" s="14" t="str">
        <f ca="1">IF(AND($C39="Goal",V$7&gt;=$F39,V$7&lt;=$F39+$G39-1),2,IF(AND($C39="Milestone",V$7&gt;=$F39,V$7&lt;=$F39+$G39-1),1,""))</f>
        <v/>
      </c>
      <c r="W39" s="14" t="str">
        <f ca="1">IF(AND($C39="Goal",W$7&gt;=$F39,W$7&lt;=$F39+$G39-1),2,IF(AND($C39="Milestone",W$7&gt;=$F39,W$7&lt;=$F39+$G39-1),1,""))</f>
        <v/>
      </c>
      <c r="X39" s="14" t="str">
        <f ca="1">IF(AND($C39="Goal",X$7&gt;=$F39,X$7&lt;=$F39+$G39-1),2,IF(AND($C39="Milestone",X$7&gt;=$F39,X$7&lt;=$F39+$G39-1),1,""))</f>
        <v/>
      </c>
      <c r="Y39" s="14" t="str">
        <f ca="1">IF(AND($C39="Goal",Y$7&gt;=$F39,Y$7&lt;=$F39+$G39-1),2,IF(AND($C39="Milestone",Y$7&gt;=$F39,Y$7&lt;=$F39+$G39-1),1,""))</f>
        <v/>
      </c>
      <c r="Z39" s="14" t="str">
        <f ca="1">IF(AND($C39="Goal",Z$7&gt;=$F39,Z$7&lt;=$F39+$G39-1),2,IF(AND($C39="Milestone",Z$7&gt;=$F39,Z$7&lt;=$F39+$G39-1),1,""))</f>
        <v/>
      </c>
      <c r="AA39" s="14" t="str">
        <f ca="1">IF(AND($C39="Goal",AA$7&gt;=$F39,AA$7&lt;=$F39+$G39-1),2,IF(AND($C39="Milestone",AA$7&gt;=$F39,AA$7&lt;=$F39+$G39-1),1,""))</f>
        <v/>
      </c>
      <c r="AB39" s="14" t="str">
        <f ca="1">IF(AND($C39="Goal",AB$7&gt;=$F39,AB$7&lt;=$F39+$G39-1),2,IF(AND($C39="Milestone",AB$7&gt;=$F39,AB$7&lt;=$F39+$G39-1),1,""))</f>
        <v/>
      </c>
      <c r="AC39" s="14" t="str">
        <f ca="1">IF(AND($C39="Goal",AC$7&gt;=$F39,AC$7&lt;=$F39+$G39-1),2,IF(AND($C39="Milestone",AC$7&gt;=$F39,AC$7&lt;=$F39+$G39-1),1,""))</f>
        <v/>
      </c>
      <c r="AD39" s="14" t="str">
        <f ca="1">IF(AND($C39="Goal",AD$7&gt;=$F39,AD$7&lt;=$F39+$G39-1),2,IF(AND($C39="Milestone",AD$7&gt;=$F39,AD$7&lt;=$F39+$G39-1),1,""))</f>
        <v/>
      </c>
      <c r="AE39" s="14" t="str">
        <f ca="1">IF(AND($C39="Goal",AE$7&gt;=$F39,AE$7&lt;=$F39+$G39-1),2,IF(AND($C39="Milestone",AE$7&gt;=$F39,AE$7&lt;=$F39+$G39-1),1,""))</f>
        <v/>
      </c>
      <c r="AF39" s="14" t="str">
        <f ca="1">IF(AND($C39="Goal",AF$7&gt;=$F39,AF$7&lt;=$F39+$G39-1),2,IF(AND($C39="Milestone",AF$7&gt;=$F39,AF$7&lt;=$F39+$G39-1),1,""))</f>
        <v/>
      </c>
      <c r="AG39" s="14" t="str">
        <f ca="1">IF(AND($C39="Goal",AG$7&gt;=$F39,AG$7&lt;=$F39+$G39-1),2,IF(AND($C39="Milestone",AG$7&gt;=$F39,AG$7&lt;=$F39+$G39-1),1,""))</f>
        <v/>
      </c>
      <c r="AH39" s="14" t="str">
        <f ca="1">IF(AND($C39="Goal",AH$7&gt;=$F39,AH$7&lt;=$F39+$G39-1),2,IF(AND($C39="Milestone",AH$7&gt;=$F39,AH$7&lt;=$F39+$G39-1),1,""))</f>
        <v/>
      </c>
      <c r="AI39" s="14" t="str">
        <f ca="1">IF(AND($C39="Goal",AI$7&gt;=$F39,AI$7&lt;=$F39+$G39-1),2,IF(AND($C39="Milestone",AI$7&gt;=$F39,AI$7&lt;=$F39+$G39-1),1,""))</f>
        <v/>
      </c>
      <c r="AJ39" s="14" t="str">
        <f ca="1">IF(AND($C39="Goal",AJ$7&gt;=$F39,AJ$7&lt;=$F39+$G39-1),2,IF(AND($C39="Milestone",AJ$7&gt;=$F39,AJ$7&lt;=$F39+$G39-1),1,""))</f>
        <v/>
      </c>
      <c r="AK39" s="14" t="str">
        <f ca="1">IF(AND($C39="Goal",AK$7&gt;=$F39,AK$7&lt;=$F39+$G39-1),2,IF(AND($C39="Milestone",AK$7&gt;=$F39,AK$7&lt;=$F39+$G39-1),1,""))</f>
        <v/>
      </c>
      <c r="AL39" s="14" t="str">
        <f ca="1">IF(AND($C39="Goal",AL$7&gt;=$F39,AL$7&lt;=$F39+$G39-1),2,IF(AND($C39="Milestone",AL$7&gt;=$F39,AL$7&lt;=$F39+$G39-1),1,""))</f>
        <v/>
      </c>
      <c r="AM39" s="14" t="str">
        <f ca="1">IF(AND($C39="Goal",AM$7&gt;=$F39,AM$7&lt;=$F39+$G39-1),2,IF(AND($C39="Milestone",AM$7&gt;=$F39,AM$7&lt;=$F39+$G39-1),1,""))</f>
        <v/>
      </c>
      <c r="AN39" s="14" t="str">
        <f ca="1">IF(AND($C39="Goal",AN$7&gt;=$F39,AN$7&lt;=$F39+$G39-1),2,IF(AND($C39="Milestone",AN$7&gt;=$F39,AN$7&lt;=$F39+$G39-1),1,""))</f>
        <v/>
      </c>
      <c r="AO39" s="14" t="str">
        <f ca="1">IF(AND($C39="Goal",AO$7&gt;=$F39,AO$7&lt;=$F39+$G39-1),2,IF(AND($C39="Milestone",AO$7&gt;=$F39,AO$7&lt;=$F39+$G39-1),1,""))</f>
        <v/>
      </c>
      <c r="AP39" s="14" t="str">
        <f ca="1">IF(AND($C39="Goal",AP$7&gt;=$F39,AP$7&lt;=$F39+$G39-1),2,IF(AND($C39="Milestone",AP$7&gt;=$F39,AP$7&lt;=$F39+$G39-1),1,""))</f>
        <v/>
      </c>
      <c r="AQ39" s="14" t="str">
        <f ca="1">IF(AND($C39="Goal",AQ$7&gt;=$F39,AQ$7&lt;=$F39+$G39-1),2,IF(AND($C39="Milestone",AQ$7&gt;=$F39,AQ$7&lt;=$F39+$G39-1),1,""))</f>
        <v/>
      </c>
      <c r="AR39" s="14" t="str">
        <f ca="1">IF(AND($C39="Goal",AR$7&gt;=$F39,AR$7&lt;=$F39+$G39-1),2,IF(AND($C39="Milestone",AR$7&gt;=$F39,AR$7&lt;=$F39+$G39-1),1,""))</f>
        <v/>
      </c>
      <c r="AS39" s="14" t="str">
        <f ca="1">IF(AND($C39="Goal",AS$7&gt;=$F39,AS$7&lt;=$F39+$G39-1),2,IF(AND($C39="Milestone",AS$7&gt;=$F39,AS$7&lt;=$F39+$G39-1),1,""))</f>
        <v/>
      </c>
      <c r="AT39" s="14" t="str">
        <f ca="1">IF(AND($C39="Goal",AT$7&gt;=$F39,AT$7&lt;=$F39+$G39-1),2,IF(AND($C39="Milestone",AT$7&gt;=$F39,AT$7&lt;=$F39+$G39-1),1,""))</f>
        <v/>
      </c>
      <c r="AU39" s="14" t="str">
        <f ca="1">IF(AND($C39="Goal",AU$7&gt;=$F39,AU$7&lt;=$F39+$G39-1),2,IF(AND($C39="Milestone",AU$7&gt;=$F39,AU$7&lt;=$F39+$G39-1),1,""))</f>
        <v/>
      </c>
      <c r="AV39" s="14" t="str">
        <f ca="1">IF(AND($C39="Goal",AV$7&gt;=$F39,AV$7&lt;=$F39+$G39-1),2,IF(AND($C39="Milestone",AV$7&gt;=$F39,AV$7&lt;=$F39+$G39-1),1,""))</f>
        <v/>
      </c>
      <c r="AW39" s="14" t="str">
        <f ca="1">IF(AND($C39="Goal",AW$7&gt;=$F39,AW$7&lt;=$F39+$G39-1),2,IF(AND($C39="Milestone",AW$7&gt;=$F39,AW$7&lt;=$F39+$G39-1),1,""))</f>
        <v/>
      </c>
      <c r="AX39" s="14" t="str">
        <f ca="1">IF(AND($C39="Goal",AX$7&gt;=$F39,AX$7&lt;=$F39+$G39-1),2,IF(AND($C39="Milestone",AX$7&gt;=$F39,AX$7&lt;=$F39+$G39-1),1,""))</f>
        <v/>
      </c>
      <c r="AY39" s="14" t="str">
        <f ca="1">IF(AND($C39="Goal",AY$7&gt;=$F39,AY$7&lt;=$F39+$G39-1),2,IF(AND($C39="Milestone",AY$7&gt;=$F39,AY$7&lt;=$F39+$G39-1),1,""))</f>
        <v/>
      </c>
      <c r="AZ39" s="14" t="str">
        <f ca="1">IF(AND($C39="Goal",AZ$7&gt;=$F39,AZ$7&lt;=$F39+$G39-1),2,IF(AND($C39="Milestone",AZ$7&gt;=$F39,AZ$7&lt;=$F39+$G39-1),1,""))</f>
        <v/>
      </c>
      <c r="BA39" s="14" t="str">
        <f ca="1">IF(AND($C39="Goal",BA$7&gt;=$F39,BA$7&lt;=$F39+$G39-1),2,IF(AND($C39="Milestone",BA$7&gt;=$F39,BA$7&lt;=$F39+$G39-1),1,""))</f>
        <v/>
      </c>
      <c r="BB39" s="14" t="str">
        <f ca="1">IF(AND($C39="Goal",BB$7&gt;=$F39,BB$7&lt;=$F39+$G39-1),2,IF(AND($C39="Milestone",BB$7&gt;=$F39,BB$7&lt;=$F39+$G39-1),1,""))</f>
        <v/>
      </c>
      <c r="BC39" s="14" t="str">
        <f ca="1">IF(AND($C39="Goal",BC$7&gt;=$F39,BC$7&lt;=$F39+$G39-1),2,IF(AND($C39="Milestone",BC$7&gt;=$F39,BC$7&lt;=$F39+$G39-1),1,""))</f>
        <v/>
      </c>
      <c r="BD39" s="14" t="str">
        <f ca="1">IF(AND($C39="Goal",BD$7&gt;=$F39,BD$7&lt;=$F39+$G39-1),2,IF(AND($C39="Milestone",BD$7&gt;=$F39,BD$7&lt;=$F39+$G39-1),1,""))</f>
        <v/>
      </c>
      <c r="BE39" s="14" t="str">
        <f ca="1">IF(AND($C39="Goal",BE$7&gt;=$F39,BE$7&lt;=$F39+$G39-1),2,IF(AND($C39="Milestone",BE$7&gt;=$F39,BE$7&lt;=$F39+$G39-1),1,""))</f>
        <v/>
      </c>
      <c r="BF39" s="14" t="str">
        <f ca="1">IF(AND($C39="Goal",BF$7&gt;=$F39,BF$7&lt;=$F39+$G39-1),2,IF(AND($C39="Milestone",BF$7&gt;=$F39,BF$7&lt;=$F39+$G39-1),1,""))</f>
        <v/>
      </c>
      <c r="BG39" s="14" t="str">
        <f ca="1">IF(AND($C39="Goal",BG$7&gt;=$F39,BG$7&lt;=$F39+$G39-1),2,IF(AND($C39="Milestone",BG$7&gt;=$F39,BG$7&lt;=$F39+$G39-1),1,""))</f>
        <v/>
      </c>
      <c r="BH39" s="14" t="str">
        <f ca="1">IF(AND($C39="Goal",BH$7&gt;=$F39,BH$7&lt;=$F39+$G39-1),2,IF(AND($C39="Milestone",BH$7&gt;=$F39,BH$7&lt;=$F39+$G39-1),1,""))</f>
        <v/>
      </c>
      <c r="BI39" s="14" t="str">
        <f ca="1">IF(AND($C39="Goal",BI$7&gt;=$F39,BI$7&lt;=$F39+$G39-1),2,IF(AND($C39="Milestone",BI$7&gt;=$F39,BI$7&lt;=$F39+$G39-1),1,""))</f>
        <v/>
      </c>
      <c r="BJ39" s="14" t="str">
        <f ca="1">IF(AND($C39="Goal",BJ$7&gt;=$F39,BJ$7&lt;=$F39+$G39-1),2,IF(AND($C39="Milestone",BJ$7&gt;=$F39,BJ$7&lt;=$F39+$G39-1),1,""))</f>
        <v/>
      </c>
      <c r="BK39" s="14" t="str">
        <f ca="1">IF(AND($C39="Goal",BK$7&gt;=$F39,BK$7&lt;=$F39+$G39-1),2,IF(AND($C39="Milestone",BK$7&gt;=$F39,BK$7&lt;=$F39+$G39-1),1,""))</f>
        <v/>
      </c>
      <c r="BL39" s="14" t="str">
        <f ca="1">IF(AND($C39="Goal",BL$7&gt;=$F39,BL$7&lt;=$F39+$G39-1),2,IF(AND($C39="Milestone",BL$7&gt;=$F39,BL$7&lt;=$F39+$G39-1),1,""))</f>
        <v/>
      </c>
    </row>
    <row r="40" spans="1:65" s="1" customFormat="1" ht="40" customHeight="1" x14ac:dyDescent="0.35">
      <c r="A40" s="6"/>
      <c r="B40" s="61"/>
      <c r="C40" s="17"/>
      <c r="D40" s="17"/>
      <c r="E40" s="18"/>
      <c r="F40" s="19"/>
      <c r="G40" s="20"/>
      <c r="H40" s="17"/>
      <c r="I40" s="14" t="str">
        <f ca="1">IF(AND($C40="Goal",I$7&gt;=$F40,I$7&lt;=$F40+$G40-1),2,IF(AND($C40="Milestone",I$7&gt;=$F40,I$7&lt;=$F40+$G40-1),1,""))</f>
        <v/>
      </c>
      <c r="J40" s="14" t="str">
        <f ca="1">IF(AND($C40="Goal",J$7&gt;=$F40,J$7&lt;=$F40+$G40-1),2,IF(AND($C40="Milestone",J$7&gt;=$F40,J$7&lt;=$F40+$G40-1),1,""))</f>
        <v/>
      </c>
      <c r="K40" s="14" t="str">
        <f ca="1">IF(AND($C40="Goal",K$7&gt;=$F40,K$7&lt;=$F40+$G40-1),2,IF(AND($C40="Milestone",K$7&gt;=$F40,K$7&lt;=$F40+$G40-1),1,""))</f>
        <v/>
      </c>
      <c r="L40" s="14" t="str">
        <f ca="1">IF(AND($C40="Goal",L$7&gt;=$F40,L$7&lt;=$F40+$G40-1),2,IF(AND($C40="Milestone",L$7&gt;=$F40,L$7&lt;=$F40+$G40-1),1,""))</f>
        <v/>
      </c>
      <c r="M40" s="14" t="str">
        <f ca="1">IF(AND($C40="Goal",M$7&gt;=$F40,M$7&lt;=$F40+$G40-1),2,IF(AND($C40="Milestone",M$7&gt;=$F40,M$7&lt;=$F40+$G40-1),1,""))</f>
        <v/>
      </c>
      <c r="N40" s="14" t="str">
        <f ca="1">IF(AND($C40="Goal",N$7&gt;=$F40,N$7&lt;=$F40+$G40-1),2,IF(AND($C40="Milestone",N$7&gt;=$F40,N$7&lt;=$F40+$G40-1),1,""))</f>
        <v/>
      </c>
      <c r="O40" s="14" t="str">
        <f ca="1">IF(AND($C40="Goal",O$7&gt;=$F40,O$7&lt;=$F40+$G40-1),2,IF(AND($C40="Milestone",O$7&gt;=$F40,O$7&lt;=$F40+$G40-1),1,""))</f>
        <v/>
      </c>
      <c r="P40" s="14" t="str">
        <f ca="1">IF(AND($C40="Goal",P$7&gt;=$F40,P$7&lt;=$F40+$G40-1),2,IF(AND($C40="Milestone",P$7&gt;=$F40,P$7&lt;=$F40+$G40-1),1,""))</f>
        <v/>
      </c>
      <c r="Q40" s="14" t="str">
        <f ca="1">IF(AND($C40="Goal",Q$7&gt;=$F40,Q$7&lt;=$F40+$G40-1),2,IF(AND($C40="Milestone",Q$7&gt;=$F40,Q$7&lt;=$F40+$G40-1),1,""))</f>
        <v/>
      </c>
      <c r="R40" s="14" t="str">
        <f ca="1">IF(AND($C40="Goal",R$7&gt;=$F40,R$7&lt;=$F40+$G40-1),2,IF(AND($C40="Milestone",R$7&gt;=$F40,R$7&lt;=$F40+$G40-1),1,""))</f>
        <v/>
      </c>
      <c r="S40" s="14" t="str">
        <f ca="1">IF(AND($C40="Goal",S$7&gt;=$F40,S$7&lt;=$F40+$G40-1),2,IF(AND($C40="Milestone",S$7&gt;=$F40,S$7&lt;=$F40+$G40-1),1,""))</f>
        <v/>
      </c>
      <c r="T40" s="14" t="str">
        <f ca="1">IF(AND($C40="Goal",T$7&gt;=$F40,T$7&lt;=$F40+$G40-1),2,IF(AND($C40="Milestone",T$7&gt;=$F40,T$7&lt;=$F40+$G40-1),1,""))</f>
        <v/>
      </c>
      <c r="U40" s="14" t="str">
        <f ca="1">IF(AND($C40="Goal",U$7&gt;=$F40,U$7&lt;=$F40+$G40-1),2,IF(AND($C40="Milestone",U$7&gt;=$F40,U$7&lt;=$F40+$G40-1),1,""))</f>
        <v/>
      </c>
      <c r="V40" s="14" t="str">
        <f ca="1">IF(AND($C40="Goal",V$7&gt;=$F40,V$7&lt;=$F40+$G40-1),2,IF(AND($C40="Milestone",V$7&gt;=$F40,V$7&lt;=$F40+$G40-1),1,""))</f>
        <v/>
      </c>
      <c r="W40" s="14" t="str">
        <f ca="1">IF(AND($C40="Goal",W$7&gt;=$F40,W$7&lt;=$F40+$G40-1),2,IF(AND($C40="Milestone",W$7&gt;=$F40,W$7&lt;=$F40+$G40-1),1,""))</f>
        <v/>
      </c>
      <c r="X40" s="14" t="str">
        <f ca="1">IF(AND($C40="Goal",X$7&gt;=$F40,X$7&lt;=$F40+$G40-1),2,IF(AND($C40="Milestone",X$7&gt;=$F40,X$7&lt;=$F40+$G40-1),1,""))</f>
        <v/>
      </c>
      <c r="Y40" s="14" t="str">
        <f ca="1">IF(AND($C40="Goal",Y$7&gt;=$F40,Y$7&lt;=$F40+$G40-1),2,IF(AND($C40="Milestone",Y$7&gt;=$F40,Y$7&lt;=$F40+$G40-1),1,""))</f>
        <v/>
      </c>
      <c r="Z40" s="14" t="str">
        <f ca="1">IF(AND($C40="Goal",Z$7&gt;=$F40,Z$7&lt;=$F40+$G40-1),2,IF(AND($C40="Milestone",Z$7&gt;=$F40,Z$7&lt;=$F40+$G40-1),1,""))</f>
        <v/>
      </c>
      <c r="AA40" s="14" t="str">
        <f ca="1">IF(AND($C40="Goal",AA$7&gt;=$F40,AA$7&lt;=$F40+$G40-1),2,IF(AND($C40="Milestone",AA$7&gt;=$F40,AA$7&lt;=$F40+$G40-1),1,""))</f>
        <v/>
      </c>
      <c r="AB40" s="14" t="str">
        <f ca="1">IF(AND($C40="Goal",AB$7&gt;=$F40,AB$7&lt;=$F40+$G40-1),2,IF(AND($C40="Milestone",AB$7&gt;=$F40,AB$7&lt;=$F40+$G40-1),1,""))</f>
        <v/>
      </c>
      <c r="AC40" s="14" t="str">
        <f ca="1">IF(AND($C40="Goal",AC$7&gt;=$F40,AC$7&lt;=$F40+$G40-1),2,IF(AND($C40="Milestone",AC$7&gt;=$F40,AC$7&lt;=$F40+$G40-1),1,""))</f>
        <v/>
      </c>
      <c r="AD40" s="14" t="str">
        <f ca="1">IF(AND($C40="Goal",AD$7&gt;=$F40,AD$7&lt;=$F40+$G40-1),2,IF(AND($C40="Milestone",AD$7&gt;=$F40,AD$7&lt;=$F40+$G40-1),1,""))</f>
        <v/>
      </c>
      <c r="AE40" s="14" t="str">
        <f ca="1">IF(AND($C40="Goal",AE$7&gt;=$F40,AE$7&lt;=$F40+$G40-1),2,IF(AND($C40="Milestone",AE$7&gt;=$F40,AE$7&lt;=$F40+$G40-1),1,""))</f>
        <v/>
      </c>
      <c r="AF40" s="14" t="str">
        <f ca="1">IF(AND($C40="Goal",AF$7&gt;=$F40,AF$7&lt;=$F40+$G40-1),2,IF(AND($C40="Milestone",AF$7&gt;=$F40,AF$7&lt;=$F40+$G40-1),1,""))</f>
        <v/>
      </c>
      <c r="AG40" s="14" t="str">
        <f ca="1">IF(AND($C40="Goal",AG$7&gt;=$F40,AG$7&lt;=$F40+$G40-1),2,IF(AND($C40="Milestone",AG$7&gt;=$F40,AG$7&lt;=$F40+$G40-1),1,""))</f>
        <v/>
      </c>
      <c r="AH40" s="14" t="str">
        <f ca="1">IF(AND($C40="Goal",AH$7&gt;=$F40,AH$7&lt;=$F40+$G40-1),2,IF(AND($C40="Milestone",AH$7&gt;=$F40,AH$7&lt;=$F40+$G40-1),1,""))</f>
        <v/>
      </c>
      <c r="AI40" s="14" t="str">
        <f ca="1">IF(AND($C40="Goal",AI$7&gt;=$F40,AI$7&lt;=$F40+$G40-1),2,IF(AND($C40="Milestone",AI$7&gt;=$F40,AI$7&lt;=$F40+$G40-1),1,""))</f>
        <v/>
      </c>
      <c r="AJ40" s="14" t="str">
        <f ca="1">IF(AND($C40="Goal",AJ$7&gt;=$F40,AJ$7&lt;=$F40+$G40-1),2,IF(AND($C40="Milestone",AJ$7&gt;=$F40,AJ$7&lt;=$F40+$G40-1),1,""))</f>
        <v/>
      </c>
      <c r="AK40" s="14" t="str">
        <f ca="1">IF(AND($C40="Goal",AK$7&gt;=$F40,AK$7&lt;=$F40+$G40-1),2,IF(AND($C40="Milestone",AK$7&gt;=$F40,AK$7&lt;=$F40+$G40-1),1,""))</f>
        <v/>
      </c>
      <c r="AL40" s="14" t="str">
        <f ca="1">IF(AND($C40="Goal",AL$7&gt;=$F40,AL$7&lt;=$F40+$G40-1),2,IF(AND($C40="Milestone",AL$7&gt;=$F40,AL$7&lt;=$F40+$G40-1),1,""))</f>
        <v/>
      </c>
      <c r="AM40" s="14" t="str">
        <f ca="1">IF(AND($C40="Goal",AM$7&gt;=$F40,AM$7&lt;=$F40+$G40-1),2,IF(AND($C40="Milestone",AM$7&gt;=$F40,AM$7&lt;=$F40+$G40-1),1,""))</f>
        <v/>
      </c>
      <c r="AN40" s="14" t="str">
        <f ca="1">IF(AND($C40="Goal",AN$7&gt;=$F40,AN$7&lt;=$F40+$G40-1),2,IF(AND($C40="Milestone",AN$7&gt;=$F40,AN$7&lt;=$F40+$G40-1),1,""))</f>
        <v/>
      </c>
      <c r="AO40" s="14" t="str">
        <f ca="1">IF(AND($C40="Goal",AO$7&gt;=$F40,AO$7&lt;=$F40+$G40-1),2,IF(AND($C40="Milestone",AO$7&gt;=$F40,AO$7&lt;=$F40+$G40-1),1,""))</f>
        <v/>
      </c>
      <c r="AP40" s="14" t="str">
        <f ca="1">IF(AND($C40="Goal",AP$7&gt;=$F40,AP$7&lt;=$F40+$G40-1),2,IF(AND($C40="Milestone",AP$7&gt;=$F40,AP$7&lt;=$F40+$G40-1),1,""))</f>
        <v/>
      </c>
      <c r="AQ40" s="14" t="str">
        <f ca="1">IF(AND($C40="Goal",AQ$7&gt;=$F40,AQ$7&lt;=$F40+$G40-1),2,IF(AND($C40="Milestone",AQ$7&gt;=$F40,AQ$7&lt;=$F40+$G40-1),1,""))</f>
        <v/>
      </c>
      <c r="AR40" s="14" t="str">
        <f ca="1">IF(AND($C40="Goal",AR$7&gt;=$F40,AR$7&lt;=$F40+$G40-1),2,IF(AND($C40="Milestone",AR$7&gt;=$F40,AR$7&lt;=$F40+$G40-1),1,""))</f>
        <v/>
      </c>
      <c r="AS40" s="14" t="str">
        <f ca="1">IF(AND($C40="Goal",AS$7&gt;=$F40,AS$7&lt;=$F40+$G40-1),2,IF(AND($C40="Milestone",AS$7&gt;=$F40,AS$7&lt;=$F40+$G40-1),1,""))</f>
        <v/>
      </c>
      <c r="AT40" s="14" t="str">
        <f ca="1">IF(AND($C40="Goal",AT$7&gt;=$F40,AT$7&lt;=$F40+$G40-1),2,IF(AND($C40="Milestone",AT$7&gt;=$F40,AT$7&lt;=$F40+$G40-1),1,""))</f>
        <v/>
      </c>
      <c r="AU40" s="14" t="str">
        <f ca="1">IF(AND($C40="Goal",AU$7&gt;=$F40,AU$7&lt;=$F40+$G40-1),2,IF(AND($C40="Milestone",AU$7&gt;=$F40,AU$7&lt;=$F40+$G40-1),1,""))</f>
        <v/>
      </c>
      <c r="AV40" s="14" t="str">
        <f ca="1">IF(AND($C40="Goal",AV$7&gt;=$F40,AV$7&lt;=$F40+$G40-1),2,IF(AND($C40="Milestone",AV$7&gt;=$F40,AV$7&lt;=$F40+$G40-1),1,""))</f>
        <v/>
      </c>
      <c r="AW40" s="14" t="str">
        <f ca="1">IF(AND($C40="Goal",AW$7&gt;=$F40,AW$7&lt;=$F40+$G40-1),2,IF(AND($C40="Milestone",AW$7&gt;=$F40,AW$7&lt;=$F40+$G40-1),1,""))</f>
        <v/>
      </c>
      <c r="AX40" s="14" t="str">
        <f ca="1">IF(AND($C40="Goal",AX$7&gt;=$F40,AX$7&lt;=$F40+$G40-1),2,IF(AND($C40="Milestone",AX$7&gt;=$F40,AX$7&lt;=$F40+$G40-1),1,""))</f>
        <v/>
      </c>
      <c r="AY40" s="14" t="str">
        <f ca="1">IF(AND($C40="Goal",AY$7&gt;=$F40,AY$7&lt;=$F40+$G40-1),2,IF(AND($C40="Milestone",AY$7&gt;=$F40,AY$7&lt;=$F40+$G40-1),1,""))</f>
        <v/>
      </c>
      <c r="AZ40" s="14" t="str">
        <f ca="1">IF(AND($C40="Goal",AZ$7&gt;=$F40,AZ$7&lt;=$F40+$G40-1),2,IF(AND($C40="Milestone",AZ$7&gt;=$F40,AZ$7&lt;=$F40+$G40-1),1,""))</f>
        <v/>
      </c>
      <c r="BA40" s="14" t="str">
        <f ca="1">IF(AND($C40="Goal",BA$7&gt;=$F40,BA$7&lt;=$F40+$G40-1),2,IF(AND($C40="Milestone",BA$7&gt;=$F40,BA$7&lt;=$F40+$G40-1),1,""))</f>
        <v/>
      </c>
      <c r="BB40" s="14" t="str">
        <f ca="1">IF(AND($C40="Goal",BB$7&gt;=$F40,BB$7&lt;=$F40+$G40-1),2,IF(AND($C40="Milestone",BB$7&gt;=$F40,BB$7&lt;=$F40+$G40-1),1,""))</f>
        <v/>
      </c>
      <c r="BC40" s="14" t="str">
        <f ca="1">IF(AND($C40="Goal",BC$7&gt;=$F40,BC$7&lt;=$F40+$G40-1),2,IF(AND($C40="Milestone",BC$7&gt;=$F40,BC$7&lt;=$F40+$G40-1),1,""))</f>
        <v/>
      </c>
      <c r="BD40" s="14" t="str">
        <f ca="1">IF(AND($C40="Goal",BD$7&gt;=$F40,BD$7&lt;=$F40+$G40-1),2,IF(AND($C40="Milestone",BD$7&gt;=$F40,BD$7&lt;=$F40+$G40-1),1,""))</f>
        <v/>
      </c>
      <c r="BE40" s="14" t="str">
        <f ca="1">IF(AND($C40="Goal",BE$7&gt;=$F40,BE$7&lt;=$F40+$G40-1),2,IF(AND($C40="Milestone",BE$7&gt;=$F40,BE$7&lt;=$F40+$G40-1),1,""))</f>
        <v/>
      </c>
      <c r="BF40" s="14" t="str">
        <f ca="1">IF(AND($C40="Goal",BF$7&gt;=$F40,BF$7&lt;=$F40+$G40-1),2,IF(AND($C40="Milestone",BF$7&gt;=$F40,BF$7&lt;=$F40+$G40-1),1,""))</f>
        <v/>
      </c>
      <c r="BG40" s="14" t="str">
        <f ca="1">IF(AND($C40="Goal",BG$7&gt;=$F40,BG$7&lt;=$F40+$G40-1),2,IF(AND($C40="Milestone",BG$7&gt;=$F40,BG$7&lt;=$F40+$G40-1),1,""))</f>
        <v/>
      </c>
      <c r="BH40" s="14" t="str">
        <f ca="1">IF(AND($C40="Goal",BH$7&gt;=$F40,BH$7&lt;=$F40+$G40-1),2,IF(AND($C40="Milestone",BH$7&gt;=$F40,BH$7&lt;=$F40+$G40-1),1,""))</f>
        <v/>
      </c>
      <c r="BI40" s="14" t="str">
        <f ca="1">IF(AND($C40="Goal",BI$7&gt;=$F40,BI$7&lt;=$F40+$G40-1),2,IF(AND($C40="Milestone",BI$7&gt;=$F40,BI$7&lt;=$F40+$G40-1),1,""))</f>
        <v/>
      </c>
      <c r="BJ40" s="14" t="str">
        <f ca="1">IF(AND($C40="Goal",BJ$7&gt;=$F40,BJ$7&lt;=$F40+$G40-1),2,IF(AND($C40="Milestone",BJ$7&gt;=$F40,BJ$7&lt;=$F40+$G40-1),1,""))</f>
        <v/>
      </c>
      <c r="BK40" s="14" t="str">
        <f ca="1">IF(AND($C40="Goal",BK$7&gt;=$F40,BK$7&lt;=$F40+$G40-1),2,IF(AND($C40="Milestone",BK$7&gt;=$F40,BK$7&lt;=$F40+$G40-1),1,""))</f>
        <v/>
      </c>
      <c r="BL40" s="14" t="str">
        <f ca="1">IF(AND($C40="Goal",BL$7&gt;=$F40,BL$7&lt;=$F40+$G40-1),2,IF(AND($C40="Milestone",BL$7&gt;=$F40,BL$7&lt;=$F40+$G40-1),1,""))</f>
        <v/>
      </c>
    </row>
    <row r="41" spans="1:65" s="1" customFormat="1" ht="40" customHeight="1" x14ac:dyDescent="0.35">
      <c r="A41" s="6"/>
      <c r="B41" s="61"/>
      <c r="C41" s="17"/>
      <c r="D41" s="17"/>
      <c r="E41" s="18"/>
      <c r="F41" s="19"/>
      <c r="G41" s="20"/>
      <c r="H41" s="17"/>
      <c r="I41" s="14" t="str">
        <f ca="1">IF(AND($C41="Goal",I$7&gt;=$F41,I$7&lt;=$F41+$G41-1),2,IF(AND($C41="Milestone",I$7&gt;=$F41,I$7&lt;=$F41+$G41-1),1,""))</f>
        <v/>
      </c>
      <c r="J41" s="14" t="str">
        <f ca="1">IF(AND($C41="Goal",J$7&gt;=$F41,J$7&lt;=$F41+$G41-1),2,IF(AND($C41="Milestone",J$7&gt;=$F41,J$7&lt;=$F41+$G41-1),1,""))</f>
        <v/>
      </c>
      <c r="K41" s="14" t="str">
        <f ca="1">IF(AND($C41="Goal",K$7&gt;=$F41,K$7&lt;=$F41+$G41-1),2,IF(AND($C41="Milestone",K$7&gt;=$F41,K$7&lt;=$F41+$G41-1),1,""))</f>
        <v/>
      </c>
      <c r="L41" s="14" t="str">
        <f ca="1">IF(AND($C41="Goal",L$7&gt;=$F41,L$7&lt;=$F41+$G41-1),2,IF(AND($C41="Milestone",L$7&gt;=$F41,L$7&lt;=$F41+$G41-1),1,""))</f>
        <v/>
      </c>
      <c r="M41" s="14" t="str">
        <f ca="1">IF(AND($C41="Goal",M$7&gt;=$F41,M$7&lt;=$F41+$G41-1),2,IF(AND($C41="Milestone",M$7&gt;=$F41,M$7&lt;=$F41+$G41-1),1,""))</f>
        <v/>
      </c>
      <c r="N41" s="14" t="str">
        <f ca="1">IF(AND($C41="Goal",N$7&gt;=$F41,N$7&lt;=$F41+$G41-1),2,IF(AND($C41="Milestone",N$7&gt;=$F41,N$7&lt;=$F41+$G41-1),1,""))</f>
        <v/>
      </c>
      <c r="O41" s="14" t="str">
        <f ca="1">IF(AND($C41="Goal",O$7&gt;=$F41,O$7&lt;=$F41+$G41-1),2,IF(AND($C41="Milestone",O$7&gt;=$F41,O$7&lt;=$F41+$G41-1),1,""))</f>
        <v/>
      </c>
      <c r="P41" s="14" t="str">
        <f ca="1">IF(AND($C41="Goal",P$7&gt;=$F41,P$7&lt;=$F41+$G41-1),2,IF(AND($C41="Milestone",P$7&gt;=$F41,P$7&lt;=$F41+$G41-1),1,""))</f>
        <v/>
      </c>
      <c r="Q41" s="14" t="str">
        <f ca="1">IF(AND($C41="Goal",Q$7&gt;=$F41,Q$7&lt;=$F41+$G41-1),2,IF(AND($C41="Milestone",Q$7&gt;=$F41,Q$7&lt;=$F41+$G41-1),1,""))</f>
        <v/>
      </c>
      <c r="R41" s="14" t="str">
        <f ca="1">IF(AND($C41="Goal",R$7&gt;=$F41,R$7&lt;=$F41+$G41-1),2,IF(AND($C41="Milestone",R$7&gt;=$F41,R$7&lt;=$F41+$G41-1),1,""))</f>
        <v/>
      </c>
      <c r="S41" s="14" t="str">
        <f ca="1">IF(AND($C41="Goal",S$7&gt;=$F41,S$7&lt;=$F41+$G41-1),2,IF(AND($C41="Milestone",S$7&gt;=$F41,S$7&lt;=$F41+$G41-1),1,""))</f>
        <v/>
      </c>
      <c r="T41" s="14" t="str">
        <f ca="1">IF(AND($C41="Goal",T$7&gt;=$F41,T$7&lt;=$F41+$G41-1),2,IF(AND($C41="Milestone",T$7&gt;=$F41,T$7&lt;=$F41+$G41-1),1,""))</f>
        <v/>
      </c>
      <c r="U41" s="14" t="str">
        <f ca="1">IF(AND($C41="Goal",U$7&gt;=$F41,U$7&lt;=$F41+$G41-1),2,IF(AND($C41="Milestone",U$7&gt;=$F41,U$7&lt;=$F41+$G41-1),1,""))</f>
        <v/>
      </c>
      <c r="V41" s="14" t="str">
        <f ca="1">IF(AND($C41="Goal",V$7&gt;=$F41,V$7&lt;=$F41+$G41-1),2,IF(AND($C41="Milestone",V$7&gt;=$F41,V$7&lt;=$F41+$G41-1),1,""))</f>
        <v/>
      </c>
      <c r="W41" s="14" t="str">
        <f ca="1">IF(AND($C41="Goal",W$7&gt;=$F41,W$7&lt;=$F41+$G41-1),2,IF(AND($C41="Milestone",W$7&gt;=$F41,W$7&lt;=$F41+$G41-1),1,""))</f>
        <v/>
      </c>
      <c r="X41" s="14" t="str">
        <f ca="1">IF(AND($C41="Goal",X$7&gt;=$F41,X$7&lt;=$F41+$G41-1),2,IF(AND($C41="Milestone",X$7&gt;=$F41,X$7&lt;=$F41+$G41-1),1,""))</f>
        <v/>
      </c>
      <c r="Y41" s="14" t="str">
        <f ca="1">IF(AND($C41="Goal",Y$7&gt;=$F41,Y$7&lt;=$F41+$G41-1),2,IF(AND($C41="Milestone",Y$7&gt;=$F41,Y$7&lt;=$F41+$G41-1),1,""))</f>
        <v/>
      </c>
      <c r="Z41" s="14" t="str">
        <f ca="1">IF(AND($C41="Goal",Z$7&gt;=$F41,Z$7&lt;=$F41+$G41-1),2,IF(AND($C41="Milestone",Z$7&gt;=$F41,Z$7&lt;=$F41+$G41-1),1,""))</f>
        <v/>
      </c>
      <c r="AA41" s="14" t="str">
        <f ca="1">IF(AND($C41="Goal",AA$7&gt;=$F41,AA$7&lt;=$F41+$G41-1),2,IF(AND($C41="Milestone",AA$7&gt;=$F41,AA$7&lt;=$F41+$G41-1),1,""))</f>
        <v/>
      </c>
      <c r="AB41" s="14" t="str">
        <f ca="1">IF(AND($C41="Goal",AB$7&gt;=$F41,AB$7&lt;=$F41+$G41-1),2,IF(AND($C41="Milestone",AB$7&gt;=$F41,AB$7&lt;=$F41+$G41-1),1,""))</f>
        <v/>
      </c>
      <c r="AC41" s="14" t="str">
        <f ca="1">IF(AND($C41="Goal",AC$7&gt;=$F41,AC$7&lt;=$F41+$G41-1),2,IF(AND($C41="Milestone",AC$7&gt;=$F41,AC$7&lt;=$F41+$G41-1),1,""))</f>
        <v/>
      </c>
      <c r="AD41" s="14" t="str">
        <f ca="1">IF(AND($C41="Goal",AD$7&gt;=$F41,AD$7&lt;=$F41+$G41-1),2,IF(AND($C41="Milestone",AD$7&gt;=$F41,AD$7&lt;=$F41+$G41-1),1,""))</f>
        <v/>
      </c>
      <c r="AE41" s="14" t="str">
        <f ca="1">IF(AND($C41="Goal",AE$7&gt;=$F41,AE$7&lt;=$F41+$G41-1),2,IF(AND($C41="Milestone",AE$7&gt;=$F41,AE$7&lt;=$F41+$G41-1),1,""))</f>
        <v/>
      </c>
      <c r="AF41" s="14" t="str">
        <f ca="1">IF(AND($C41="Goal",AF$7&gt;=$F41,AF$7&lt;=$F41+$G41-1),2,IF(AND($C41="Milestone",AF$7&gt;=$F41,AF$7&lt;=$F41+$G41-1),1,""))</f>
        <v/>
      </c>
      <c r="AG41" s="14" t="str">
        <f ca="1">IF(AND($C41="Goal",AG$7&gt;=$F41,AG$7&lt;=$F41+$G41-1),2,IF(AND($C41="Milestone",AG$7&gt;=$F41,AG$7&lt;=$F41+$G41-1),1,""))</f>
        <v/>
      </c>
      <c r="AH41" s="14" t="str">
        <f ca="1">IF(AND($C41="Goal",AH$7&gt;=$F41,AH$7&lt;=$F41+$G41-1),2,IF(AND($C41="Milestone",AH$7&gt;=$F41,AH$7&lt;=$F41+$G41-1),1,""))</f>
        <v/>
      </c>
      <c r="AI41" s="14" t="str">
        <f ca="1">IF(AND($C41="Goal",AI$7&gt;=$F41,AI$7&lt;=$F41+$G41-1),2,IF(AND($C41="Milestone",AI$7&gt;=$F41,AI$7&lt;=$F41+$G41-1),1,""))</f>
        <v/>
      </c>
      <c r="AJ41" s="14" t="str">
        <f ca="1">IF(AND($C41="Goal",AJ$7&gt;=$F41,AJ$7&lt;=$F41+$G41-1),2,IF(AND($C41="Milestone",AJ$7&gt;=$F41,AJ$7&lt;=$F41+$G41-1),1,""))</f>
        <v/>
      </c>
      <c r="AK41" s="14" t="str">
        <f ca="1">IF(AND($C41="Goal",AK$7&gt;=$F41,AK$7&lt;=$F41+$G41-1),2,IF(AND($C41="Milestone",AK$7&gt;=$F41,AK$7&lt;=$F41+$G41-1),1,""))</f>
        <v/>
      </c>
      <c r="AL41" s="14" t="str">
        <f ca="1">IF(AND($C41="Goal",AL$7&gt;=$F41,AL$7&lt;=$F41+$G41-1),2,IF(AND($C41="Milestone",AL$7&gt;=$F41,AL$7&lt;=$F41+$G41-1),1,""))</f>
        <v/>
      </c>
      <c r="AM41" s="14" t="str">
        <f ca="1">IF(AND($C41="Goal",AM$7&gt;=$F41,AM$7&lt;=$F41+$G41-1),2,IF(AND($C41="Milestone",AM$7&gt;=$F41,AM$7&lt;=$F41+$G41-1),1,""))</f>
        <v/>
      </c>
      <c r="AN41" s="14" t="str">
        <f ca="1">IF(AND($C41="Goal",AN$7&gt;=$F41,AN$7&lt;=$F41+$G41-1),2,IF(AND($C41="Milestone",AN$7&gt;=$F41,AN$7&lt;=$F41+$G41-1),1,""))</f>
        <v/>
      </c>
      <c r="AO41" s="14" t="str">
        <f ca="1">IF(AND($C41="Goal",AO$7&gt;=$F41,AO$7&lt;=$F41+$G41-1),2,IF(AND($C41="Milestone",AO$7&gt;=$F41,AO$7&lt;=$F41+$G41-1),1,""))</f>
        <v/>
      </c>
      <c r="AP41" s="14" t="str">
        <f ca="1">IF(AND($C41="Goal",AP$7&gt;=$F41,AP$7&lt;=$F41+$G41-1),2,IF(AND($C41="Milestone",AP$7&gt;=$F41,AP$7&lt;=$F41+$G41-1),1,""))</f>
        <v/>
      </c>
      <c r="AQ41" s="14" t="str">
        <f ca="1">IF(AND($C41="Goal",AQ$7&gt;=$F41,AQ$7&lt;=$F41+$G41-1),2,IF(AND($C41="Milestone",AQ$7&gt;=$F41,AQ$7&lt;=$F41+$G41-1),1,""))</f>
        <v/>
      </c>
      <c r="AR41" s="14" t="str">
        <f ca="1">IF(AND($C41="Goal",AR$7&gt;=$F41,AR$7&lt;=$F41+$G41-1),2,IF(AND($C41="Milestone",AR$7&gt;=$F41,AR$7&lt;=$F41+$G41-1),1,""))</f>
        <v/>
      </c>
      <c r="AS41" s="14" t="str">
        <f ca="1">IF(AND($C41="Goal",AS$7&gt;=$F41,AS$7&lt;=$F41+$G41-1),2,IF(AND($C41="Milestone",AS$7&gt;=$F41,AS$7&lt;=$F41+$G41-1),1,""))</f>
        <v/>
      </c>
      <c r="AT41" s="14" t="str">
        <f ca="1">IF(AND($C41="Goal",AT$7&gt;=$F41,AT$7&lt;=$F41+$G41-1),2,IF(AND($C41="Milestone",AT$7&gt;=$F41,AT$7&lt;=$F41+$G41-1),1,""))</f>
        <v/>
      </c>
      <c r="AU41" s="14" t="str">
        <f ca="1">IF(AND($C41="Goal",AU$7&gt;=$F41,AU$7&lt;=$F41+$G41-1),2,IF(AND($C41="Milestone",AU$7&gt;=$F41,AU$7&lt;=$F41+$G41-1),1,""))</f>
        <v/>
      </c>
      <c r="AV41" s="14" t="str">
        <f ca="1">IF(AND($C41="Goal",AV$7&gt;=$F41,AV$7&lt;=$F41+$G41-1),2,IF(AND($C41="Milestone",AV$7&gt;=$F41,AV$7&lt;=$F41+$G41-1),1,""))</f>
        <v/>
      </c>
      <c r="AW41" s="14" t="str">
        <f ca="1">IF(AND($C41="Goal",AW$7&gt;=$F41,AW$7&lt;=$F41+$G41-1),2,IF(AND($C41="Milestone",AW$7&gt;=$F41,AW$7&lt;=$F41+$G41-1),1,""))</f>
        <v/>
      </c>
      <c r="AX41" s="14" t="str">
        <f ca="1">IF(AND($C41="Goal",AX$7&gt;=$F41,AX$7&lt;=$F41+$G41-1),2,IF(AND($C41="Milestone",AX$7&gt;=$F41,AX$7&lt;=$F41+$G41-1),1,""))</f>
        <v/>
      </c>
      <c r="AY41" s="14" t="str">
        <f ca="1">IF(AND($C41="Goal",AY$7&gt;=$F41,AY$7&lt;=$F41+$G41-1),2,IF(AND($C41="Milestone",AY$7&gt;=$F41,AY$7&lt;=$F41+$G41-1),1,""))</f>
        <v/>
      </c>
      <c r="AZ41" s="14" t="str">
        <f ca="1">IF(AND($C41="Goal",AZ$7&gt;=$F41,AZ$7&lt;=$F41+$G41-1),2,IF(AND($C41="Milestone",AZ$7&gt;=$F41,AZ$7&lt;=$F41+$G41-1),1,""))</f>
        <v/>
      </c>
      <c r="BA41" s="14" t="str">
        <f ca="1">IF(AND($C41="Goal",BA$7&gt;=$F41,BA$7&lt;=$F41+$G41-1),2,IF(AND($C41="Milestone",BA$7&gt;=$F41,BA$7&lt;=$F41+$G41-1),1,""))</f>
        <v/>
      </c>
      <c r="BB41" s="14" t="str">
        <f ca="1">IF(AND($C41="Goal",BB$7&gt;=$F41,BB$7&lt;=$F41+$G41-1),2,IF(AND($C41="Milestone",BB$7&gt;=$F41,BB$7&lt;=$F41+$G41-1),1,""))</f>
        <v/>
      </c>
      <c r="BC41" s="14" t="str">
        <f ca="1">IF(AND($C41="Goal",BC$7&gt;=$F41,BC$7&lt;=$F41+$G41-1),2,IF(AND($C41="Milestone",BC$7&gt;=$F41,BC$7&lt;=$F41+$G41-1),1,""))</f>
        <v/>
      </c>
      <c r="BD41" s="14" t="str">
        <f ca="1">IF(AND($C41="Goal",BD$7&gt;=$F41,BD$7&lt;=$F41+$G41-1),2,IF(AND($C41="Milestone",BD$7&gt;=$F41,BD$7&lt;=$F41+$G41-1),1,""))</f>
        <v/>
      </c>
      <c r="BE41" s="14" t="str">
        <f ca="1">IF(AND($C41="Goal",BE$7&gt;=$F41,BE$7&lt;=$F41+$G41-1),2,IF(AND($C41="Milestone",BE$7&gt;=$F41,BE$7&lt;=$F41+$G41-1),1,""))</f>
        <v/>
      </c>
      <c r="BF41" s="14" t="str">
        <f ca="1">IF(AND($C41="Goal",BF$7&gt;=$F41,BF$7&lt;=$F41+$G41-1),2,IF(AND($C41="Milestone",BF$7&gt;=$F41,BF$7&lt;=$F41+$G41-1),1,""))</f>
        <v/>
      </c>
      <c r="BG41" s="14" t="str">
        <f ca="1">IF(AND($C41="Goal",BG$7&gt;=$F41,BG$7&lt;=$F41+$G41-1),2,IF(AND($C41="Milestone",BG$7&gt;=$F41,BG$7&lt;=$F41+$G41-1),1,""))</f>
        <v/>
      </c>
      <c r="BH41" s="14" t="str">
        <f ca="1">IF(AND($C41="Goal",BH$7&gt;=$F41,BH$7&lt;=$F41+$G41-1),2,IF(AND($C41="Milestone",BH$7&gt;=$F41,BH$7&lt;=$F41+$G41-1),1,""))</f>
        <v/>
      </c>
      <c r="BI41" s="14" t="str">
        <f ca="1">IF(AND($C41="Goal",BI$7&gt;=$F41,BI$7&lt;=$F41+$G41-1),2,IF(AND($C41="Milestone",BI$7&gt;=$F41,BI$7&lt;=$F41+$G41-1),1,""))</f>
        <v/>
      </c>
      <c r="BJ41" s="14" t="str">
        <f ca="1">IF(AND($C41="Goal",BJ$7&gt;=$F41,BJ$7&lt;=$F41+$G41-1),2,IF(AND($C41="Milestone",BJ$7&gt;=$F41,BJ$7&lt;=$F41+$G41-1),1,""))</f>
        <v/>
      </c>
      <c r="BK41" s="14" t="str">
        <f ca="1">IF(AND($C41="Goal",BK$7&gt;=$F41,BK$7&lt;=$F41+$G41-1),2,IF(AND($C41="Milestone",BK$7&gt;=$F41,BK$7&lt;=$F41+$G41-1),1,""))</f>
        <v/>
      </c>
      <c r="BL41" s="14" t="str">
        <f ca="1">IF(AND($C41="Goal",BL$7&gt;=$F41,BL$7&lt;=$F41+$G41-1),2,IF(AND($C41="Milestone",BL$7&gt;=$F41,BL$7&lt;=$F41+$G41-1),1,""))</f>
        <v/>
      </c>
    </row>
    <row r="42" spans="1:65" s="1" customFormat="1" ht="40" customHeight="1" x14ac:dyDescent="0.35">
      <c r="A42" s="6"/>
      <c r="B42" s="60"/>
      <c r="C42" s="17"/>
      <c r="D42" s="17"/>
      <c r="E42" s="18"/>
      <c r="F42" s="19"/>
      <c r="G42" s="20"/>
      <c r="H42" s="17"/>
      <c r="I42" s="14" t="str">
        <f ca="1">IF(AND($C42="Goal",I$7&gt;=$F42,I$7&lt;=$F42+$G42-1),2,IF(AND($C42="Milestone",I$7&gt;=$F42,I$7&lt;=$F42+$G42-1),1,""))</f>
        <v/>
      </c>
      <c r="J42" s="14" t="str">
        <f ca="1">IF(AND($C42="Goal",J$7&gt;=$F42,J$7&lt;=$F42+$G42-1),2,IF(AND($C42="Milestone",J$7&gt;=$F42,J$7&lt;=$F42+$G42-1),1,""))</f>
        <v/>
      </c>
      <c r="K42" s="14" t="str">
        <f ca="1">IF(AND($C42="Goal",K$7&gt;=$F42,K$7&lt;=$F42+$G42-1),2,IF(AND($C42="Milestone",K$7&gt;=$F42,K$7&lt;=$F42+$G42-1),1,""))</f>
        <v/>
      </c>
      <c r="L42" s="14" t="str">
        <f ca="1">IF(AND($C42="Goal",L$7&gt;=$F42,L$7&lt;=$F42+$G42-1),2,IF(AND($C42="Milestone",L$7&gt;=$F42,L$7&lt;=$F42+$G42-1),1,""))</f>
        <v/>
      </c>
      <c r="M42" s="14" t="str">
        <f ca="1">IF(AND($C42="Goal",M$7&gt;=$F42,M$7&lt;=$F42+$G42-1),2,IF(AND($C42="Milestone",M$7&gt;=$F42,M$7&lt;=$F42+$G42-1),1,""))</f>
        <v/>
      </c>
      <c r="N42" s="14" t="str">
        <f ca="1">IF(AND($C42="Goal",N$7&gt;=$F42,N$7&lt;=$F42+$G42-1),2,IF(AND($C42="Milestone",N$7&gt;=$F42,N$7&lt;=$F42+$G42-1),1,""))</f>
        <v/>
      </c>
      <c r="O42" s="14" t="str">
        <f ca="1">IF(AND($C42="Goal",O$7&gt;=$F42,O$7&lt;=$F42+$G42-1),2,IF(AND($C42="Milestone",O$7&gt;=$F42,O$7&lt;=$F42+$G42-1),1,""))</f>
        <v/>
      </c>
      <c r="P42" s="14" t="str">
        <f ca="1">IF(AND($C42="Goal",P$7&gt;=$F42,P$7&lt;=$F42+$G42-1),2,IF(AND($C42="Milestone",P$7&gt;=$F42,P$7&lt;=$F42+$G42-1),1,""))</f>
        <v/>
      </c>
      <c r="Q42" s="14" t="str">
        <f ca="1">IF(AND($C42="Goal",Q$7&gt;=$F42,Q$7&lt;=$F42+$G42-1),2,IF(AND($C42="Milestone",Q$7&gt;=$F42,Q$7&lt;=$F42+$G42-1),1,""))</f>
        <v/>
      </c>
      <c r="R42" s="14" t="str">
        <f ca="1">IF(AND($C42="Goal",R$7&gt;=$F42,R$7&lt;=$F42+$G42-1),2,IF(AND($C42="Milestone",R$7&gt;=$F42,R$7&lt;=$F42+$G42-1),1,""))</f>
        <v/>
      </c>
      <c r="S42" s="14" t="str">
        <f ca="1">IF(AND($C42="Goal",S$7&gt;=$F42,S$7&lt;=$F42+$G42-1),2,IF(AND($C42="Milestone",S$7&gt;=$F42,S$7&lt;=$F42+$G42-1),1,""))</f>
        <v/>
      </c>
      <c r="T42" s="14" t="str">
        <f ca="1">IF(AND($C42="Goal",T$7&gt;=$F42,T$7&lt;=$F42+$G42-1),2,IF(AND($C42="Milestone",T$7&gt;=$F42,T$7&lt;=$F42+$G42-1),1,""))</f>
        <v/>
      </c>
      <c r="U42" s="14" t="str">
        <f ca="1">IF(AND($C42="Goal",U$7&gt;=$F42,U$7&lt;=$F42+$G42-1),2,IF(AND($C42="Milestone",U$7&gt;=$F42,U$7&lt;=$F42+$G42-1),1,""))</f>
        <v/>
      </c>
      <c r="V42" s="14" t="str">
        <f ca="1">IF(AND($C42="Goal",V$7&gt;=$F42,V$7&lt;=$F42+$G42-1),2,IF(AND($C42="Milestone",V$7&gt;=$F42,V$7&lt;=$F42+$G42-1),1,""))</f>
        <v/>
      </c>
      <c r="W42" s="14" t="str">
        <f ca="1">IF(AND($C42="Goal",W$7&gt;=$F42,W$7&lt;=$F42+$G42-1),2,IF(AND($C42="Milestone",W$7&gt;=$F42,W$7&lt;=$F42+$G42-1),1,""))</f>
        <v/>
      </c>
      <c r="X42" s="14" t="str">
        <f ca="1">IF(AND($C42="Goal",X$7&gt;=$F42,X$7&lt;=$F42+$G42-1),2,IF(AND($C42="Milestone",X$7&gt;=$F42,X$7&lt;=$F42+$G42-1),1,""))</f>
        <v/>
      </c>
      <c r="Y42" s="14" t="str">
        <f ca="1">IF(AND($C42="Goal",Y$7&gt;=$F42,Y$7&lt;=$F42+$G42-1),2,IF(AND($C42="Milestone",Y$7&gt;=$F42,Y$7&lt;=$F42+$G42-1),1,""))</f>
        <v/>
      </c>
      <c r="Z42" s="14" t="str">
        <f ca="1">IF(AND($C42="Goal",Z$7&gt;=$F42,Z$7&lt;=$F42+$G42-1),2,IF(AND($C42="Milestone",Z$7&gt;=$F42,Z$7&lt;=$F42+$G42-1),1,""))</f>
        <v/>
      </c>
      <c r="AA42" s="14" t="str">
        <f ca="1">IF(AND($C42="Goal",AA$7&gt;=$F42,AA$7&lt;=$F42+$G42-1),2,IF(AND($C42="Milestone",AA$7&gt;=$F42,AA$7&lt;=$F42+$G42-1),1,""))</f>
        <v/>
      </c>
      <c r="AB42" s="14" t="str">
        <f ca="1">IF(AND($C42="Goal",AB$7&gt;=$F42,AB$7&lt;=$F42+$G42-1),2,IF(AND($C42="Milestone",AB$7&gt;=$F42,AB$7&lt;=$F42+$G42-1),1,""))</f>
        <v/>
      </c>
      <c r="AC42" s="14" t="str">
        <f ca="1">IF(AND($C42="Goal",AC$7&gt;=$F42,AC$7&lt;=$F42+$G42-1),2,IF(AND($C42="Milestone",AC$7&gt;=$F42,AC$7&lt;=$F42+$G42-1),1,""))</f>
        <v/>
      </c>
      <c r="AD42" s="14" t="str">
        <f ca="1">IF(AND($C42="Goal",AD$7&gt;=$F42,AD$7&lt;=$F42+$G42-1),2,IF(AND($C42="Milestone",AD$7&gt;=$F42,AD$7&lt;=$F42+$G42-1),1,""))</f>
        <v/>
      </c>
      <c r="AE42" s="14" t="str">
        <f ca="1">IF(AND($C42="Goal",AE$7&gt;=$F42,AE$7&lt;=$F42+$G42-1),2,IF(AND($C42="Milestone",AE$7&gt;=$F42,AE$7&lt;=$F42+$G42-1),1,""))</f>
        <v/>
      </c>
      <c r="AF42" s="14" t="str">
        <f ca="1">IF(AND($C42="Goal",AF$7&gt;=$F42,AF$7&lt;=$F42+$G42-1),2,IF(AND($C42="Milestone",AF$7&gt;=$F42,AF$7&lt;=$F42+$G42-1),1,""))</f>
        <v/>
      </c>
      <c r="AG42" s="14" t="str">
        <f ca="1">IF(AND($C42="Goal",AG$7&gt;=$F42,AG$7&lt;=$F42+$G42-1),2,IF(AND($C42="Milestone",AG$7&gt;=$F42,AG$7&lt;=$F42+$G42-1),1,""))</f>
        <v/>
      </c>
      <c r="AH42" s="14" t="str">
        <f ca="1">IF(AND($C42="Goal",AH$7&gt;=$F42,AH$7&lt;=$F42+$G42-1),2,IF(AND($C42="Milestone",AH$7&gt;=$F42,AH$7&lt;=$F42+$G42-1),1,""))</f>
        <v/>
      </c>
      <c r="AI42" s="14" t="str">
        <f ca="1">IF(AND($C42="Goal",AI$7&gt;=$F42,AI$7&lt;=$F42+$G42-1),2,IF(AND($C42="Milestone",AI$7&gt;=$F42,AI$7&lt;=$F42+$G42-1),1,""))</f>
        <v/>
      </c>
      <c r="AJ42" s="14" t="str">
        <f ca="1">IF(AND($C42="Goal",AJ$7&gt;=$F42,AJ$7&lt;=$F42+$G42-1),2,IF(AND($C42="Milestone",AJ$7&gt;=$F42,AJ$7&lt;=$F42+$G42-1),1,""))</f>
        <v/>
      </c>
      <c r="AK42" s="14" t="str">
        <f ca="1">IF(AND($C42="Goal",AK$7&gt;=$F42,AK$7&lt;=$F42+$G42-1),2,IF(AND($C42="Milestone",AK$7&gt;=$F42,AK$7&lt;=$F42+$G42-1),1,""))</f>
        <v/>
      </c>
      <c r="AL42" s="14" t="str">
        <f ca="1">IF(AND($C42="Goal",AL$7&gt;=$F42,AL$7&lt;=$F42+$G42-1),2,IF(AND($C42="Milestone",AL$7&gt;=$F42,AL$7&lt;=$F42+$G42-1),1,""))</f>
        <v/>
      </c>
      <c r="AM42" s="14" t="str">
        <f ca="1">IF(AND($C42="Goal",AM$7&gt;=$F42,AM$7&lt;=$F42+$G42-1),2,IF(AND($C42="Milestone",AM$7&gt;=$F42,AM$7&lt;=$F42+$G42-1),1,""))</f>
        <v/>
      </c>
      <c r="AN42" s="14" t="str">
        <f ca="1">IF(AND($C42="Goal",AN$7&gt;=$F42,AN$7&lt;=$F42+$G42-1),2,IF(AND($C42="Milestone",AN$7&gt;=$F42,AN$7&lt;=$F42+$G42-1),1,""))</f>
        <v/>
      </c>
      <c r="AO42" s="14" t="str">
        <f ca="1">IF(AND($C42="Goal",AO$7&gt;=$F42,AO$7&lt;=$F42+$G42-1),2,IF(AND($C42="Milestone",AO$7&gt;=$F42,AO$7&lt;=$F42+$G42-1),1,""))</f>
        <v/>
      </c>
      <c r="AP42" s="14" t="str">
        <f ca="1">IF(AND($C42="Goal",AP$7&gt;=$F42,AP$7&lt;=$F42+$G42-1),2,IF(AND($C42="Milestone",AP$7&gt;=$F42,AP$7&lt;=$F42+$G42-1),1,""))</f>
        <v/>
      </c>
      <c r="AQ42" s="14" t="str">
        <f ca="1">IF(AND($C42="Goal",AQ$7&gt;=$F42,AQ$7&lt;=$F42+$G42-1),2,IF(AND($C42="Milestone",AQ$7&gt;=$F42,AQ$7&lt;=$F42+$G42-1),1,""))</f>
        <v/>
      </c>
      <c r="AR42" s="14" t="str">
        <f ca="1">IF(AND($C42="Goal",AR$7&gt;=$F42,AR$7&lt;=$F42+$G42-1),2,IF(AND($C42="Milestone",AR$7&gt;=$F42,AR$7&lt;=$F42+$G42-1),1,""))</f>
        <v/>
      </c>
      <c r="AS42" s="14" t="str">
        <f ca="1">IF(AND($C42="Goal",AS$7&gt;=$F42,AS$7&lt;=$F42+$G42-1),2,IF(AND($C42="Milestone",AS$7&gt;=$F42,AS$7&lt;=$F42+$G42-1),1,""))</f>
        <v/>
      </c>
      <c r="AT42" s="14" t="str">
        <f ca="1">IF(AND($C42="Goal",AT$7&gt;=$F42,AT$7&lt;=$F42+$G42-1),2,IF(AND($C42="Milestone",AT$7&gt;=$F42,AT$7&lt;=$F42+$G42-1),1,""))</f>
        <v/>
      </c>
      <c r="AU42" s="14" t="str">
        <f ca="1">IF(AND($C42="Goal",AU$7&gt;=$F42,AU$7&lt;=$F42+$G42-1),2,IF(AND($C42="Milestone",AU$7&gt;=$F42,AU$7&lt;=$F42+$G42-1),1,""))</f>
        <v/>
      </c>
      <c r="AV42" s="14" t="str">
        <f ca="1">IF(AND($C42="Goal",AV$7&gt;=$F42,AV$7&lt;=$F42+$G42-1),2,IF(AND($C42="Milestone",AV$7&gt;=$F42,AV$7&lt;=$F42+$G42-1),1,""))</f>
        <v/>
      </c>
      <c r="AW42" s="14" t="str">
        <f ca="1">IF(AND($C42="Goal",AW$7&gt;=$F42,AW$7&lt;=$F42+$G42-1),2,IF(AND($C42="Milestone",AW$7&gt;=$F42,AW$7&lt;=$F42+$G42-1),1,""))</f>
        <v/>
      </c>
      <c r="AX42" s="14" t="str">
        <f ca="1">IF(AND($C42="Goal",AX$7&gt;=$F42,AX$7&lt;=$F42+$G42-1),2,IF(AND($C42="Milestone",AX$7&gt;=$F42,AX$7&lt;=$F42+$G42-1),1,""))</f>
        <v/>
      </c>
      <c r="AY42" s="14" t="str">
        <f ca="1">IF(AND($C42="Goal",AY$7&gt;=$F42,AY$7&lt;=$F42+$G42-1),2,IF(AND($C42="Milestone",AY$7&gt;=$F42,AY$7&lt;=$F42+$G42-1),1,""))</f>
        <v/>
      </c>
      <c r="AZ42" s="14" t="str">
        <f ca="1">IF(AND($C42="Goal",AZ$7&gt;=$F42,AZ$7&lt;=$F42+$G42-1),2,IF(AND($C42="Milestone",AZ$7&gt;=$F42,AZ$7&lt;=$F42+$G42-1),1,""))</f>
        <v/>
      </c>
      <c r="BA42" s="14" t="str">
        <f ca="1">IF(AND($C42="Goal",BA$7&gt;=$F42,BA$7&lt;=$F42+$G42-1),2,IF(AND($C42="Milestone",BA$7&gt;=$F42,BA$7&lt;=$F42+$G42-1),1,""))</f>
        <v/>
      </c>
      <c r="BB42" s="14" t="str">
        <f ca="1">IF(AND($C42="Goal",BB$7&gt;=$F42,BB$7&lt;=$F42+$G42-1),2,IF(AND($C42="Milestone",BB$7&gt;=$F42,BB$7&lt;=$F42+$G42-1),1,""))</f>
        <v/>
      </c>
      <c r="BC42" s="14" t="str">
        <f ca="1">IF(AND($C42="Goal",BC$7&gt;=$F42,BC$7&lt;=$F42+$G42-1),2,IF(AND($C42="Milestone",BC$7&gt;=$F42,BC$7&lt;=$F42+$G42-1),1,""))</f>
        <v/>
      </c>
      <c r="BD42" s="14" t="str">
        <f ca="1">IF(AND($C42="Goal",BD$7&gt;=$F42,BD$7&lt;=$F42+$G42-1),2,IF(AND($C42="Milestone",BD$7&gt;=$F42,BD$7&lt;=$F42+$G42-1),1,""))</f>
        <v/>
      </c>
      <c r="BE42" s="14" t="str">
        <f ca="1">IF(AND($C42="Goal",BE$7&gt;=$F42,BE$7&lt;=$F42+$G42-1),2,IF(AND($C42="Milestone",BE$7&gt;=$F42,BE$7&lt;=$F42+$G42-1),1,""))</f>
        <v/>
      </c>
      <c r="BF42" s="14" t="str">
        <f ca="1">IF(AND($C42="Goal",BF$7&gt;=$F42,BF$7&lt;=$F42+$G42-1),2,IF(AND($C42="Milestone",BF$7&gt;=$F42,BF$7&lt;=$F42+$G42-1),1,""))</f>
        <v/>
      </c>
      <c r="BG42" s="14" t="str">
        <f ca="1">IF(AND($C42="Goal",BG$7&gt;=$F42,BG$7&lt;=$F42+$G42-1),2,IF(AND($C42="Milestone",BG$7&gt;=$F42,BG$7&lt;=$F42+$G42-1),1,""))</f>
        <v/>
      </c>
      <c r="BH42" s="14" t="str">
        <f ca="1">IF(AND($C42="Goal",BH$7&gt;=$F42,BH$7&lt;=$F42+$G42-1),2,IF(AND($C42="Milestone",BH$7&gt;=$F42,BH$7&lt;=$F42+$G42-1),1,""))</f>
        <v/>
      </c>
      <c r="BI42" s="14" t="str">
        <f ca="1">IF(AND($C42="Goal",BI$7&gt;=$F42,BI$7&lt;=$F42+$G42-1),2,IF(AND($C42="Milestone",BI$7&gt;=$F42,BI$7&lt;=$F42+$G42-1),1,""))</f>
        <v/>
      </c>
      <c r="BJ42" s="14" t="str">
        <f ca="1">IF(AND($C42="Goal",BJ$7&gt;=$F42,BJ$7&lt;=$F42+$G42-1),2,IF(AND($C42="Milestone",BJ$7&gt;=$F42,BJ$7&lt;=$F42+$G42-1),1,""))</f>
        <v/>
      </c>
      <c r="BK42" s="14" t="str">
        <f ca="1">IF(AND($C42="Goal",BK$7&gt;=$F42,BK$7&lt;=$F42+$G42-1),2,IF(AND($C42="Milestone",BK$7&gt;=$F42,BK$7&lt;=$F42+$G42-1),1,""))</f>
        <v/>
      </c>
      <c r="BL42" s="14" t="str">
        <f ca="1">IF(AND($C42="Goal",BL$7&gt;=$F42,BL$7&lt;=$F42+$G42-1),2,IF(AND($C42="Milestone",BL$7&gt;=$F42,BL$7&lt;=$F42+$G42-1),1,""))</f>
        <v/>
      </c>
    </row>
    <row r="43" spans="1:65" s="1" customFormat="1" ht="40" customHeight="1" x14ac:dyDescent="0.35">
      <c r="A43" s="6"/>
      <c r="B43" s="61"/>
      <c r="C43" s="17"/>
      <c r="D43" s="17"/>
      <c r="E43" s="18"/>
      <c r="F43" s="19"/>
      <c r="G43" s="20"/>
      <c r="H43" s="17"/>
      <c r="I43" s="14" t="str">
        <f ca="1">IF(AND($C43="Goal",I$7&gt;=$F43,I$7&lt;=$F43+$G43-1),2,IF(AND($C43="Milestone",I$7&gt;=$F43,I$7&lt;=$F43+$G43-1),1,""))</f>
        <v/>
      </c>
      <c r="J43" s="14" t="str">
        <f ca="1">IF(AND($C43="Goal",J$7&gt;=$F43,J$7&lt;=$F43+$G43-1),2,IF(AND($C43="Milestone",J$7&gt;=$F43,J$7&lt;=$F43+$G43-1),1,""))</f>
        <v/>
      </c>
      <c r="K43" s="14" t="str">
        <f ca="1">IF(AND($C43="Goal",K$7&gt;=$F43,K$7&lt;=$F43+$G43-1),2,IF(AND($C43="Milestone",K$7&gt;=$F43,K$7&lt;=$F43+$G43-1),1,""))</f>
        <v/>
      </c>
      <c r="L43" s="14" t="str">
        <f ca="1">IF(AND($C43="Goal",L$7&gt;=$F43,L$7&lt;=$F43+$G43-1),2,IF(AND($C43="Milestone",L$7&gt;=$F43,L$7&lt;=$F43+$G43-1),1,""))</f>
        <v/>
      </c>
      <c r="M43" s="14" t="str">
        <f ca="1">IF(AND($C43="Goal",M$7&gt;=$F43,M$7&lt;=$F43+$G43-1),2,IF(AND($C43="Milestone",M$7&gt;=$F43,M$7&lt;=$F43+$G43-1),1,""))</f>
        <v/>
      </c>
      <c r="N43" s="14" t="str">
        <f ca="1">IF(AND($C43="Goal",N$7&gt;=$F43,N$7&lt;=$F43+$G43-1),2,IF(AND($C43="Milestone",N$7&gt;=$F43,N$7&lt;=$F43+$G43-1),1,""))</f>
        <v/>
      </c>
      <c r="O43" s="14" t="str">
        <f ca="1">IF(AND($C43="Goal",O$7&gt;=$F43,O$7&lt;=$F43+$G43-1),2,IF(AND($C43="Milestone",O$7&gt;=$F43,O$7&lt;=$F43+$G43-1),1,""))</f>
        <v/>
      </c>
      <c r="P43" s="14" t="str">
        <f ca="1">IF(AND($C43="Goal",P$7&gt;=$F43,P$7&lt;=$F43+$G43-1),2,IF(AND($C43="Milestone",P$7&gt;=$F43,P$7&lt;=$F43+$G43-1),1,""))</f>
        <v/>
      </c>
      <c r="Q43" s="14" t="str">
        <f ca="1">IF(AND($C43="Goal",Q$7&gt;=$F43,Q$7&lt;=$F43+$G43-1),2,IF(AND($C43="Milestone",Q$7&gt;=$F43,Q$7&lt;=$F43+$G43-1),1,""))</f>
        <v/>
      </c>
      <c r="R43" s="14" t="str">
        <f ca="1">IF(AND($C43="Goal",R$7&gt;=$F43,R$7&lt;=$F43+$G43-1),2,IF(AND($C43="Milestone",R$7&gt;=$F43,R$7&lt;=$F43+$G43-1),1,""))</f>
        <v/>
      </c>
      <c r="S43" s="14" t="str">
        <f ca="1">IF(AND($C43="Goal",S$7&gt;=$F43,S$7&lt;=$F43+$G43-1),2,IF(AND($C43="Milestone",S$7&gt;=$F43,S$7&lt;=$F43+$G43-1),1,""))</f>
        <v/>
      </c>
      <c r="T43" s="14" t="str">
        <f ca="1">IF(AND($C43="Goal",T$7&gt;=$F43,T$7&lt;=$F43+$G43-1),2,IF(AND($C43="Milestone",T$7&gt;=$F43,T$7&lt;=$F43+$G43-1),1,""))</f>
        <v/>
      </c>
      <c r="U43" s="14" t="str">
        <f ca="1">IF(AND($C43="Goal",U$7&gt;=$F43,U$7&lt;=$F43+$G43-1),2,IF(AND($C43="Milestone",U$7&gt;=$F43,U$7&lt;=$F43+$G43-1),1,""))</f>
        <v/>
      </c>
      <c r="V43" s="14" t="str">
        <f ca="1">IF(AND($C43="Goal",V$7&gt;=$F43,V$7&lt;=$F43+$G43-1),2,IF(AND($C43="Milestone",V$7&gt;=$F43,V$7&lt;=$F43+$G43-1),1,""))</f>
        <v/>
      </c>
      <c r="W43" s="14" t="str">
        <f ca="1">IF(AND($C43="Goal",W$7&gt;=$F43,W$7&lt;=$F43+$G43-1),2,IF(AND($C43="Milestone",W$7&gt;=$F43,W$7&lt;=$F43+$G43-1),1,""))</f>
        <v/>
      </c>
      <c r="X43" s="14" t="str">
        <f ca="1">IF(AND($C43="Goal",X$7&gt;=$F43,X$7&lt;=$F43+$G43-1),2,IF(AND($C43="Milestone",X$7&gt;=$F43,X$7&lt;=$F43+$G43-1),1,""))</f>
        <v/>
      </c>
      <c r="Y43" s="14" t="str">
        <f ca="1">IF(AND($C43="Goal",Y$7&gt;=$F43,Y$7&lt;=$F43+$G43-1),2,IF(AND($C43="Milestone",Y$7&gt;=$F43,Y$7&lt;=$F43+$G43-1),1,""))</f>
        <v/>
      </c>
      <c r="Z43" s="14" t="str">
        <f ca="1">IF(AND($C43="Goal",Z$7&gt;=$F43,Z$7&lt;=$F43+$G43-1),2,IF(AND($C43="Milestone",Z$7&gt;=$F43,Z$7&lt;=$F43+$G43-1),1,""))</f>
        <v/>
      </c>
      <c r="AA43" s="14" t="str">
        <f ca="1">IF(AND($C43="Goal",AA$7&gt;=$F43,AA$7&lt;=$F43+$G43-1),2,IF(AND($C43="Milestone",AA$7&gt;=$F43,AA$7&lt;=$F43+$G43-1),1,""))</f>
        <v/>
      </c>
      <c r="AB43" s="14" t="str">
        <f ca="1">IF(AND($C43="Goal",AB$7&gt;=$F43,AB$7&lt;=$F43+$G43-1),2,IF(AND($C43="Milestone",AB$7&gt;=$F43,AB$7&lt;=$F43+$G43-1),1,""))</f>
        <v/>
      </c>
      <c r="AC43" s="14" t="str">
        <f ca="1">IF(AND($C43="Goal",AC$7&gt;=$F43,AC$7&lt;=$F43+$G43-1),2,IF(AND($C43="Milestone",AC$7&gt;=$F43,AC$7&lt;=$F43+$G43-1),1,""))</f>
        <v/>
      </c>
      <c r="AD43" s="14" t="str">
        <f ca="1">IF(AND($C43="Goal",AD$7&gt;=$F43,AD$7&lt;=$F43+$G43-1),2,IF(AND($C43="Milestone",AD$7&gt;=$F43,AD$7&lt;=$F43+$G43-1),1,""))</f>
        <v/>
      </c>
      <c r="AE43" s="14" t="str">
        <f ca="1">IF(AND($C43="Goal",AE$7&gt;=$F43,AE$7&lt;=$F43+$G43-1),2,IF(AND($C43="Milestone",AE$7&gt;=$F43,AE$7&lt;=$F43+$G43-1),1,""))</f>
        <v/>
      </c>
      <c r="AF43" s="14" t="str">
        <f ca="1">IF(AND($C43="Goal",AF$7&gt;=$F43,AF$7&lt;=$F43+$G43-1),2,IF(AND($C43="Milestone",AF$7&gt;=$F43,AF$7&lt;=$F43+$G43-1),1,""))</f>
        <v/>
      </c>
      <c r="AG43" s="14" t="str">
        <f ca="1">IF(AND($C43="Goal",AG$7&gt;=$F43,AG$7&lt;=$F43+$G43-1),2,IF(AND($C43="Milestone",AG$7&gt;=$F43,AG$7&lt;=$F43+$G43-1),1,""))</f>
        <v/>
      </c>
      <c r="AH43" s="14" t="str">
        <f ca="1">IF(AND($C43="Goal",AH$7&gt;=$F43,AH$7&lt;=$F43+$G43-1),2,IF(AND($C43="Milestone",AH$7&gt;=$F43,AH$7&lt;=$F43+$G43-1),1,""))</f>
        <v/>
      </c>
      <c r="AI43" s="14" t="str">
        <f ca="1">IF(AND($C43="Goal",AI$7&gt;=$F43,AI$7&lt;=$F43+$G43-1),2,IF(AND($C43="Milestone",AI$7&gt;=$F43,AI$7&lt;=$F43+$G43-1),1,""))</f>
        <v/>
      </c>
      <c r="AJ43" s="14" t="str">
        <f ca="1">IF(AND($C43="Goal",AJ$7&gt;=$F43,AJ$7&lt;=$F43+$G43-1),2,IF(AND($C43="Milestone",AJ$7&gt;=$F43,AJ$7&lt;=$F43+$G43-1),1,""))</f>
        <v/>
      </c>
      <c r="AK43" s="14" t="str">
        <f ca="1">IF(AND($C43="Goal",AK$7&gt;=$F43,AK$7&lt;=$F43+$G43-1),2,IF(AND($C43="Milestone",AK$7&gt;=$F43,AK$7&lt;=$F43+$G43-1),1,""))</f>
        <v/>
      </c>
      <c r="AL43" s="14" t="str">
        <f ca="1">IF(AND($C43="Goal",AL$7&gt;=$F43,AL$7&lt;=$F43+$G43-1),2,IF(AND($C43="Milestone",AL$7&gt;=$F43,AL$7&lt;=$F43+$G43-1),1,""))</f>
        <v/>
      </c>
      <c r="AM43" s="14" t="str">
        <f ca="1">IF(AND($C43="Goal",AM$7&gt;=$F43,AM$7&lt;=$F43+$G43-1),2,IF(AND($C43="Milestone",AM$7&gt;=$F43,AM$7&lt;=$F43+$G43-1),1,""))</f>
        <v/>
      </c>
      <c r="AN43" s="14" t="str">
        <f ca="1">IF(AND($C43="Goal",AN$7&gt;=$F43,AN$7&lt;=$F43+$G43-1),2,IF(AND($C43="Milestone",AN$7&gt;=$F43,AN$7&lt;=$F43+$G43-1),1,""))</f>
        <v/>
      </c>
      <c r="AO43" s="14" t="str">
        <f ca="1">IF(AND($C43="Goal",AO$7&gt;=$F43,AO$7&lt;=$F43+$G43-1),2,IF(AND($C43="Milestone",AO$7&gt;=$F43,AO$7&lt;=$F43+$G43-1),1,""))</f>
        <v/>
      </c>
      <c r="AP43" s="14" t="str">
        <f ca="1">IF(AND($C43="Goal",AP$7&gt;=$F43,AP$7&lt;=$F43+$G43-1),2,IF(AND($C43="Milestone",AP$7&gt;=$F43,AP$7&lt;=$F43+$G43-1),1,""))</f>
        <v/>
      </c>
      <c r="AQ43" s="14" t="str">
        <f ca="1">IF(AND($C43="Goal",AQ$7&gt;=$F43,AQ$7&lt;=$F43+$G43-1),2,IF(AND($C43="Milestone",AQ$7&gt;=$F43,AQ$7&lt;=$F43+$G43-1),1,""))</f>
        <v/>
      </c>
      <c r="AR43" s="14" t="str">
        <f ca="1">IF(AND($C43="Goal",AR$7&gt;=$F43,AR$7&lt;=$F43+$G43-1),2,IF(AND($C43="Milestone",AR$7&gt;=$F43,AR$7&lt;=$F43+$G43-1),1,""))</f>
        <v/>
      </c>
      <c r="AS43" s="14" t="str">
        <f ca="1">IF(AND($C43="Goal",AS$7&gt;=$F43,AS$7&lt;=$F43+$G43-1),2,IF(AND($C43="Milestone",AS$7&gt;=$F43,AS$7&lt;=$F43+$G43-1),1,""))</f>
        <v/>
      </c>
      <c r="AT43" s="14" t="str">
        <f ca="1">IF(AND($C43="Goal",AT$7&gt;=$F43,AT$7&lt;=$F43+$G43-1),2,IF(AND($C43="Milestone",AT$7&gt;=$F43,AT$7&lt;=$F43+$G43-1),1,""))</f>
        <v/>
      </c>
      <c r="AU43" s="14" t="str">
        <f ca="1">IF(AND($C43="Goal",AU$7&gt;=$F43,AU$7&lt;=$F43+$G43-1),2,IF(AND($C43="Milestone",AU$7&gt;=$F43,AU$7&lt;=$F43+$G43-1),1,""))</f>
        <v/>
      </c>
      <c r="AV43" s="14" t="str">
        <f ca="1">IF(AND($C43="Goal",AV$7&gt;=$F43,AV$7&lt;=$F43+$G43-1),2,IF(AND($C43="Milestone",AV$7&gt;=$F43,AV$7&lt;=$F43+$G43-1),1,""))</f>
        <v/>
      </c>
      <c r="AW43" s="14" t="str">
        <f ca="1">IF(AND($C43="Goal",AW$7&gt;=$F43,AW$7&lt;=$F43+$G43-1),2,IF(AND($C43="Milestone",AW$7&gt;=$F43,AW$7&lt;=$F43+$G43-1),1,""))</f>
        <v/>
      </c>
      <c r="AX43" s="14" t="str">
        <f ca="1">IF(AND($C43="Goal",AX$7&gt;=$F43,AX$7&lt;=$F43+$G43-1),2,IF(AND($C43="Milestone",AX$7&gt;=$F43,AX$7&lt;=$F43+$G43-1),1,""))</f>
        <v/>
      </c>
      <c r="AY43" s="14" t="str">
        <f ca="1">IF(AND($C43="Goal",AY$7&gt;=$F43,AY$7&lt;=$F43+$G43-1),2,IF(AND($C43="Milestone",AY$7&gt;=$F43,AY$7&lt;=$F43+$G43-1),1,""))</f>
        <v/>
      </c>
      <c r="AZ43" s="14" t="str">
        <f ca="1">IF(AND($C43="Goal",AZ$7&gt;=$F43,AZ$7&lt;=$F43+$G43-1),2,IF(AND($C43="Milestone",AZ$7&gt;=$F43,AZ$7&lt;=$F43+$G43-1),1,""))</f>
        <v/>
      </c>
      <c r="BA43" s="14" t="str">
        <f ca="1">IF(AND($C43="Goal",BA$7&gt;=$F43,BA$7&lt;=$F43+$G43-1),2,IF(AND($C43="Milestone",BA$7&gt;=$F43,BA$7&lt;=$F43+$G43-1),1,""))</f>
        <v/>
      </c>
      <c r="BB43" s="14" t="str">
        <f ca="1">IF(AND($C43="Goal",BB$7&gt;=$F43,BB$7&lt;=$F43+$G43-1),2,IF(AND($C43="Milestone",BB$7&gt;=$F43,BB$7&lt;=$F43+$G43-1),1,""))</f>
        <v/>
      </c>
      <c r="BC43" s="14" t="str">
        <f ca="1">IF(AND($C43="Goal",BC$7&gt;=$F43,BC$7&lt;=$F43+$G43-1),2,IF(AND($C43="Milestone",BC$7&gt;=$F43,BC$7&lt;=$F43+$G43-1),1,""))</f>
        <v/>
      </c>
      <c r="BD43" s="14" t="str">
        <f ca="1">IF(AND($C43="Goal",BD$7&gt;=$F43,BD$7&lt;=$F43+$G43-1),2,IF(AND($C43="Milestone",BD$7&gt;=$F43,BD$7&lt;=$F43+$G43-1),1,""))</f>
        <v/>
      </c>
      <c r="BE43" s="14" t="str">
        <f ca="1">IF(AND($C43="Goal",BE$7&gt;=$F43,BE$7&lt;=$F43+$G43-1),2,IF(AND($C43="Milestone",BE$7&gt;=$F43,BE$7&lt;=$F43+$G43-1),1,""))</f>
        <v/>
      </c>
      <c r="BF43" s="14" t="str">
        <f ca="1">IF(AND($C43="Goal",BF$7&gt;=$F43,BF$7&lt;=$F43+$G43-1),2,IF(AND($C43="Milestone",BF$7&gt;=$F43,BF$7&lt;=$F43+$G43-1),1,""))</f>
        <v/>
      </c>
      <c r="BG43" s="14" t="str">
        <f ca="1">IF(AND($C43="Goal",BG$7&gt;=$F43,BG$7&lt;=$F43+$G43-1),2,IF(AND($C43="Milestone",BG$7&gt;=$F43,BG$7&lt;=$F43+$G43-1),1,""))</f>
        <v/>
      </c>
      <c r="BH43" s="14" t="str">
        <f ca="1">IF(AND($C43="Goal",BH$7&gt;=$F43,BH$7&lt;=$F43+$G43-1),2,IF(AND($C43="Milestone",BH$7&gt;=$F43,BH$7&lt;=$F43+$G43-1),1,""))</f>
        <v/>
      </c>
      <c r="BI43" s="14" t="str">
        <f ca="1">IF(AND($C43="Goal",BI$7&gt;=$F43,BI$7&lt;=$F43+$G43-1),2,IF(AND($C43="Milestone",BI$7&gt;=$F43,BI$7&lt;=$F43+$G43-1),1,""))</f>
        <v/>
      </c>
      <c r="BJ43" s="14" t="str">
        <f ca="1">IF(AND($C43="Goal",BJ$7&gt;=$F43,BJ$7&lt;=$F43+$G43-1),2,IF(AND($C43="Milestone",BJ$7&gt;=$F43,BJ$7&lt;=$F43+$G43-1),1,""))</f>
        <v/>
      </c>
      <c r="BK43" s="14" t="str">
        <f ca="1">IF(AND($C43="Goal",BK$7&gt;=$F43,BK$7&lt;=$F43+$G43-1),2,IF(AND($C43="Milestone",BK$7&gt;=$F43,BK$7&lt;=$F43+$G43-1),1,""))</f>
        <v/>
      </c>
      <c r="BL43" s="14" t="str">
        <f ca="1">IF(AND($C43="Goal",BL$7&gt;=$F43,BL$7&lt;=$F43+$G43-1),2,IF(AND($C43="Milestone",BL$7&gt;=$F43,BL$7&lt;=$F43+$G43-1),1,""))</f>
        <v/>
      </c>
    </row>
    <row r="44" spans="1:65" s="1" customFormat="1" ht="40" customHeight="1" x14ac:dyDescent="0.35">
      <c r="A44" s="6"/>
      <c r="B44" s="61"/>
      <c r="C44" s="17"/>
      <c r="D44" s="17"/>
      <c r="E44" s="18"/>
      <c r="F44" s="19"/>
      <c r="G44" s="20"/>
      <c r="H44" s="17"/>
      <c r="I44" s="14" t="str">
        <f ca="1">IF(AND($C44="Goal",I$7&gt;=$F44,I$7&lt;=$F44+$G44-1),2,IF(AND($C44="Milestone",I$7&gt;=$F44,I$7&lt;=$F44+$G44-1),1,""))</f>
        <v/>
      </c>
      <c r="J44" s="14" t="str">
        <f ca="1">IF(AND($C44="Goal",J$7&gt;=$F44,J$7&lt;=$F44+$G44-1),2,IF(AND($C44="Milestone",J$7&gt;=$F44,J$7&lt;=$F44+$G44-1),1,""))</f>
        <v/>
      </c>
      <c r="K44" s="14" t="str">
        <f ca="1">IF(AND($C44="Goal",K$7&gt;=$F44,K$7&lt;=$F44+$G44-1),2,IF(AND($C44="Milestone",K$7&gt;=$F44,K$7&lt;=$F44+$G44-1),1,""))</f>
        <v/>
      </c>
      <c r="L44" s="14" t="str">
        <f ca="1">IF(AND($C44="Goal",L$7&gt;=$F44,L$7&lt;=$F44+$G44-1),2,IF(AND($C44="Milestone",L$7&gt;=$F44,L$7&lt;=$F44+$G44-1),1,""))</f>
        <v/>
      </c>
      <c r="M44" s="14" t="str">
        <f ca="1">IF(AND($C44="Goal",M$7&gt;=$F44,M$7&lt;=$F44+$G44-1),2,IF(AND($C44="Milestone",M$7&gt;=$F44,M$7&lt;=$F44+$G44-1),1,""))</f>
        <v/>
      </c>
      <c r="N44" s="14" t="str">
        <f ca="1">IF(AND($C44="Goal",N$7&gt;=$F44,N$7&lt;=$F44+$G44-1),2,IF(AND($C44="Milestone",N$7&gt;=$F44,N$7&lt;=$F44+$G44-1),1,""))</f>
        <v/>
      </c>
      <c r="O44" s="14" t="str">
        <f ca="1">IF(AND($C44="Goal",O$7&gt;=$F44,O$7&lt;=$F44+$G44-1),2,IF(AND($C44="Milestone",O$7&gt;=$F44,O$7&lt;=$F44+$G44-1),1,""))</f>
        <v/>
      </c>
      <c r="P44" s="14" t="str">
        <f ca="1">IF(AND($C44="Goal",P$7&gt;=$F44,P$7&lt;=$F44+$G44-1),2,IF(AND($C44="Milestone",P$7&gt;=$F44,P$7&lt;=$F44+$G44-1),1,""))</f>
        <v/>
      </c>
      <c r="Q44" s="14" t="str">
        <f ca="1">IF(AND($C44="Goal",Q$7&gt;=$F44,Q$7&lt;=$F44+$G44-1),2,IF(AND($C44="Milestone",Q$7&gt;=$F44,Q$7&lt;=$F44+$G44-1),1,""))</f>
        <v/>
      </c>
      <c r="R44" s="14" t="str">
        <f ca="1">IF(AND($C44="Goal",R$7&gt;=$F44,R$7&lt;=$F44+$G44-1),2,IF(AND($C44="Milestone",R$7&gt;=$F44,R$7&lt;=$F44+$G44-1),1,""))</f>
        <v/>
      </c>
      <c r="S44" s="14" t="str">
        <f ca="1">IF(AND($C44="Goal",S$7&gt;=$F44,S$7&lt;=$F44+$G44-1),2,IF(AND($C44="Milestone",S$7&gt;=$F44,S$7&lt;=$F44+$G44-1),1,""))</f>
        <v/>
      </c>
      <c r="T44" s="14" t="str">
        <f ca="1">IF(AND($C44="Goal",T$7&gt;=$F44,T$7&lt;=$F44+$G44-1),2,IF(AND($C44="Milestone",T$7&gt;=$F44,T$7&lt;=$F44+$G44-1),1,""))</f>
        <v/>
      </c>
      <c r="U44" s="14" t="str">
        <f ca="1">IF(AND($C44="Goal",U$7&gt;=$F44,U$7&lt;=$F44+$G44-1),2,IF(AND($C44="Milestone",U$7&gt;=$F44,U$7&lt;=$F44+$G44-1),1,""))</f>
        <v/>
      </c>
      <c r="V44" s="14" t="str">
        <f ca="1">IF(AND($C44="Goal",V$7&gt;=$F44,V$7&lt;=$F44+$G44-1),2,IF(AND($C44="Milestone",V$7&gt;=$F44,V$7&lt;=$F44+$G44-1),1,""))</f>
        <v/>
      </c>
      <c r="W44" s="14" t="str">
        <f ca="1">IF(AND($C44="Goal",W$7&gt;=$F44,W$7&lt;=$F44+$G44-1),2,IF(AND($C44="Milestone",W$7&gt;=$F44,W$7&lt;=$F44+$G44-1),1,""))</f>
        <v/>
      </c>
      <c r="X44" s="14" t="str">
        <f ca="1">IF(AND($C44="Goal",X$7&gt;=$F44,X$7&lt;=$F44+$G44-1),2,IF(AND($C44="Milestone",X$7&gt;=$F44,X$7&lt;=$F44+$G44-1),1,""))</f>
        <v/>
      </c>
      <c r="Y44" s="14" t="str">
        <f ca="1">IF(AND($C44="Goal",Y$7&gt;=$F44,Y$7&lt;=$F44+$G44-1),2,IF(AND($C44="Milestone",Y$7&gt;=$F44,Y$7&lt;=$F44+$G44-1),1,""))</f>
        <v/>
      </c>
      <c r="Z44" s="14" t="str">
        <f ca="1">IF(AND($C44="Goal",Z$7&gt;=$F44,Z$7&lt;=$F44+$G44-1),2,IF(AND($C44="Milestone",Z$7&gt;=$F44,Z$7&lt;=$F44+$G44-1),1,""))</f>
        <v/>
      </c>
      <c r="AA44" s="14" t="str">
        <f ca="1">IF(AND($C44="Goal",AA$7&gt;=$F44,AA$7&lt;=$F44+$G44-1),2,IF(AND($C44="Milestone",AA$7&gt;=$F44,AA$7&lt;=$F44+$G44-1),1,""))</f>
        <v/>
      </c>
      <c r="AB44" s="14" t="str">
        <f ca="1">IF(AND($C44="Goal",AB$7&gt;=$F44,AB$7&lt;=$F44+$G44-1),2,IF(AND($C44="Milestone",AB$7&gt;=$F44,AB$7&lt;=$F44+$G44-1),1,""))</f>
        <v/>
      </c>
      <c r="AC44" s="14" t="str">
        <f ca="1">IF(AND($C44="Goal",AC$7&gt;=$F44,AC$7&lt;=$F44+$G44-1),2,IF(AND($C44="Milestone",AC$7&gt;=$F44,AC$7&lt;=$F44+$G44-1),1,""))</f>
        <v/>
      </c>
      <c r="AD44" s="14" t="str">
        <f ca="1">IF(AND($C44="Goal",AD$7&gt;=$F44,AD$7&lt;=$F44+$G44-1),2,IF(AND($C44="Milestone",AD$7&gt;=$F44,AD$7&lt;=$F44+$G44-1),1,""))</f>
        <v/>
      </c>
      <c r="AE44" s="14" t="str">
        <f ca="1">IF(AND($C44="Goal",AE$7&gt;=$F44,AE$7&lt;=$F44+$G44-1),2,IF(AND($C44="Milestone",AE$7&gt;=$F44,AE$7&lt;=$F44+$G44-1),1,""))</f>
        <v/>
      </c>
      <c r="AF44" s="14" t="str">
        <f ca="1">IF(AND($C44="Goal",AF$7&gt;=$F44,AF$7&lt;=$F44+$G44-1),2,IF(AND($C44="Milestone",AF$7&gt;=$F44,AF$7&lt;=$F44+$G44-1),1,""))</f>
        <v/>
      </c>
      <c r="AG44" s="14" t="str">
        <f ca="1">IF(AND($C44="Goal",AG$7&gt;=$F44,AG$7&lt;=$F44+$G44-1),2,IF(AND($C44="Milestone",AG$7&gt;=$F44,AG$7&lt;=$F44+$G44-1),1,""))</f>
        <v/>
      </c>
      <c r="AH44" s="14" t="str">
        <f ca="1">IF(AND($C44="Goal",AH$7&gt;=$F44,AH$7&lt;=$F44+$G44-1),2,IF(AND($C44="Milestone",AH$7&gt;=$F44,AH$7&lt;=$F44+$G44-1),1,""))</f>
        <v/>
      </c>
      <c r="AI44" s="14" t="str">
        <f ca="1">IF(AND($C44="Goal",AI$7&gt;=$F44,AI$7&lt;=$F44+$G44-1),2,IF(AND($C44="Milestone",AI$7&gt;=$F44,AI$7&lt;=$F44+$G44-1),1,""))</f>
        <v/>
      </c>
      <c r="AJ44" s="14" t="str">
        <f ca="1">IF(AND($C44="Goal",AJ$7&gt;=$F44,AJ$7&lt;=$F44+$G44-1),2,IF(AND($C44="Milestone",AJ$7&gt;=$F44,AJ$7&lt;=$F44+$G44-1),1,""))</f>
        <v/>
      </c>
      <c r="AK44" s="14" t="str">
        <f ca="1">IF(AND($C44="Goal",AK$7&gt;=$F44,AK$7&lt;=$F44+$G44-1),2,IF(AND($C44="Milestone",AK$7&gt;=$F44,AK$7&lt;=$F44+$G44-1),1,""))</f>
        <v/>
      </c>
      <c r="AL44" s="14" t="str">
        <f ca="1">IF(AND($C44="Goal",AL$7&gt;=$F44,AL$7&lt;=$F44+$G44-1),2,IF(AND($C44="Milestone",AL$7&gt;=$F44,AL$7&lt;=$F44+$G44-1),1,""))</f>
        <v/>
      </c>
      <c r="AM44" s="14" t="str">
        <f ca="1">IF(AND($C44="Goal",AM$7&gt;=$F44,AM$7&lt;=$F44+$G44-1),2,IF(AND($C44="Milestone",AM$7&gt;=$F44,AM$7&lt;=$F44+$G44-1),1,""))</f>
        <v/>
      </c>
      <c r="AN44" s="14" t="str">
        <f ca="1">IF(AND($C44="Goal",AN$7&gt;=$F44,AN$7&lt;=$F44+$G44-1),2,IF(AND($C44="Milestone",AN$7&gt;=$F44,AN$7&lt;=$F44+$G44-1),1,""))</f>
        <v/>
      </c>
      <c r="AO44" s="14" t="str">
        <f ca="1">IF(AND($C44="Goal",AO$7&gt;=$F44,AO$7&lt;=$F44+$G44-1),2,IF(AND($C44="Milestone",AO$7&gt;=$F44,AO$7&lt;=$F44+$G44-1),1,""))</f>
        <v/>
      </c>
      <c r="AP44" s="14" t="str">
        <f ca="1">IF(AND($C44="Goal",AP$7&gt;=$F44,AP$7&lt;=$F44+$G44-1),2,IF(AND($C44="Milestone",AP$7&gt;=$F44,AP$7&lt;=$F44+$G44-1),1,""))</f>
        <v/>
      </c>
      <c r="AQ44" s="14" t="str">
        <f ca="1">IF(AND($C44="Goal",AQ$7&gt;=$F44,AQ$7&lt;=$F44+$G44-1),2,IF(AND($C44="Milestone",AQ$7&gt;=$F44,AQ$7&lt;=$F44+$G44-1),1,""))</f>
        <v/>
      </c>
      <c r="AR44" s="14" t="str">
        <f ca="1">IF(AND($C44="Goal",AR$7&gt;=$F44,AR$7&lt;=$F44+$G44-1),2,IF(AND($C44="Milestone",AR$7&gt;=$F44,AR$7&lt;=$F44+$G44-1),1,""))</f>
        <v/>
      </c>
      <c r="AS44" s="14" t="str">
        <f ca="1">IF(AND($C44="Goal",AS$7&gt;=$F44,AS$7&lt;=$F44+$G44-1),2,IF(AND($C44="Milestone",AS$7&gt;=$F44,AS$7&lt;=$F44+$G44-1),1,""))</f>
        <v/>
      </c>
      <c r="AT44" s="14" t="str">
        <f ca="1">IF(AND($C44="Goal",AT$7&gt;=$F44,AT$7&lt;=$F44+$G44-1),2,IF(AND($C44="Milestone",AT$7&gt;=$F44,AT$7&lt;=$F44+$G44-1),1,""))</f>
        <v/>
      </c>
      <c r="AU44" s="14" t="str">
        <f ca="1">IF(AND($C44="Goal",AU$7&gt;=$F44,AU$7&lt;=$F44+$G44-1),2,IF(AND($C44="Milestone",AU$7&gt;=$F44,AU$7&lt;=$F44+$G44-1),1,""))</f>
        <v/>
      </c>
      <c r="AV44" s="14" t="str">
        <f ca="1">IF(AND($C44="Goal",AV$7&gt;=$F44,AV$7&lt;=$F44+$G44-1),2,IF(AND($C44="Milestone",AV$7&gt;=$F44,AV$7&lt;=$F44+$G44-1),1,""))</f>
        <v/>
      </c>
      <c r="AW44" s="14" t="str">
        <f ca="1">IF(AND($C44="Goal",AW$7&gt;=$F44,AW$7&lt;=$F44+$G44-1),2,IF(AND($C44="Milestone",AW$7&gt;=$F44,AW$7&lt;=$F44+$G44-1),1,""))</f>
        <v/>
      </c>
      <c r="AX44" s="14" t="str">
        <f ca="1">IF(AND($C44="Goal",AX$7&gt;=$F44,AX$7&lt;=$F44+$G44-1),2,IF(AND($C44="Milestone",AX$7&gt;=$F44,AX$7&lt;=$F44+$G44-1),1,""))</f>
        <v/>
      </c>
      <c r="AY44" s="14" t="str">
        <f ca="1">IF(AND($C44="Goal",AY$7&gt;=$F44,AY$7&lt;=$F44+$G44-1),2,IF(AND($C44="Milestone",AY$7&gt;=$F44,AY$7&lt;=$F44+$G44-1),1,""))</f>
        <v/>
      </c>
      <c r="AZ44" s="14" t="str">
        <f ca="1">IF(AND($C44="Goal",AZ$7&gt;=$F44,AZ$7&lt;=$F44+$G44-1),2,IF(AND($C44="Milestone",AZ$7&gt;=$F44,AZ$7&lt;=$F44+$G44-1),1,""))</f>
        <v/>
      </c>
      <c r="BA44" s="14" t="str">
        <f ca="1">IF(AND($C44="Goal",BA$7&gt;=$F44,BA$7&lt;=$F44+$G44-1),2,IF(AND($C44="Milestone",BA$7&gt;=$F44,BA$7&lt;=$F44+$G44-1),1,""))</f>
        <v/>
      </c>
      <c r="BB44" s="14" t="str">
        <f ca="1">IF(AND($C44="Goal",BB$7&gt;=$F44,BB$7&lt;=$F44+$G44-1),2,IF(AND($C44="Milestone",BB$7&gt;=$F44,BB$7&lt;=$F44+$G44-1),1,""))</f>
        <v/>
      </c>
      <c r="BC44" s="14" t="str">
        <f ca="1">IF(AND($C44="Goal",BC$7&gt;=$F44,BC$7&lt;=$F44+$G44-1),2,IF(AND($C44="Milestone",BC$7&gt;=$F44,BC$7&lt;=$F44+$G44-1),1,""))</f>
        <v/>
      </c>
      <c r="BD44" s="14" t="str">
        <f ca="1">IF(AND($C44="Goal",BD$7&gt;=$F44,BD$7&lt;=$F44+$G44-1),2,IF(AND($C44="Milestone",BD$7&gt;=$F44,BD$7&lt;=$F44+$G44-1),1,""))</f>
        <v/>
      </c>
      <c r="BE44" s="14" t="str">
        <f ca="1">IF(AND($C44="Goal",BE$7&gt;=$F44,BE$7&lt;=$F44+$G44-1),2,IF(AND($C44="Milestone",BE$7&gt;=$F44,BE$7&lt;=$F44+$G44-1),1,""))</f>
        <v/>
      </c>
      <c r="BF44" s="14" t="str">
        <f ca="1">IF(AND($C44="Goal",BF$7&gt;=$F44,BF$7&lt;=$F44+$G44-1),2,IF(AND($C44="Milestone",BF$7&gt;=$F44,BF$7&lt;=$F44+$G44-1),1,""))</f>
        <v/>
      </c>
      <c r="BG44" s="14" t="str">
        <f ca="1">IF(AND($C44="Goal",BG$7&gt;=$F44,BG$7&lt;=$F44+$G44-1),2,IF(AND($C44="Milestone",BG$7&gt;=$F44,BG$7&lt;=$F44+$G44-1),1,""))</f>
        <v/>
      </c>
      <c r="BH44" s="14" t="str">
        <f ca="1">IF(AND($C44="Goal",BH$7&gt;=$F44,BH$7&lt;=$F44+$G44-1),2,IF(AND($C44="Milestone",BH$7&gt;=$F44,BH$7&lt;=$F44+$G44-1),1,""))</f>
        <v/>
      </c>
      <c r="BI44" s="14" t="str">
        <f ca="1">IF(AND($C44="Goal",BI$7&gt;=$F44,BI$7&lt;=$F44+$G44-1),2,IF(AND($C44="Milestone",BI$7&gt;=$F44,BI$7&lt;=$F44+$G44-1),1,""))</f>
        <v/>
      </c>
      <c r="BJ44" s="14" t="str">
        <f ca="1">IF(AND($C44="Goal",BJ$7&gt;=$F44,BJ$7&lt;=$F44+$G44-1),2,IF(AND($C44="Milestone",BJ$7&gt;=$F44,BJ$7&lt;=$F44+$G44-1),1,""))</f>
        <v/>
      </c>
      <c r="BK44" s="14" t="str">
        <f ca="1">IF(AND($C44="Goal",BK$7&gt;=$F44,BK$7&lt;=$F44+$G44-1),2,IF(AND($C44="Milestone",BK$7&gt;=$F44,BK$7&lt;=$F44+$G44-1),1,""))</f>
        <v/>
      </c>
      <c r="BL44" s="14" t="str">
        <f ca="1">IF(AND($C44="Goal",BL$7&gt;=$F44,BL$7&lt;=$F44+$G44-1),2,IF(AND($C44="Milestone",BL$7&gt;=$F44,BL$7&lt;=$F44+$G44-1),1,""))</f>
        <v/>
      </c>
    </row>
    <row r="45" spans="1:65" s="1" customFormat="1" ht="40" customHeight="1" x14ac:dyDescent="0.35">
      <c r="A45" s="6"/>
      <c r="B45" s="61"/>
      <c r="C45" s="17"/>
      <c r="D45" s="17"/>
      <c r="E45" s="18"/>
      <c r="F45" s="19"/>
      <c r="G45" s="20"/>
      <c r="H45" s="17"/>
      <c r="I45" s="14" t="str">
        <f ca="1">IF(AND($C45="Goal",I$7&gt;=$F45,I$7&lt;=$F45+$G45-1),2,IF(AND($C45="Milestone",I$7&gt;=$F45,I$7&lt;=$F45+$G45-1),1,""))</f>
        <v/>
      </c>
      <c r="J45" s="14" t="str">
        <f ca="1">IF(AND($C45="Goal",J$7&gt;=$F45,J$7&lt;=$F45+$G45-1),2,IF(AND($C45="Milestone",J$7&gt;=$F45,J$7&lt;=$F45+$G45-1),1,""))</f>
        <v/>
      </c>
      <c r="K45" s="14" t="str">
        <f ca="1">IF(AND($C45="Goal",K$7&gt;=$F45,K$7&lt;=$F45+$G45-1),2,IF(AND($C45="Milestone",K$7&gt;=$F45,K$7&lt;=$F45+$G45-1),1,""))</f>
        <v/>
      </c>
      <c r="L45" s="14" t="str">
        <f ca="1">IF(AND($C45="Goal",L$7&gt;=$F45,L$7&lt;=$F45+$G45-1),2,IF(AND($C45="Milestone",L$7&gt;=$F45,L$7&lt;=$F45+$G45-1),1,""))</f>
        <v/>
      </c>
      <c r="M45" s="14" t="str">
        <f ca="1">IF(AND($C45="Goal",M$7&gt;=$F45,M$7&lt;=$F45+$G45-1),2,IF(AND($C45="Milestone",M$7&gt;=$F45,M$7&lt;=$F45+$G45-1),1,""))</f>
        <v/>
      </c>
      <c r="N45" s="14" t="str">
        <f ca="1">IF(AND($C45="Goal",N$7&gt;=$F45,N$7&lt;=$F45+$G45-1),2,IF(AND($C45="Milestone",N$7&gt;=$F45,N$7&lt;=$F45+$G45-1),1,""))</f>
        <v/>
      </c>
      <c r="O45" s="14" t="str">
        <f ca="1">IF(AND($C45="Goal",O$7&gt;=$F45,O$7&lt;=$F45+$G45-1),2,IF(AND($C45="Milestone",O$7&gt;=$F45,O$7&lt;=$F45+$G45-1),1,""))</f>
        <v/>
      </c>
      <c r="P45" s="14" t="str">
        <f ca="1">IF(AND($C45="Goal",P$7&gt;=$F45,P$7&lt;=$F45+$G45-1),2,IF(AND($C45="Milestone",P$7&gt;=$F45,P$7&lt;=$F45+$G45-1),1,""))</f>
        <v/>
      </c>
      <c r="Q45" s="14" t="str">
        <f ca="1">IF(AND($C45="Goal",Q$7&gt;=$F45,Q$7&lt;=$F45+$G45-1),2,IF(AND($C45="Milestone",Q$7&gt;=$F45,Q$7&lt;=$F45+$G45-1),1,""))</f>
        <v/>
      </c>
      <c r="R45" s="14" t="str">
        <f ca="1">IF(AND($C45="Goal",R$7&gt;=$F45,R$7&lt;=$F45+$G45-1),2,IF(AND($C45="Milestone",R$7&gt;=$F45,R$7&lt;=$F45+$G45-1),1,""))</f>
        <v/>
      </c>
      <c r="S45" s="14" t="str">
        <f ca="1">IF(AND($C45="Goal",S$7&gt;=$F45,S$7&lt;=$F45+$G45-1),2,IF(AND($C45="Milestone",S$7&gt;=$F45,S$7&lt;=$F45+$G45-1),1,""))</f>
        <v/>
      </c>
      <c r="T45" s="14" t="str">
        <f ca="1">IF(AND($C45="Goal",T$7&gt;=$F45,T$7&lt;=$F45+$G45-1),2,IF(AND($C45="Milestone",T$7&gt;=$F45,T$7&lt;=$F45+$G45-1),1,""))</f>
        <v/>
      </c>
      <c r="U45" s="14" t="str">
        <f ca="1">IF(AND($C45="Goal",U$7&gt;=$F45,U$7&lt;=$F45+$G45-1),2,IF(AND($C45="Milestone",U$7&gt;=$F45,U$7&lt;=$F45+$G45-1),1,""))</f>
        <v/>
      </c>
      <c r="V45" s="14" t="str">
        <f ca="1">IF(AND($C45="Goal",V$7&gt;=$F45,V$7&lt;=$F45+$G45-1),2,IF(AND($C45="Milestone",V$7&gt;=$F45,V$7&lt;=$F45+$G45-1),1,""))</f>
        <v/>
      </c>
      <c r="W45" s="14" t="str">
        <f ca="1">IF(AND($C45="Goal",W$7&gt;=$F45,W$7&lt;=$F45+$G45-1),2,IF(AND($C45="Milestone",W$7&gt;=$F45,W$7&lt;=$F45+$G45-1),1,""))</f>
        <v/>
      </c>
      <c r="X45" s="14" t="str">
        <f ca="1">IF(AND($C45="Goal",X$7&gt;=$F45,X$7&lt;=$F45+$G45-1),2,IF(AND($C45="Milestone",X$7&gt;=$F45,X$7&lt;=$F45+$G45-1),1,""))</f>
        <v/>
      </c>
      <c r="Y45" s="14" t="str">
        <f ca="1">IF(AND($C45="Goal",Y$7&gt;=$F45,Y$7&lt;=$F45+$G45-1),2,IF(AND($C45="Milestone",Y$7&gt;=$F45,Y$7&lt;=$F45+$G45-1),1,""))</f>
        <v/>
      </c>
      <c r="Z45" s="14" t="str">
        <f ca="1">IF(AND($C45="Goal",Z$7&gt;=$F45,Z$7&lt;=$F45+$G45-1),2,IF(AND($C45="Milestone",Z$7&gt;=$F45,Z$7&lt;=$F45+$G45-1),1,""))</f>
        <v/>
      </c>
      <c r="AA45" s="14" t="str">
        <f ca="1">IF(AND($C45="Goal",AA$7&gt;=$F45,AA$7&lt;=$F45+$G45-1),2,IF(AND($C45="Milestone",AA$7&gt;=$F45,AA$7&lt;=$F45+$G45-1),1,""))</f>
        <v/>
      </c>
      <c r="AB45" s="14" t="str">
        <f ca="1">IF(AND($C45="Goal",AB$7&gt;=$F45,AB$7&lt;=$F45+$G45-1),2,IF(AND($C45="Milestone",AB$7&gt;=$F45,AB$7&lt;=$F45+$G45-1),1,""))</f>
        <v/>
      </c>
      <c r="AC45" s="14" t="str">
        <f ca="1">IF(AND($C45="Goal",AC$7&gt;=$F45,AC$7&lt;=$F45+$G45-1),2,IF(AND($C45="Milestone",AC$7&gt;=$F45,AC$7&lt;=$F45+$G45-1),1,""))</f>
        <v/>
      </c>
      <c r="AD45" s="14" t="str">
        <f ca="1">IF(AND($C45="Goal",AD$7&gt;=$F45,AD$7&lt;=$F45+$G45-1),2,IF(AND($C45="Milestone",AD$7&gt;=$F45,AD$7&lt;=$F45+$G45-1),1,""))</f>
        <v/>
      </c>
      <c r="AE45" s="14" t="str">
        <f ca="1">IF(AND($C45="Goal",AE$7&gt;=$F45,AE$7&lt;=$F45+$G45-1),2,IF(AND($C45="Milestone",AE$7&gt;=$F45,AE$7&lt;=$F45+$G45-1),1,""))</f>
        <v/>
      </c>
      <c r="AF45" s="14" t="str">
        <f ca="1">IF(AND($C45="Goal",AF$7&gt;=$F45,AF$7&lt;=$F45+$G45-1),2,IF(AND($C45="Milestone",AF$7&gt;=$F45,AF$7&lt;=$F45+$G45-1),1,""))</f>
        <v/>
      </c>
      <c r="AG45" s="14" t="str">
        <f ca="1">IF(AND($C45="Goal",AG$7&gt;=$F45,AG$7&lt;=$F45+$G45-1),2,IF(AND($C45="Milestone",AG$7&gt;=$F45,AG$7&lt;=$F45+$G45-1),1,""))</f>
        <v/>
      </c>
      <c r="AH45" s="14" t="str">
        <f ca="1">IF(AND($C45="Goal",AH$7&gt;=$F45,AH$7&lt;=$F45+$G45-1),2,IF(AND($C45="Milestone",AH$7&gt;=$F45,AH$7&lt;=$F45+$G45-1),1,""))</f>
        <v/>
      </c>
      <c r="AI45" s="14" t="str">
        <f ca="1">IF(AND($C45="Goal",AI$7&gt;=$F45,AI$7&lt;=$F45+$G45-1),2,IF(AND($C45="Milestone",AI$7&gt;=$F45,AI$7&lt;=$F45+$G45-1),1,""))</f>
        <v/>
      </c>
      <c r="AJ45" s="14" t="str">
        <f ca="1">IF(AND($C45="Goal",AJ$7&gt;=$F45,AJ$7&lt;=$F45+$G45-1),2,IF(AND($C45="Milestone",AJ$7&gt;=$F45,AJ$7&lt;=$F45+$G45-1),1,""))</f>
        <v/>
      </c>
      <c r="AK45" s="14" t="str">
        <f ca="1">IF(AND($C45="Goal",AK$7&gt;=$F45,AK$7&lt;=$F45+$G45-1),2,IF(AND($C45="Milestone",AK$7&gt;=$F45,AK$7&lt;=$F45+$G45-1),1,""))</f>
        <v/>
      </c>
      <c r="AL45" s="14" t="str">
        <f ca="1">IF(AND($C45="Goal",AL$7&gt;=$F45,AL$7&lt;=$F45+$G45-1),2,IF(AND($C45="Milestone",AL$7&gt;=$F45,AL$7&lt;=$F45+$G45-1),1,""))</f>
        <v/>
      </c>
      <c r="AM45" s="14" t="str">
        <f ca="1">IF(AND($C45="Goal",AM$7&gt;=$F45,AM$7&lt;=$F45+$G45-1),2,IF(AND($C45="Milestone",AM$7&gt;=$F45,AM$7&lt;=$F45+$G45-1),1,""))</f>
        <v/>
      </c>
      <c r="AN45" s="14" t="str">
        <f ca="1">IF(AND($C45="Goal",AN$7&gt;=$F45,AN$7&lt;=$F45+$G45-1),2,IF(AND($C45="Milestone",AN$7&gt;=$F45,AN$7&lt;=$F45+$G45-1),1,""))</f>
        <v/>
      </c>
      <c r="AO45" s="14" t="str">
        <f ca="1">IF(AND($C45="Goal",AO$7&gt;=$F45,AO$7&lt;=$F45+$G45-1),2,IF(AND($C45="Milestone",AO$7&gt;=$F45,AO$7&lt;=$F45+$G45-1),1,""))</f>
        <v/>
      </c>
      <c r="AP45" s="14" t="str">
        <f ca="1">IF(AND($C45="Goal",AP$7&gt;=$F45,AP$7&lt;=$F45+$G45-1),2,IF(AND($C45="Milestone",AP$7&gt;=$F45,AP$7&lt;=$F45+$G45-1),1,""))</f>
        <v/>
      </c>
      <c r="AQ45" s="14" t="str">
        <f ca="1">IF(AND($C45="Goal",AQ$7&gt;=$F45,AQ$7&lt;=$F45+$G45-1),2,IF(AND($C45="Milestone",AQ$7&gt;=$F45,AQ$7&lt;=$F45+$G45-1),1,""))</f>
        <v/>
      </c>
      <c r="AR45" s="14" t="str">
        <f ca="1">IF(AND($C45="Goal",AR$7&gt;=$F45,AR$7&lt;=$F45+$G45-1),2,IF(AND($C45="Milestone",AR$7&gt;=$F45,AR$7&lt;=$F45+$G45-1),1,""))</f>
        <v/>
      </c>
      <c r="AS45" s="14" t="str">
        <f ca="1">IF(AND($C45="Goal",AS$7&gt;=$F45,AS$7&lt;=$F45+$G45-1),2,IF(AND($C45="Milestone",AS$7&gt;=$F45,AS$7&lt;=$F45+$G45-1),1,""))</f>
        <v/>
      </c>
      <c r="AT45" s="14" t="str">
        <f ca="1">IF(AND($C45="Goal",AT$7&gt;=$F45,AT$7&lt;=$F45+$G45-1),2,IF(AND($C45="Milestone",AT$7&gt;=$F45,AT$7&lt;=$F45+$G45-1),1,""))</f>
        <v/>
      </c>
      <c r="AU45" s="14" t="str">
        <f ca="1">IF(AND($C45="Goal",AU$7&gt;=$F45,AU$7&lt;=$F45+$G45-1),2,IF(AND($C45="Milestone",AU$7&gt;=$F45,AU$7&lt;=$F45+$G45-1),1,""))</f>
        <v/>
      </c>
      <c r="AV45" s="14" t="str">
        <f ca="1">IF(AND($C45="Goal",AV$7&gt;=$F45,AV$7&lt;=$F45+$G45-1),2,IF(AND($C45="Milestone",AV$7&gt;=$F45,AV$7&lt;=$F45+$G45-1),1,""))</f>
        <v/>
      </c>
      <c r="AW45" s="14" t="str">
        <f ca="1">IF(AND($C45="Goal",AW$7&gt;=$F45,AW$7&lt;=$F45+$G45-1),2,IF(AND($C45="Milestone",AW$7&gt;=$F45,AW$7&lt;=$F45+$G45-1),1,""))</f>
        <v/>
      </c>
      <c r="AX45" s="14" t="str">
        <f ca="1">IF(AND($C45="Goal",AX$7&gt;=$F45,AX$7&lt;=$F45+$G45-1),2,IF(AND($C45="Milestone",AX$7&gt;=$F45,AX$7&lt;=$F45+$G45-1),1,""))</f>
        <v/>
      </c>
      <c r="AY45" s="14" t="str">
        <f ca="1">IF(AND($C45="Goal",AY$7&gt;=$F45,AY$7&lt;=$F45+$G45-1),2,IF(AND($C45="Milestone",AY$7&gt;=$F45,AY$7&lt;=$F45+$G45-1),1,""))</f>
        <v/>
      </c>
      <c r="AZ45" s="14" t="str">
        <f ca="1">IF(AND($C45="Goal",AZ$7&gt;=$F45,AZ$7&lt;=$F45+$G45-1),2,IF(AND($C45="Milestone",AZ$7&gt;=$F45,AZ$7&lt;=$F45+$G45-1),1,""))</f>
        <v/>
      </c>
      <c r="BA45" s="14" t="str">
        <f ca="1">IF(AND($C45="Goal",BA$7&gt;=$F45,BA$7&lt;=$F45+$G45-1),2,IF(AND($C45="Milestone",BA$7&gt;=$F45,BA$7&lt;=$F45+$G45-1),1,""))</f>
        <v/>
      </c>
      <c r="BB45" s="14" t="str">
        <f ca="1">IF(AND($C45="Goal",BB$7&gt;=$F45,BB$7&lt;=$F45+$G45-1),2,IF(AND($C45="Milestone",BB$7&gt;=$F45,BB$7&lt;=$F45+$G45-1),1,""))</f>
        <v/>
      </c>
      <c r="BC45" s="14" t="str">
        <f ca="1">IF(AND($C45="Goal",BC$7&gt;=$F45,BC$7&lt;=$F45+$G45-1),2,IF(AND($C45="Milestone",BC$7&gt;=$F45,BC$7&lt;=$F45+$G45-1),1,""))</f>
        <v/>
      </c>
      <c r="BD45" s="14" t="str">
        <f ca="1">IF(AND($C45="Goal",BD$7&gt;=$F45,BD$7&lt;=$F45+$G45-1),2,IF(AND($C45="Milestone",BD$7&gt;=$F45,BD$7&lt;=$F45+$G45-1),1,""))</f>
        <v/>
      </c>
      <c r="BE45" s="14" t="str">
        <f ca="1">IF(AND($C45="Goal",BE$7&gt;=$F45,BE$7&lt;=$F45+$G45-1),2,IF(AND($C45="Milestone",BE$7&gt;=$F45,BE$7&lt;=$F45+$G45-1),1,""))</f>
        <v/>
      </c>
      <c r="BF45" s="14" t="str">
        <f ca="1">IF(AND($C45="Goal",BF$7&gt;=$F45,BF$7&lt;=$F45+$G45-1),2,IF(AND($C45="Milestone",BF$7&gt;=$F45,BF$7&lt;=$F45+$G45-1),1,""))</f>
        <v/>
      </c>
      <c r="BG45" s="14" t="str">
        <f ca="1">IF(AND($C45="Goal",BG$7&gt;=$F45,BG$7&lt;=$F45+$G45-1),2,IF(AND($C45="Milestone",BG$7&gt;=$F45,BG$7&lt;=$F45+$G45-1),1,""))</f>
        <v/>
      </c>
      <c r="BH45" s="14" t="str">
        <f ca="1">IF(AND($C45="Goal",BH$7&gt;=$F45,BH$7&lt;=$F45+$G45-1),2,IF(AND($C45="Milestone",BH$7&gt;=$F45,BH$7&lt;=$F45+$G45-1),1,""))</f>
        <v/>
      </c>
      <c r="BI45" s="14" t="str">
        <f ca="1">IF(AND($C45="Goal",BI$7&gt;=$F45,BI$7&lt;=$F45+$G45-1),2,IF(AND($C45="Milestone",BI$7&gt;=$F45,BI$7&lt;=$F45+$G45-1),1,""))</f>
        <v/>
      </c>
      <c r="BJ45" s="14" t="str">
        <f ca="1">IF(AND($C45="Goal",BJ$7&gt;=$F45,BJ$7&lt;=$F45+$G45-1),2,IF(AND($C45="Milestone",BJ$7&gt;=$F45,BJ$7&lt;=$F45+$G45-1),1,""))</f>
        <v/>
      </c>
      <c r="BK45" s="14" t="str">
        <f ca="1">IF(AND($C45="Goal",BK$7&gt;=$F45,BK$7&lt;=$F45+$G45-1),2,IF(AND($C45="Milestone",BK$7&gt;=$F45,BK$7&lt;=$F45+$G45-1),1,""))</f>
        <v/>
      </c>
      <c r="BL45" s="14" t="str">
        <f ca="1">IF(AND($C45="Goal",BL$7&gt;=$F45,BL$7&lt;=$F45+$G45-1),2,IF(AND($C45="Milestone",BL$7&gt;=$F45,BL$7&lt;=$F45+$G45-1),1,""))</f>
        <v/>
      </c>
    </row>
    <row r="46" spans="1:65" s="1" customFormat="1" ht="40" customHeight="1" x14ac:dyDescent="0.35">
      <c r="A46" s="6"/>
      <c r="B46" s="61"/>
      <c r="C46" s="17"/>
      <c r="D46" s="17"/>
      <c r="E46" s="18"/>
      <c r="F46" s="19"/>
      <c r="G46" s="20"/>
      <c r="H46" s="17"/>
      <c r="I46" s="14" t="str">
        <f ca="1">IF(AND($C46="Goal",I$7&gt;=$F46,I$7&lt;=$F46+$G46-1),2,IF(AND($C46="Milestone",I$7&gt;=$F46,I$7&lt;=$F46+$G46-1),1,""))</f>
        <v/>
      </c>
      <c r="J46" s="14" t="str">
        <f ca="1">IF(AND($C46="Goal",J$7&gt;=$F46,J$7&lt;=$F46+$G46-1),2,IF(AND($C46="Milestone",J$7&gt;=$F46,J$7&lt;=$F46+$G46-1),1,""))</f>
        <v/>
      </c>
      <c r="K46" s="14" t="str">
        <f ca="1">IF(AND($C46="Goal",K$7&gt;=$F46,K$7&lt;=$F46+$G46-1),2,IF(AND($C46="Milestone",K$7&gt;=$F46,K$7&lt;=$F46+$G46-1),1,""))</f>
        <v/>
      </c>
      <c r="L46" s="14" t="str">
        <f ca="1">IF(AND($C46="Goal",L$7&gt;=$F46,L$7&lt;=$F46+$G46-1),2,IF(AND($C46="Milestone",L$7&gt;=$F46,L$7&lt;=$F46+$G46-1),1,""))</f>
        <v/>
      </c>
      <c r="M46" s="14" t="str">
        <f ca="1">IF(AND($C46="Goal",M$7&gt;=$F46,M$7&lt;=$F46+$G46-1),2,IF(AND($C46="Milestone",M$7&gt;=$F46,M$7&lt;=$F46+$G46-1),1,""))</f>
        <v/>
      </c>
      <c r="N46" s="14" t="str">
        <f ca="1">IF(AND($C46="Goal",N$7&gt;=$F46,N$7&lt;=$F46+$G46-1),2,IF(AND($C46="Milestone",N$7&gt;=$F46,N$7&lt;=$F46+$G46-1),1,""))</f>
        <v/>
      </c>
      <c r="O46" s="14" t="str">
        <f ca="1">IF(AND($C46="Goal",O$7&gt;=$F46,O$7&lt;=$F46+$G46-1),2,IF(AND($C46="Milestone",O$7&gt;=$F46,O$7&lt;=$F46+$G46-1),1,""))</f>
        <v/>
      </c>
      <c r="P46" s="14" t="str">
        <f ca="1">IF(AND($C46="Goal",P$7&gt;=$F46,P$7&lt;=$F46+$G46-1),2,IF(AND($C46="Milestone",P$7&gt;=$F46,P$7&lt;=$F46+$G46-1),1,""))</f>
        <v/>
      </c>
      <c r="Q46" s="14" t="str">
        <f ca="1">IF(AND($C46="Goal",Q$7&gt;=$F46,Q$7&lt;=$F46+$G46-1),2,IF(AND($C46="Milestone",Q$7&gt;=$F46,Q$7&lt;=$F46+$G46-1),1,""))</f>
        <v/>
      </c>
      <c r="R46" s="14" t="str">
        <f ca="1">IF(AND($C46="Goal",R$7&gt;=$F46,R$7&lt;=$F46+$G46-1),2,IF(AND($C46="Milestone",R$7&gt;=$F46,R$7&lt;=$F46+$G46-1),1,""))</f>
        <v/>
      </c>
      <c r="S46" s="14" t="str">
        <f ca="1">IF(AND($C46="Goal",S$7&gt;=$F46,S$7&lt;=$F46+$G46-1),2,IF(AND($C46="Milestone",S$7&gt;=$F46,S$7&lt;=$F46+$G46-1),1,""))</f>
        <v/>
      </c>
      <c r="T46" s="14" t="str">
        <f ca="1">IF(AND($C46="Goal",T$7&gt;=$F46,T$7&lt;=$F46+$G46-1),2,IF(AND($C46="Milestone",T$7&gt;=$F46,T$7&lt;=$F46+$G46-1),1,""))</f>
        <v/>
      </c>
      <c r="U46" s="14" t="str">
        <f ca="1">IF(AND($C46="Goal",U$7&gt;=$F46,U$7&lt;=$F46+$G46-1),2,IF(AND($C46="Milestone",U$7&gt;=$F46,U$7&lt;=$F46+$G46-1),1,""))</f>
        <v/>
      </c>
      <c r="V46" s="14" t="str">
        <f ca="1">IF(AND($C46="Goal",V$7&gt;=$F46,V$7&lt;=$F46+$G46-1),2,IF(AND($C46="Milestone",V$7&gt;=$F46,V$7&lt;=$F46+$G46-1),1,""))</f>
        <v/>
      </c>
      <c r="W46" s="14" t="str">
        <f ca="1">IF(AND($C46="Goal",W$7&gt;=$F46,W$7&lt;=$F46+$G46-1),2,IF(AND($C46="Milestone",W$7&gt;=$F46,W$7&lt;=$F46+$G46-1),1,""))</f>
        <v/>
      </c>
      <c r="X46" s="14" t="str">
        <f ca="1">IF(AND($C46="Goal",X$7&gt;=$F46,X$7&lt;=$F46+$G46-1),2,IF(AND($C46="Milestone",X$7&gt;=$F46,X$7&lt;=$F46+$G46-1),1,""))</f>
        <v/>
      </c>
      <c r="Y46" s="14" t="str">
        <f ca="1">IF(AND($C46="Goal",Y$7&gt;=$F46,Y$7&lt;=$F46+$G46-1),2,IF(AND($C46="Milestone",Y$7&gt;=$F46,Y$7&lt;=$F46+$G46-1),1,""))</f>
        <v/>
      </c>
      <c r="Z46" s="14" t="str">
        <f ca="1">IF(AND($C46="Goal",Z$7&gt;=$F46,Z$7&lt;=$F46+$G46-1),2,IF(AND($C46="Milestone",Z$7&gt;=$F46,Z$7&lt;=$F46+$G46-1),1,""))</f>
        <v/>
      </c>
      <c r="AA46" s="14" t="str">
        <f ca="1">IF(AND($C46="Goal",AA$7&gt;=$F46,AA$7&lt;=$F46+$G46-1),2,IF(AND($C46="Milestone",AA$7&gt;=$F46,AA$7&lt;=$F46+$G46-1),1,""))</f>
        <v/>
      </c>
      <c r="AB46" s="14" t="str">
        <f ca="1">IF(AND($C46="Goal",AB$7&gt;=$F46,AB$7&lt;=$F46+$G46-1),2,IF(AND($C46="Milestone",AB$7&gt;=$F46,AB$7&lt;=$F46+$G46-1),1,""))</f>
        <v/>
      </c>
      <c r="AC46" s="14" t="str">
        <f ca="1">IF(AND($C46="Goal",AC$7&gt;=$F46,AC$7&lt;=$F46+$G46-1),2,IF(AND($C46="Milestone",AC$7&gt;=$F46,AC$7&lt;=$F46+$G46-1),1,""))</f>
        <v/>
      </c>
      <c r="AD46" s="14" t="str">
        <f ca="1">IF(AND($C46="Goal",AD$7&gt;=$F46,AD$7&lt;=$F46+$G46-1),2,IF(AND($C46="Milestone",AD$7&gt;=$F46,AD$7&lt;=$F46+$G46-1),1,""))</f>
        <v/>
      </c>
      <c r="AE46" s="14" t="str">
        <f ca="1">IF(AND($C46="Goal",AE$7&gt;=$F46,AE$7&lt;=$F46+$G46-1),2,IF(AND($C46="Milestone",AE$7&gt;=$F46,AE$7&lt;=$F46+$G46-1),1,""))</f>
        <v/>
      </c>
      <c r="AF46" s="14" t="str">
        <f ca="1">IF(AND($C46="Goal",AF$7&gt;=$F46,AF$7&lt;=$F46+$G46-1),2,IF(AND($C46="Milestone",AF$7&gt;=$F46,AF$7&lt;=$F46+$G46-1),1,""))</f>
        <v/>
      </c>
      <c r="AG46" s="14" t="str">
        <f ca="1">IF(AND($C46="Goal",AG$7&gt;=$F46,AG$7&lt;=$F46+$G46-1),2,IF(AND($C46="Milestone",AG$7&gt;=$F46,AG$7&lt;=$F46+$G46-1),1,""))</f>
        <v/>
      </c>
      <c r="AH46" s="14" t="str">
        <f ca="1">IF(AND($C46="Goal",AH$7&gt;=$F46,AH$7&lt;=$F46+$G46-1),2,IF(AND($C46="Milestone",AH$7&gt;=$F46,AH$7&lt;=$F46+$G46-1),1,""))</f>
        <v/>
      </c>
      <c r="AI46" s="14" t="str">
        <f ca="1">IF(AND($C46="Goal",AI$7&gt;=$F46,AI$7&lt;=$F46+$G46-1),2,IF(AND($C46="Milestone",AI$7&gt;=$F46,AI$7&lt;=$F46+$G46-1),1,""))</f>
        <v/>
      </c>
      <c r="AJ46" s="14" t="str">
        <f ca="1">IF(AND($C46="Goal",AJ$7&gt;=$F46,AJ$7&lt;=$F46+$G46-1),2,IF(AND($C46="Milestone",AJ$7&gt;=$F46,AJ$7&lt;=$F46+$G46-1),1,""))</f>
        <v/>
      </c>
      <c r="AK46" s="14" t="str">
        <f ca="1">IF(AND($C46="Goal",AK$7&gt;=$F46,AK$7&lt;=$F46+$G46-1),2,IF(AND($C46="Milestone",AK$7&gt;=$F46,AK$7&lt;=$F46+$G46-1),1,""))</f>
        <v/>
      </c>
      <c r="AL46" s="14" t="str">
        <f ca="1">IF(AND($C46="Goal",AL$7&gt;=$F46,AL$7&lt;=$F46+$G46-1),2,IF(AND($C46="Milestone",AL$7&gt;=$F46,AL$7&lt;=$F46+$G46-1),1,""))</f>
        <v/>
      </c>
      <c r="AM46" s="14" t="str">
        <f ca="1">IF(AND($C46="Goal",AM$7&gt;=$F46,AM$7&lt;=$F46+$G46-1),2,IF(AND($C46="Milestone",AM$7&gt;=$F46,AM$7&lt;=$F46+$G46-1),1,""))</f>
        <v/>
      </c>
      <c r="AN46" s="14" t="str">
        <f ca="1">IF(AND($C46="Goal",AN$7&gt;=$F46,AN$7&lt;=$F46+$G46-1),2,IF(AND($C46="Milestone",AN$7&gt;=$F46,AN$7&lt;=$F46+$G46-1),1,""))</f>
        <v/>
      </c>
      <c r="AO46" s="14" t="str">
        <f ca="1">IF(AND($C46="Goal",AO$7&gt;=$F46,AO$7&lt;=$F46+$G46-1),2,IF(AND($C46="Milestone",AO$7&gt;=$F46,AO$7&lt;=$F46+$G46-1),1,""))</f>
        <v/>
      </c>
      <c r="AP46" s="14" t="str">
        <f ca="1">IF(AND($C46="Goal",AP$7&gt;=$F46,AP$7&lt;=$F46+$G46-1),2,IF(AND($C46="Milestone",AP$7&gt;=$F46,AP$7&lt;=$F46+$G46-1),1,""))</f>
        <v/>
      </c>
      <c r="AQ46" s="14" t="str">
        <f ca="1">IF(AND($C46="Goal",AQ$7&gt;=$F46,AQ$7&lt;=$F46+$G46-1),2,IF(AND($C46="Milestone",AQ$7&gt;=$F46,AQ$7&lt;=$F46+$G46-1),1,""))</f>
        <v/>
      </c>
      <c r="AR46" s="14" t="str">
        <f ca="1">IF(AND($C46="Goal",AR$7&gt;=$F46,AR$7&lt;=$F46+$G46-1),2,IF(AND($C46="Milestone",AR$7&gt;=$F46,AR$7&lt;=$F46+$G46-1),1,""))</f>
        <v/>
      </c>
      <c r="AS46" s="14" t="str">
        <f ca="1">IF(AND($C46="Goal",AS$7&gt;=$F46,AS$7&lt;=$F46+$G46-1),2,IF(AND($C46="Milestone",AS$7&gt;=$F46,AS$7&lt;=$F46+$G46-1),1,""))</f>
        <v/>
      </c>
      <c r="AT46" s="14" t="str">
        <f ca="1">IF(AND($C46="Goal",AT$7&gt;=$F46,AT$7&lt;=$F46+$G46-1),2,IF(AND($C46="Milestone",AT$7&gt;=$F46,AT$7&lt;=$F46+$G46-1),1,""))</f>
        <v/>
      </c>
      <c r="AU46" s="14" t="str">
        <f ca="1">IF(AND($C46="Goal",AU$7&gt;=$F46,AU$7&lt;=$F46+$G46-1),2,IF(AND($C46="Milestone",AU$7&gt;=$F46,AU$7&lt;=$F46+$G46-1),1,""))</f>
        <v/>
      </c>
      <c r="AV46" s="14" t="str">
        <f ca="1">IF(AND($C46="Goal",AV$7&gt;=$F46,AV$7&lt;=$F46+$G46-1),2,IF(AND($C46="Milestone",AV$7&gt;=$F46,AV$7&lt;=$F46+$G46-1),1,""))</f>
        <v/>
      </c>
      <c r="AW46" s="14" t="str">
        <f ca="1">IF(AND($C46="Goal",AW$7&gt;=$F46,AW$7&lt;=$F46+$G46-1),2,IF(AND($C46="Milestone",AW$7&gt;=$F46,AW$7&lt;=$F46+$G46-1),1,""))</f>
        <v/>
      </c>
      <c r="AX46" s="14" t="str">
        <f ca="1">IF(AND($C46="Goal",AX$7&gt;=$F46,AX$7&lt;=$F46+$G46-1),2,IF(AND($C46="Milestone",AX$7&gt;=$F46,AX$7&lt;=$F46+$G46-1),1,""))</f>
        <v/>
      </c>
      <c r="AY46" s="14" t="str">
        <f ca="1">IF(AND($C46="Goal",AY$7&gt;=$F46,AY$7&lt;=$F46+$G46-1),2,IF(AND($C46="Milestone",AY$7&gt;=$F46,AY$7&lt;=$F46+$G46-1),1,""))</f>
        <v/>
      </c>
      <c r="AZ46" s="14" t="str">
        <f ca="1">IF(AND($C46="Goal",AZ$7&gt;=$F46,AZ$7&lt;=$F46+$G46-1),2,IF(AND($C46="Milestone",AZ$7&gt;=$F46,AZ$7&lt;=$F46+$G46-1),1,""))</f>
        <v/>
      </c>
      <c r="BA46" s="14" t="str">
        <f ca="1">IF(AND($C46="Goal",BA$7&gt;=$F46,BA$7&lt;=$F46+$G46-1),2,IF(AND($C46="Milestone",BA$7&gt;=$F46,BA$7&lt;=$F46+$G46-1),1,""))</f>
        <v/>
      </c>
      <c r="BB46" s="14" t="str">
        <f ca="1">IF(AND($C46="Goal",BB$7&gt;=$F46,BB$7&lt;=$F46+$G46-1),2,IF(AND($C46="Milestone",BB$7&gt;=$F46,BB$7&lt;=$F46+$G46-1),1,""))</f>
        <v/>
      </c>
      <c r="BC46" s="14" t="str">
        <f ca="1">IF(AND($C46="Goal",BC$7&gt;=$F46,BC$7&lt;=$F46+$G46-1),2,IF(AND($C46="Milestone",BC$7&gt;=$F46,BC$7&lt;=$F46+$G46-1),1,""))</f>
        <v/>
      </c>
      <c r="BD46" s="14" t="str">
        <f ca="1">IF(AND($C46="Goal",BD$7&gt;=$F46,BD$7&lt;=$F46+$G46-1),2,IF(AND($C46="Milestone",BD$7&gt;=$F46,BD$7&lt;=$F46+$G46-1),1,""))</f>
        <v/>
      </c>
      <c r="BE46" s="14" t="str">
        <f ca="1">IF(AND($C46="Goal",BE$7&gt;=$F46,BE$7&lt;=$F46+$G46-1),2,IF(AND($C46="Milestone",BE$7&gt;=$F46,BE$7&lt;=$F46+$G46-1),1,""))</f>
        <v/>
      </c>
      <c r="BF46" s="14" t="str">
        <f ca="1">IF(AND($C46="Goal",BF$7&gt;=$F46,BF$7&lt;=$F46+$G46-1),2,IF(AND($C46="Milestone",BF$7&gt;=$F46,BF$7&lt;=$F46+$G46-1),1,""))</f>
        <v/>
      </c>
      <c r="BG46" s="14" t="str">
        <f ca="1">IF(AND($C46="Goal",BG$7&gt;=$F46,BG$7&lt;=$F46+$G46-1),2,IF(AND($C46="Milestone",BG$7&gt;=$F46,BG$7&lt;=$F46+$G46-1),1,""))</f>
        <v/>
      </c>
      <c r="BH46" s="14" t="str">
        <f ca="1">IF(AND($C46="Goal",BH$7&gt;=$F46,BH$7&lt;=$F46+$G46-1),2,IF(AND($C46="Milestone",BH$7&gt;=$F46,BH$7&lt;=$F46+$G46-1),1,""))</f>
        <v/>
      </c>
      <c r="BI46" s="14" t="str">
        <f ca="1">IF(AND($C46="Goal",BI$7&gt;=$F46,BI$7&lt;=$F46+$G46-1),2,IF(AND($C46="Milestone",BI$7&gt;=$F46,BI$7&lt;=$F46+$G46-1),1,""))</f>
        <v/>
      </c>
      <c r="BJ46" s="14" t="str">
        <f ca="1">IF(AND($C46="Goal",BJ$7&gt;=$F46,BJ$7&lt;=$F46+$G46-1),2,IF(AND($C46="Milestone",BJ$7&gt;=$F46,BJ$7&lt;=$F46+$G46-1),1,""))</f>
        <v/>
      </c>
      <c r="BK46" s="14" t="str">
        <f ca="1">IF(AND($C46="Goal",BK$7&gt;=$F46,BK$7&lt;=$F46+$G46-1),2,IF(AND($C46="Milestone",BK$7&gt;=$F46,BK$7&lt;=$F46+$G46-1),1,""))</f>
        <v/>
      </c>
      <c r="BL46" s="14" t="str">
        <f ca="1">IF(AND($C46="Goal",BL$7&gt;=$F46,BL$7&lt;=$F46+$G46-1),2,IF(AND($C46="Milestone",BL$7&gt;=$F46,BL$7&lt;=$F46+$G46-1),1,""))</f>
        <v/>
      </c>
    </row>
    <row r="47" spans="1:65" s="1" customFormat="1" ht="40" customHeight="1" x14ac:dyDescent="0.35">
      <c r="A47" s="6"/>
      <c r="B47" s="21"/>
      <c r="C47" s="17"/>
      <c r="D47" s="17"/>
      <c r="E47" s="18"/>
      <c r="F47" s="19"/>
      <c r="G47" s="20"/>
      <c r="H47" s="17"/>
      <c r="I47" s="14" t="str">
        <f ca="1">IF(AND($C47="Goal",I$7&gt;=$F47,I$7&lt;=$F47+$G47-1),2,IF(AND($C47="Milestone",I$7&gt;=$F47,I$7&lt;=$F47+$G47-1),1,""))</f>
        <v/>
      </c>
      <c r="J47" s="14" t="str">
        <f ca="1">IF(AND($C47="Goal",J$7&gt;=$F47,J$7&lt;=$F47+$G47-1),2,IF(AND($C47="Milestone",J$7&gt;=$F47,J$7&lt;=$F47+$G47-1),1,""))</f>
        <v/>
      </c>
      <c r="K47" s="14" t="str">
        <f ca="1">IF(AND($C47="Goal",K$7&gt;=$F47,K$7&lt;=$F47+$G47-1),2,IF(AND($C47="Milestone",K$7&gt;=$F47,K$7&lt;=$F47+$G47-1),1,""))</f>
        <v/>
      </c>
      <c r="L47" s="14" t="str">
        <f ca="1">IF(AND($C47="Goal",L$7&gt;=$F47,L$7&lt;=$F47+$G47-1),2,IF(AND($C47="Milestone",L$7&gt;=$F47,L$7&lt;=$F47+$G47-1),1,""))</f>
        <v/>
      </c>
      <c r="M47" s="14" t="str">
        <f ca="1">IF(AND($C47="Goal",M$7&gt;=$F47,M$7&lt;=$F47+$G47-1),2,IF(AND($C47="Milestone",M$7&gt;=$F47,M$7&lt;=$F47+$G47-1),1,""))</f>
        <v/>
      </c>
      <c r="N47" s="14" t="str">
        <f ca="1">IF(AND($C47="Goal",N$7&gt;=$F47,N$7&lt;=$F47+$G47-1),2,IF(AND($C47="Milestone",N$7&gt;=$F47,N$7&lt;=$F47+$G47-1),1,""))</f>
        <v/>
      </c>
      <c r="O47" s="14" t="str">
        <f ca="1">IF(AND($C47="Goal",O$7&gt;=$F47,O$7&lt;=$F47+$G47-1),2,IF(AND($C47="Milestone",O$7&gt;=$F47,O$7&lt;=$F47+$G47-1),1,""))</f>
        <v/>
      </c>
      <c r="P47" s="14" t="str">
        <f ca="1">IF(AND($C47="Goal",P$7&gt;=$F47,P$7&lt;=$F47+$G47-1),2,IF(AND($C47="Milestone",P$7&gt;=$F47,P$7&lt;=$F47+$G47-1),1,""))</f>
        <v/>
      </c>
      <c r="Q47" s="14" t="str">
        <f ca="1">IF(AND($C47="Goal",Q$7&gt;=$F47,Q$7&lt;=$F47+$G47-1),2,IF(AND($C47="Milestone",Q$7&gt;=$F47,Q$7&lt;=$F47+$G47-1),1,""))</f>
        <v/>
      </c>
      <c r="R47" s="14" t="str">
        <f ca="1">IF(AND($C47="Goal",R$7&gt;=$F47,R$7&lt;=$F47+$G47-1),2,IF(AND($C47="Milestone",R$7&gt;=$F47,R$7&lt;=$F47+$G47-1),1,""))</f>
        <v/>
      </c>
      <c r="S47" s="14" t="str">
        <f ca="1">IF(AND($C47="Goal",S$7&gt;=$F47,S$7&lt;=$F47+$G47-1),2,IF(AND($C47="Milestone",S$7&gt;=$F47,S$7&lt;=$F47+$G47-1),1,""))</f>
        <v/>
      </c>
      <c r="T47" s="14" t="str">
        <f ca="1">IF(AND($C47="Goal",T$7&gt;=$F47,T$7&lt;=$F47+$G47-1),2,IF(AND($C47="Milestone",T$7&gt;=$F47,T$7&lt;=$F47+$G47-1),1,""))</f>
        <v/>
      </c>
      <c r="U47" s="14" t="str">
        <f ca="1">IF(AND($C47="Goal",U$7&gt;=$F47,U$7&lt;=$F47+$G47-1),2,IF(AND($C47="Milestone",U$7&gt;=$F47,U$7&lt;=$F47+$G47-1),1,""))</f>
        <v/>
      </c>
      <c r="V47" s="14" t="str">
        <f ca="1">IF(AND($C47="Goal",V$7&gt;=$F47,V$7&lt;=$F47+$G47-1),2,IF(AND($C47="Milestone",V$7&gt;=$F47,V$7&lt;=$F47+$G47-1),1,""))</f>
        <v/>
      </c>
      <c r="W47" s="14" t="str">
        <f ca="1">IF(AND($C47="Goal",W$7&gt;=$F47,W$7&lt;=$F47+$G47-1),2,IF(AND($C47="Milestone",W$7&gt;=$F47,W$7&lt;=$F47+$G47-1),1,""))</f>
        <v/>
      </c>
      <c r="X47" s="14" t="str">
        <f ca="1">IF(AND($C47="Goal",X$7&gt;=$F47,X$7&lt;=$F47+$G47-1),2,IF(AND($C47="Milestone",X$7&gt;=$F47,X$7&lt;=$F47+$G47-1),1,""))</f>
        <v/>
      </c>
      <c r="Y47" s="14" t="str">
        <f ca="1">IF(AND($C47="Goal",Y$7&gt;=$F47,Y$7&lt;=$F47+$G47-1),2,IF(AND($C47="Milestone",Y$7&gt;=$F47,Y$7&lt;=$F47+$G47-1),1,""))</f>
        <v/>
      </c>
      <c r="Z47" s="14" t="str">
        <f ca="1">IF(AND($C47="Goal",Z$7&gt;=$F47,Z$7&lt;=$F47+$G47-1),2,IF(AND($C47="Milestone",Z$7&gt;=$F47,Z$7&lt;=$F47+$G47-1),1,""))</f>
        <v/>
      </c>
      <c r="AA47" s="14" t="str">
        <f ca="1">IF(AND($C47="Goal",AA$7&gt;=$F47,AA$7&lt;=$F47+$G47-1),2,IF(AND($C47="Milestone",AA$7&gt;=$F47,AA$7&lt;=$F47+$G47-1),1,""))</f>
        <v/>
      </c>
      <c r="AB47" s="14" t="str">
        <f ca="1">IF(AND($C47="Goal",AB$7&gt;=$F47,AB$7&lt;=$F47+$G47-1),2,IF(AND($C47="Milestone",AB$7&gt;=$F47,AB$7&lt;=$F47+$G47-1),1,""))</f>
        <v/>
      </c>
      <c r="AC47" s="14" t="str">
        <f ca="1">IF(AND($C47="Goal",AC$7&gt;=$F47,AC$7&lt;=$F47+$G47-1),2,IF(AND($C47="Milestone",AC$7&gt;=$F47,AC$7&lt;=$F47+$G47-1),1,""))</f>
        <v/>
      </c>
      <c r="AD47" s="14" t="str">
        <f ca="1">IF(AND($C47="Goal",AD$7&gt;=$F47,AD$7&lt;=$F47+$G47-1),2,IF(AND($C47="Milestone",AD$7&gt;=$F47,AD$7&lt;=$F47+$G47-1),1,""))</f>
        <v/>
      </c>
      <c r="AE47" s="14" t="str">
        <f ca="1">IF(AND($C47="Goal",AE$7&gt;=$F47,AE$7&lt;=$F47+$G47-1),2,IF(AND($C47="Milestone",AE$7&gt;=$F47,AE$7&lt;=$F47+$G47-1),1,""))</f>
        <v/>
      </c>
      <c r="AF47" s="14" t="str">
        <f ca="1">IF(AND($C47="Goal",AF$7&gt;=$F47,AF$7&lt;=$F47+$G47-1),2,IF(AND($C47="Milestone",AF$7&gt;=$F47,AF$7&lt;=$F47+$G47-1),1,""))</f>
        <v/>
      </c>
      <c r="AG47" s="14" t="str">
        <f ca="1">IF(AND($C47="Goal",AG$7&gt;=$F47,AG$7&lt;=$F47+$G47-1),2,IF(AND($C47="Milestone",AG$7&gt;=$F47,AG$7&lt;=$F47+$G47-1),1,""))</f>
        <v/>
      </c>
      <c r="AH47" s="14" t="str">
        <f ca="1">IF(AND($C47="Goal",AH$7&gt;=$F47,AH$7&lt;=$F47+$G47-1),2,IF(AND($C47="Milestone",AH$7&gt;=$F47,AH$7&lt;=$F47+$G47-1),1,""))</f>
        <v/>
      </c>
      <c r="AI47" s="14" t="str">
        <f ca="1">IF(AND($C47="Goal",AI$7&gt;=$F47,AI$7&lt;=$F47+$G47-1),2,IF(AND($C47="Milestone",AI$7&gt;=$F47,AI$7&lt;=$F47+$G47-1),1,""))</f>
        <v/>
      </c>
      <c r="AJ47" s="14" t="str">
        <f ca="1">IF(AND($C47="Goal",AJ$7&gt;=$F47,AJ$7&lt;=$F47+$G47-1),2,IF(AND($C47="Milestone",AJ$7&gt;=$F47,AJ$7&lt;=$F47+$G47-1),1,""))</f>
        <v/>
      </c>
      <c r="AK47" s="14" t="str">
        <f ca="1">IF(AND($C47="Goal",AK$7&gt;=$F47,AK$7&lt;=$F47+$G47-1),2,IF(AND($C47="Milestone",AK$7&gt;=$F47,AK$7&lt;=$F47+$G47-1),1,""))</f>
        <v/>
      </c>
      <c r="AL47" s="14" t="str">
        <f ca="1">IF(AND($C47="Goal",AL$7&gt;=$F47,AL$7&lt;=$F47+$G47-1),2,IF(AND($C47="Milestone",AL$7&gt;=$F47,AL$7&lt;=$F47+$G47-1),1,""))</f>
        <v/>
      </c>
      <c r="AM47" s="14" t="str">
        <f ca="1">IF(AND($C47="Goal",AM$7&gt;=$F47,AM$7&lt;=$F47+$G47-1),2,IF(AND($C47="Milestone",AM$7&gt;=$F47,AM$7&lt;=$F47+$G47-1),1,""))</f>
        <v/>
      </c>
      <c r="AN47" s="14" t="str">
        <f ca="1">IF(AND($C47="Goal",AN$7&gt;=$F47,AN$7&lt;=$F47+$G47-1),2,IF(AND($C47="Milestone",AN$7&gt;=$F47,AN$7&lt;=$F47+$G47-1),1,""))</f>
        <v/>
      </c>
      <c r="AO47" s="14" t="str">
        <f ca="1">IF(AND($C47="Goal",AO$7&gt;=$F47,AO$7&lt;=$F47+$G47-1),2,IF(AND($C47="Milestone",AO$7&gt;=$F47,AO$7&lt;=$F47+$G47-1),1,""))</f>
        <v/>
      </c>
      <c r="AP47" s="14" t="str">
        <f ca="1">IF(AND($C47="Goal",AP$7&gt;=$F47,AP$7&lt;=$F47+$G47-1),2,IF(AND($C47="Milestone",AP$7&gt;=$F47,AP$7&lt;=$F47+$G47-1),1,""))</f>
        <v/>
      </c>
      <c r="AQ47" s="14" t="str">
        <f ca="1">IF(AND($C47="Goal",AQ$7&gt;=$F47,AQ$7&lt;=$F47+$G47-1),2,IF(AND($C47="Milestone",AQ$7&gt;=$F47,AQ$7&lt;=$F47+$G47-1),1,""))</f>
        <v/>
      </c>
      <c r="AR47" s="14" t="str">
        <f ca="1">IF(AND($C47="Goal",AR$7&gt;=$F47,AR$7&lt;=$F47+$G47-1),2,IF(AND($C47="Milestone",AR$7&gt;=$F47,AR$7&lt;=$F47+$G47-1),1,""))</f>
        <v/>
      </c>
      <c r="AS47" s="14" t="str">
        <f ca="1">IF(AND($C47="Goal",AS$7&gt;=$F47,AS$7&lt;=$F47+$G47-1),2,IF(AND($C47="Milestone",AS$7&gt;=$F47,AS$7&lt;=$F47+$G47-1),1,""))</f>
        <v/>
      </c>
      <c r="AT47" s="14" t="str">
        <f ca="1">IF(AND($C47="Goal",AT$7&gt;=$F47,AT$7&lt;=$F47+$G47-1),2,IF(AND($C47="Milestone",AT$7&gt;=$F47,AT$7&lt;=$F47+$G47-1),1,""))</f>
        <v/>
      </c>
      <c r="AU47" s="14" t="str">
        <f ca="1">IF(AND($C47="Goal",AU$7&gt;=$F47,AU$7&lt;=$F47+$G47-1),2,IF(AND($C47="Milestone",AU$7&gt;=$F47,AU$7&lt;=$F47+$G47-1),1,""))</f>
        <v/>
      </c>
      <c r="AV47" s="14" t="str">
        <f ca="1">IF(AND($C47="Goal",AV$7&gt;=$F47,AV$7&lt;=$F47+$G47-1),2,IF(AND($C47="Milestone",AV$7&gt;=$F47,AV$7&lt;=$F47+$G47-1),1,""))</f>
        <v/>
      </c>
      <c r="AW47" s="14" t="str">
        <f ca="1">IF(AND($C47="Goal",AW$7&gt;=$F47,AW$7&lt;=$F47+$G47-1),2,IF(AND($C47="Milestone",AW$7&gt;=$F47,AW$7&lt;=$F47+$G47-1),1,""))</f>
        <v/>
      </c>
      <c r="AX47" s="14" t="str">
        <f ca="1">IF(AND($C47="Goal",AX$7&gt;=$F47,AX$7&lt;=$F47+$G47-1),2,IF(AND($C47="Milestone",AX$7&gt;=$F47,AX$7&lt;=$F47+$G47-1),1,""))</f>
        <v/>
      </c>
      <c r="AY47" s="14" t="str">
        <f ca="1">IF(AND($C47="Goal",AY$7&gt;=$F47,AY$7&lt;=$F47+$G47-1),2,IF(AND($C47="Milestone",AY$7&gt;=$F47,AY$7&lt;=$F47+$G47-1),1,""))</f>
        <v/>
      </c>
      <c r="AZ47" s="14" t="str">
        <f ca="1">IF(AND($C47="Goal",AZ$7&gt;=$F47,AZ$7&lt;=$F47+$G47-1),2,IF(AND($C47="Milestone",AZ$7&gt;=$F47,AZ$7&lt;=$F47+$G47-1),1,""))</f>
        <v/>
      </c>
      <c r="BA47" s="14" t="str">
        <f ca="1">IF(AND($C47="Goal",BA$7&gt;=$F47,BA$7&lt;=$F47+$G47-1),2,IF(AND($C47="Milestone",BA$7&gt;=$F47,BA$7&lt;=$F47+$G47-1),1,""))</f>
        <v/>
      </c>
      <c r="BB47" s="14" t="str">
        <f ca="1">IF(AND($C47="Goal",BB$7&gt;=$F47,BB$7&lt;=$F47+$G47-1),2,IF(AND($C47="Milestone",BB$7&gt;=$F47,BB$7&lt;=$F47+$G47-1),1,""))</f>
        <v/>
      </c>
      <c r="BC47" s="14" t="str">
        <f ca="1">IF(AND($C47="Goal",BC$7&gt;=$F47,BC$7&lt;=$F47+$G47-1),2,IF(AND($C47="Milestone",BC$7&gt;=$F47,BC$7&lt;=$F47+$G47-1),1,""))</f>
        <v/>
      </c>
      <c r="BD47" s="14" t="str">
        <f ca="1">IF(AND($C47="Goal",BD$7&gt;=$F47,BD$7&lt;=$F47+$G47-1),2,IF(AND($C47="Milestone",BD$7&gt;=$F47,BD$7&lt;=$F47+$G47-1),1,""))</f>
        <v/>
      </c>
      <c r="BE47" s="14" t="str">
        <f ca="1">IF(AND($C47="Goal",BE$7&gt;=$F47,BE$7&lt;=$F47+$G47-1),2,IF(AND($C47="Milestone",BE$7&gt;=$F47,BE$7&lt;=$F47+$G47-1),1,""))</f>
        <v/>
      </c>
      <c r="BF47" s="14" t="str">
        <f ca="1">IF(AND($C47="Goal",BF$7&gt;=$F47,BF$7&lt;=$F47+$G47-1),2,IF(AND($C47="Milestone",BF$7&gt;=$F47,BF$7&lt;=$F47+$G47-1),1,""))</f>
        <v/>
      </c>
      <c r="BG47" s="14" t="str">
        <f ca="1">IF(AND($C47="Goal",BG$7&gt;=$F47,BG$7&lt;=$F47+$G47-1),2,IF(AND($C47="Milestone",BG$7&gt;=$F47,BG$7&lt;=$F47+$G47-1),1,""))</f>
        <v/>
      </c>
      <c r="BH47" s="14" t="str">
        <f ca="1">IF(AND($C47="Goal",BH$7&gt;=$F47,BH$7&lt;=$F47+$G47-1),2,IF(AND($C47="Milestone",BH$7&gt;=$F47,BH$7&lt;=$F47+$G47-1),1,""))</f>
        <v/>
      </c>
      <c r="BI47" s="14" t="str">
        <f ca="1">IF(AND($C47="Goal",BI$7&gt;=$F47,BI$7&lt;=$F47+$G47-1),2,IF(AND($C47="Milestone",BI$7&gt;=$F47,BI$7&lt;=$F47+$G47-1),1,""))</f>
        <v/>
      </c>
      <c r="BJ47" s="14" t="str">
        <f ca="1">IF(AND($C47="Goal",BJ$7&gt;=$F47,BJ$7&lt;=$F47+$G47-1),2,IF(AND($C47="Milestone",BJ$7&gt;=$F47,BJ$7&lt;=$F47+$G47-1),1,""))</f>
        <v/>
      </c>
      <c r="BK47" s="14" t="str">
        <f ca="1">IF(AND($C47="Goal",BK$7&gt;=$F47,BK$7&lt;=$F47+$G47-1),2,IF(AND($C47="Milestone",BK$7&gt;=$F47,BK$7&lt;=$F47+$G47-1),1,""))</f>
        <v/>
      </c>
      <c r="BL47" s="14" t="str">
        <f ca="1">IF(AND($C47="Goal",BL$7&gt;=$F47,BL$7&lt;=$F47+$G47-1),2,IF(AND($C47="Milestone",BL$7&gt;=$F47,BL$7&lt;=$F47+$G47-1),1,""))</f>
        <v/>
      </c>
    </row>
    <row r="48" spans="1:65" s="1" customFormat="1" ht="40" customHeight="1" x14ac:dyDescent="0.35">
      <c r="A48" s="6"/>
      <c r="B48" s="21"/>
      <c r="C48" s="17"/>
      <c r="D48" s="17"/>
      <c r="E48" s="18"/>
      <c r="F48" s="19"/>
      <c r="G48" s="20"/>
      <c r="H48" s="17"/>
      <c r="I48" s="14" t="str">
        <f ca="1">IF(AND($C48="Goal",I$7&gt;=$F48,I$7&lt;=$F48+$G48-1),2,IF(AND($C48="Milestone",I$7&gt;=$F48,I$7&lt;=$F48+$G48-1),1,""))</f>
        <v/>
      </c>
      <c r="J48" s="14" t="str">
        <f ca="1">IF(AND($C48="Goal",J$7&gt;=$F48,J$7&lt;=$F48+$G48-1),2,IF(AND($C48="Milestone",J$7&gt;=$F48,J$7&lt;=$F48+$G48-1),1,""))</f>
        <v/>
      </c>
      <c r="K48" s="14" t="str">
        <f ca="1">IF(AND($C48="Goal",K$7&gt;=$F48,K$7&lt;=$F48+$G48-1),2,IF(AND($C48="Milestone",K$7&gt;=$F48,K$7&lt;=$F48+$G48-1),1,""))</f>
        <v/>
      </c>
      <c r="L48" s="14" t="str">
        <f ca="1">IF(AND($C48="Goal",L$7&gt;=$F48,L$7&lt;=$F48+$G48-1),2,IF(AND($C48="Milestone",L$7&gt;=$F48,L$7&lt;=$F48+$G48-1),1,""))</f>
        <v/>
      </c>
      <c r="M48" s="14" t="str">
        <f ca="1">IF(AND($C48="Goal",M$7&gt;=$F48,M$7&lt;=$F48+$G48-1),2,IF(AND($C48="Milestone",M$7&gt;=$F48,M$7&lt;=$F48+$G48-1),1,""))</f>
        <v/>
      </c>
      <c r="N48" s="14" t="str">
        <f ca="1">IF(AND($C48="Goal",N$7&gt;=$F48,N$7&lt;=$F48+$G48-1),2,IF(AND($C48="Milestone",N$7&gt;=$F48,N$7&lt;=$F48+$G48-1),1,""))</f>
        <v/>
      </c>
      <c r="O48" s="14" t="str">
        <f ca="1">IF(AND($C48="Goal",O$7&gt;=$F48,O$7&lt;=$F48+$G48-1),2,IF(AND($C48="Milestone",O$7&gt;=$F48,O$7&lt;=$F48+$G48-1),1,""))</f>
        <v/>
      </c>
      <c r="P48" s="14" t="str">
        <f ca="1">IF(AND($C48="Goal",P$7&gt;=$F48,P$7&lt;=$F48+$G48-1),2,IF(AND($C48="Milestone",P$7&gt;=$F48,P$7&lt;=$F48+$G48-1),1,""))</f>
        <v/>
      </c>
      <c r="Q48" s="14" t="str">
        <f ca="1">IF(AND($C48="Goal",Q$7&gt;=$F48,Q$7&lt;=$F48+$G48-1),2,IF(AND($C48="Milestone",Q$7&gt;=$F48,Q$7&lt;=$F48+$G48-1),1,""))</f>
        <v/>
      </c>
      <c r="R48" s="14" t="str">
        <f ca="1">IF(AND($C48="Goal",R$7&gt;=$F48,R$7&lt;=$F48+$G48-1),2,IF(AND($C48="Milestone",R$7&gt;=$F48,R$7&lt;=$F48+$G48-1),1,""))</f>
        <v/>
      </c>
      <c r="S48" s="14" t="str">
        <f ca="1">IF(AND($C48="Goal",S$7&gt;=$F48,S$7&lt;=$F48+$G48-1),2,IF(AND($C48="Milestone",S$7&gt;=$F48,S$7&lt;=$F48+$G48-1),1,""))</f>
        <v/>
      </c>
      <c r="T48" s="14" t="str">
        <f ca="1">IF(AND($C48="Goal",T$7&gt;=$F48,T$7&lt;=$F48+$G48-1),2,IF(AND($C48="Milestone",T$7&gt;=$F48,T$7&lt;=$F48+$G48-1),1,""))</f>
        <v/>
      </c>
      <c r="U48" s="14" t="str">
        <f ca="1">IF(AND($C48="Goal",U$7&gt;=$F48,U$7&lt;=$F48+$G48-1),2,IF(AND($C48="Milestone",U$7&gt;=$F48,U$7&lt;=$F48+$G48-1),1,""))</f>
        <v/>
      </c>
      <c r="V48" s="14" t="str">
        <f ca="1">IF(AND($C48="Goal",V$7&gt;=$F48,V$7&lt;=$F48+$G48-1),2,IF(AND($C48="Milestone",V$7&gt;=$F48,V$7&lt;=$F48+$G48-1),1,""))</f>
        <v/>
      </c>
      <c r="W48" s="14" t="str">
        <f ca="1">IF(AND($C48="Goal",W$7&gt;=$F48,W$7&lt;=$F48+$G48-1),2,IF(AND($C48="Milestone",W$7&gt;=$F48,W$7&lt;=$F48+$G48-1),1,""))</f>
        <v/>
      </c>
      <c r="X48" s="14" t="str">
        <f ca="1">IF(AND($C48="Goal",X$7&gt;=$F48,X$7&lt;=$F48+$G48-1),2,IF(AND($C48="Milestone",X$7&gt;=$F48,X$7&lt;=$F48+$G48-1),1,""))</f>
        <v/>
      </c>
      <c r="Y48" s="14" t="str">
        <f ca="1">IF(AND($C48="Goal",Y$7&gt;=$F48,Y$7&lt;=$F48+$G48-1),2,IF(AND($C48="Milestone",Y$7&gt;=$F48,Y$7&lt;=$F48+$G48-1),1,""))</f>
        <v/>
      </c>
      <c r="Z48" s="14" t="str">
        <f ca="1">IF(AND($C48="Goal",Z$7&gt;=$F48,Z$7&lt;=$F48+$G48-1),2,IF(AND($C48="Milestone",Z$7&gt;=$F48,Z$7&lt;=$F48+$G48-1),1,""))</f>
        <v/>
      </c>
      <c r="AA48" s="14" t="str">
        <f ca="1">IF(AND($C48="Goal",AA$7&gt;=$F48,AA$7&lt;=$F48+$G48-1),2,IF(AND($C48="Milestone",AA$7&gt;=$F48,AA$7&lt;=$F48+$G48-1),1,""))</f>
        <v/>
      </c>
      <c r="AB48" s="14" t="str">
        <f ca="1">IF(AND($C48="Goal",AB$7&gt;=$F48,AB$7&lt;=$F48+$G48-1),2,IF(AND($C48="Milestone",AB$7&gt;=$F48,AB$7&lt;=$F48+$G48-1),1,""))</f>
        <v/>
      </c>
      <c r="AC48" s="14" t="str">
        <f ca="1">IF(AND($C48="Goal",AC$7&gt;=$F48,AC$7&lt;=$F48+$G48-1),2,IF(AND($C48="Milestone",AC$7&gt;=$F48,AC$7&lt;=$F48+$G48-1),1,""))</f>
        <v/>
      </c>
      <c r="AD48" s="14" t="str">
        <f ca="1">IF(AND($C48="Goal",AD$7&gt;=$F48,AD$7&lt;=$F48+$G48-1),2,IF(AND($C48="Milestone",AD$7&gt;=$F48,AD$7&lt;=$F48+$G48-1),1,""))</f>
        <v/>
      </c>
      <c r="AE48" s="14" t="str">
        <f ca="1">IF(AND($C48="Goal",AE$7&gt;=$F48,AE$7&lt;=$F48+$G48-1),2,IF(AND($C48="Milestone",AE$7&gt;=$F48,AE$7&lt;=$F48+$G48-1),1,""))</f>
        <v/>
      </c>
      <c r="AF48" s="14" t="str">
        <f ca="1">IF(AND($C48="Goal",AF$7&gt;=$F48,AF$7&lt;=$F48+$G48-1),2,IF(AND($C48="Milestone",AF$7&gt;=$F48,AF$7&lt;=$F48+$G48-1),1,""))</f>
        <v/>
      </c>
      <c r="AG48" s="14" t="str">
        <f ca="1">IF(AND($C48="Goal",AG$7&gt;=$F48,AG$7&lt;=$F48+$G48-1),2,IF(AND($C48="Milestone",AG$7&gt;=$F48,AG$7&lt;=$F48+$G48-1),1,""))</f>
        <v/>
      </c>
      <c r="AH48" s="14" t="str">
        <f ca="1">IF(AND($C48="Goal",AH$7&gt;=$F48,AH$7&lt;=$F48+$G48-1),2,IF(AND($C48="Milestone",AH$7&gt;=$F48,AH$7&lt;=$F48+$G48-1),1,""))</f>
        <v/>
      </c>
      <c r="AI48" s="14" t="str">
        <f ca="1">IF(AND($C48="Goal",AI$7&gt;=$F48,AI$7&lt;=$F48+$G48-1),2,IF(AND($C48="Milestone",AI$7&gt;=$F48,AI$7&lt;=$F48+$G48-1),1,""))</f>
        <v/>
      </c>
      <c r="AJ48" s="14" t="str">
        <f ca="1">IF(AND($C48="Goal",AJ$7&gt;=$F48,AJ$7&lt;=$F48+$G48-1),2,IF(AND($C48="Milestone",AJ$7&gt;=$F48,AJ$7&lt;=$F48+$G48-1),1,""))</f>
        <v/>
      </c>
      <c r="AK48" s="14" t="str">
        <f ca="1">IF(AND($C48="Goal",AK$7&gt;=$F48,AK$7&lt;=$F48+$G48-1),2,IF(AND($C48="Milestone",AK$7&gt;=$F48,AK$7&lt;=$F48+$G48-1),1,""))</f>
        <v/>
      </c>
      <c r="AL48" s="14" t="str">
        <f ca="1">IF(AND($C48="Goal",AL$7&gt;=$F48,AL$7&lt;=$F48+$G48-1),2,IF(AND($C48="Milestone",AL$7&gt;=$F48,AL$7&lt;=$F48+$G48-1),1,""))</f>
        <v/>
      </c>
      <c r="AM48" s="14" t="str">
        <f ca="1">IF(AND($C48="Goal",AM$7&gt;=$F48,AM$7&lt;=$F48+$G48-1),2,IF(AND($C48="Milestone",AM$7&gt;=$F48,AM$7&lt;=$F48+$G48-1),1,""))</f>
        <v/>
      </c>
      <c r="AN48" s="14" t="str">
        <f ca="1">IF(AND($C48="Goal",AN$7&gt;=$F48,AN$7&lt;=$F48+$G48-1),2,IF(AND($C48="Milestone",AN$7&gt;=$F48,AN$7&lt;=$F48+$G48-1),1,""))</f>
        <v/>
      </c>
      <c r="AO48" s="14" t="str">
        <f ca="1">IF(AND($C48="Goal",AO$7&gt;=$F48,AO$7&lt;=$F48+$G48-1),2,IF(AND($C48="Milestone",AO$7&gt;=$F48,AO$7&lt;=$F48+$G48-1),1,""))</f>
        <v/>
      </c>
      <c r="AP48" s="14" t="str">
        <f ca="1">IF(AND($C48="Goal",AP$7&gt;=$F48,AP$7&lt;=$F48+$G48-1),2,IF(AND($C48="Milestone",AP$7&gt;=$F48,AP$7&lt;=$F48+$G48-1),1,""))</f>
        <v/>
      </c>
      <c r="AQ48" s="14" t="str">
        <f ca="1">IF(AND($C48="Goal",AQ$7&gt;=$F48,AQ$7&lt;=$F48+$G48-1),2,IF(AND($C48="Milestone",AQ$7&gt;=$F48,AQ$7&lt;=$F48+$G48-1),1,""))</f>
        <v/>
      </c>
      <c r="AR48" s="14" t="str">
        <f ca="1">IF(AND($C48="Goal",AR$7&gt;=$F48,AR$7&lt;=$F48+$G48-1),2,IF(AND($C48="Milestone",AR$7&gt;=$F48,AR$7&lt;=$F48+$G48-1),1,""))</f>
        <v/>
      </c>
      <c r="AS48" s="14" t="str">
        <f ca="1">IF(AND($C48="Goal",AS$7&gt;=$F48,AS$7&lt;=$F48+$G48-1),2,IF(AND($C48="Milestone",AS$7&gt;=$F48,AS$7&lt;=$F48+$G48-1),1,""))</f>
        <v/>
      </c>
      <c r="AT48" s="14" t="str">
        <f ca="1">IF(AND($C48="Goal",AT$7&gt;=$F48,AT$7&lt;=$F48+$G48-1),2,IF(AND($C48="Milestone",AT$7&gt;=$F48,AT$7&lt;=$F48+$G48-1),1,""))</f>
        <v/>
      </c>
      <c r="AU48" s="14" t="str">
        <f ca="1">IF(AND($C48="Goal",AU$7&gt;=$F48,AU$7&lt;=$F48+$G48-1),2,IF(AND($C48="Milestone",AU$7&gt;=$F48,AU$7&lt;=$F48+$G48-1),1,""))</f>
        <v/>
      </c>
      <c r="AV48" s="14" t="str">
        <f ca="1">IF(AND($C48="Goal",AV$7&gt;=$F48,AV$7&lt;=$F48+$G48-1),2,IF(AND($C48="Milestone",AV$7&gt;=$F48,AV$7&lt;=$F48+$G48-1),1,""))</f>
        <v/>
      </c>
      <c r="AW48" s="14" t="str">
        <f ca="1">IF(AND($C48="Goal",AW$7&gt;=$F48,AW$7&lt;=$F48+$G48-1),2,IF(AND($C48="Milestone",AW$7&gt;=$F48,AW$7&lt;=$F48+$G48-1),1,""))</f>
        <v/>
      </c>
      <c r="AX48" s="14" t="str">
        <f ca="1">IF(AND($C48="Goal",AX$7&gt;=$F48,AX$7&lt;=$F48+$G48-1),2,IF(AND($C48="Milestone",AX$7&gt;=$F48,AX$7&lt;=$F48+$G48-1),1,""))</f>
        <v/>
      </c>
      <c r="AY48" s="14" t="str">
        <f ca="1">IF(AND($C48="Goal",AY$7&gt;=$F48,AY$7&lt;=$F48+$G48-1),2,IF(AND($C48="Milestone",AY$7&gt;=$F48,AY$7&lt;=$F48+$G48-1),1,""))</f>
        <v/>
      </c>
      <c r="AZ48" s="14" t="str">
        <f ca="1">IF(AND($C48="Goal",AZ$7&gt;=$F48,AZ$7&lt;=$F48+$G48-1),2,IF(AND($C48="Milestone",AZ$7&gt;=$F48,AZ$7&lt;=$F48+$G48-1),1,""))</f>
        <v/>
      </c>
      <c r="BA48" s="14" t="str">
        <f ca="1">IF(AND($C48="Goal",BA$7&gt;=$F48,BA$7&lt;=$F48+$G48-1),2,IF(AND($C48="Milestone",BA$7&gt;=$F48,BA$7&lt;=$F48+$G48-1),1,""))</f>
        <v/>
      </c>
      <c r="BB48" s="14" t="str">
        <f ca="1">IF(AND($C48="Goal",BB$7&gt;=$F48,BB$7&lt;=$F48+$G48-1),2,IF(AND($C48="Milestone",BB$7&gt;=$F48,BB$7&lt;=$F48+$G48-1),1,""))</f>
        <v/>
      </c>
      <c r="BC48" s="14" t="str">
        <f ca="1">IF(AND($C48="Goal",BC$7&gt;=$F48,BC$7&lt;=$F48+$G48-1),2,IF(AND($C48="Milestone",BC$7&gt;=$F48,BC$7&lt;=$F48+$G48-1),1,""))</f>
        <v/>
      </c>
      <c r="BD48" s="14" t="str">
        <f ca="1">IF(AND($C48="Goal",BD$7&gt;=$F48,BD$7&lt;=$F48+$G48-1),2,IF(AND($C48="Milestone",BD$7&gt;=$F48,BD$7&lt;=$F48+$G48-1),1,""))</f>
        <v/>
      </c>
      <c r="BE48" s="14" t="str">
        <f ca="1">IF(AND($C48="Goal",BE$7&gt;=$F48,BE$7&lt;=$F48+$G48-1),2,IF(AND($C48="Milestone",BE$7&gt;=$F48,BE$7&lt;=$F48+$G48-1),1,""))</f>
        <v/>
      </c>
      <c r="BF48" s="14" t="str">
        <f ca="1">IF(AND($C48="Goal",BF$7&gt;=$F48,BF$7&lt;=$F48+$G48-1),2,IF(AND($C48="Milestone",BF$7&gt;=$F48,BF$7&lt;=$F48+$G48-1),1,""))</f>
        <v/>
      </c>
      <c r="BG48" s="14" t="str">
        <f ca="1">IF(AND($C48="Goal",BG$7&gt;=$F48,BG$7&lt;=$F48+$G48-1),2,IF(AND($C48="Milestone",BG$7&gt;=$F48,BG$7&lt;=$F48+$G48-1),1,""))</f>
        <v/>
      </c>
      <c r="BH48" s="14" t="str">
        <f ca="1">IF(AND($C48="Goal",BH$7&gt;=$F48,BH$7&lt;=$F48+$G48-1),2,IF(AND($C48="Milestone",BH$7&gt;=$F48,BH$7&lt;=$F48+$G48-1),1,""))</f>
        <v/>
      </c>
      <c r="BI48" s="14" t="str">
        <f ca="1">IF(AND($C48="Goal",BI$7&gt;=$F48,BI$7&lt;=$F48+$G48-1),2,IF(AND($C48="Milestone",BI$7&gt;=$F48,BI$7&lt;=$F48+$G48-1),1,""))</f>
        <v/>
      </c>
      <c r="BJ48" s="14" t="str">
        <f ca="1">IF(AND($C48="Goal",BJ$7&gt;=$F48,BJ$7&lt;=$F48+$G48-1),2,IF(AND($C48="Milestone",BJ$7&gt;=$F48,BJ$7&lt;=$F48+$G48-1),1,""))</f>
        <v/>
      </c>
      <c r="BK48" s="14" t="str">
        <f ca="1">IF(AND($C48="Goal",BK$7&gt;=$F48,BK$7&lt;=$F48+$G48-1),2,IF(AND($C48="Milestone",BK$7&gt;=$F48,BK$7&lt;=$F48+$G48-1),1,""))</f>
        <v/>
      </c>
      <c r="BL48" s="14" t="str">
        <f ca="1">IF(AND($C48="Goal",BL$7&gt;=$F48,BL$7&lt;=$F48+$G48-1),2,IF(AND($C48="Milestone",BL$7&gt;=$F48,BL$7&lt;=$F48+$G48-1),1,""))</f>
        <v/>
      </c>
      <c r="BM48" s="43"/>
    </row>
    <row r="49" spans="1:64" s="1" customFormat="1" ht="40" customHeight="1" x14ac:dyDescent="0.35">
      <c r="A49" s="7"/>
      <c r="B49" s="59"/>
      <c r="C49" s="17"/>
      <c r="D49" s="17"/>
      <c r="E49" s="30"/>
      <c r="F49" s="39"/>
      <c r="G49" s="40"/>
      <c r="H49" s="17"/>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row>
    <row r="50" spans="1:64" ht="30" customHeight="1" x14ac:dyDescent="0.35">
      <c r="D50" s="4"/>
      <c r="G50" s="8"/>
      <c r="H50" s="3"/>
    </row>
    <row r="51" spans="1:64" ht="30" customHeight="1" x14ac:dyDescent="0.35">
      <c r="D51" s="5"/>
    </row>
  </sheetData>
  <mergeCells count="8">
    <mergeCell ref="X4:AA4"/>
    <mergeCell ref="AC4:AF4"/>
    <mergeCell ref="B2:H2"/>
    <mergeCell ref="I2:N2"/>
    <mergeCell ref="O2:T2"/>
    <mergeCell ref="I4:L4"/>
    <mergeCell ref="N4:Q4"/>
    <mergeCell ref="S4:V4"/>
  </mergeCells>
  <conditionalFormatting sqref="E9:E49">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3" priority="4">
      <formula>I$7&lt;=EOMONTH($I$7,0)</formula>
    </cfRule>
  </conditionalFormatting>
  <conditionalFormatting sqref="I6:BL6">
    <cfRule type="expression" dxfId="22" priority="2">
      <formula>AND(I$7&lt;=EOMONTH($I$7,1),I$7&gt;EOMONTH($I$7,0))</formula>
    </cfRule>
  </conditionalFormatting>
  <conditionalFormatting sqref="I7:BL49">
    <cfRule type="expression" dxfId="21" priority="1">
      <formula>AND(TODAY()&gt;=I$7,TODAY()&lt;J$7)</formula>
    </cfRule>
  </conditionalFormatting>
  <conditionalFormatting sqref="I10:BL11">
    <cfRule type="expression" dxfId="20" priority="7" stopIfTrue="1">
      <formula>AND($C10="Low Risk",I$7&gt;=$F10,I$7&lt;=$F10+$G10-1)</formula>
    </cfRule>
    <cfRule type="expression" dxfId="19" priority="8" stopIfTrue="1">
      <formula>AND($C10="High Risk",I$7&gt;=$F10,I$7&lt;=$F10+$G10-1)</formula>
    </cfRule>
    <cfRule type="expression" dxfId="18" priority="9" stopIfTrue="1">
      <formula>AND($C10="On Track",I$7&gt;=$F10,I$7&lt;=$F10+$G10-1)</formula>
    </cfRule>
    <cfRule type="expression" dxfId="17" priority="10" stopIfTrue="1">
      <formula>AND($C10="Med Risk",I$7&gt;=$F10,I$7&lt;=$F10+$G10-1)</formula>
    </cfRule>
    <cfRule type="expression" dxfId="16" priority="11" stopIfTrue="1">
      <formula>AND(LEN($C10)=0,I$7&gt;=$F10,I$7&lt;=$F10+$G10-1)</formula>
    </cfRule>
  </conditionalFormatting>
  <conditionalFormatting sqref="I49:BL49">
    <cfRule type="expression" dxfId="15" priority="13" stopIfTrue="1">
      <formula>AND(#REF!="Low Risk",I$7&gt;=#REF!,I$7&lt;=#REF!+#REF!-1)</formula>
    </cfRule>
    <cfRule type="expression" dxfId="14" priority="14" stopIfTrue="1">
      <formula>AND(#REF!="High Risk",I$7&gt;=#REF!,I$7&lt;=#REF!+#REF!-1)</formula>
    </cfRule>
    <cfRule type="expression" dxfId="13" priority="15" stopIfTrue="1">
      <formula>AND(#REF!="On Track",I$7&gt;=#REF!,I$7&lt;=#REF!+#REF!-1)</formula>
    </cfRule>
    <cfRule type="expression" dxfId="12" priority="16" stopIfTrue="1">
      <formula>AND(#REF!="Med Risk",I$7&gt;=#REF!,I$7&lt;=#REF!+#REF!-1)</formula>
    </cfRule>
    <cfRule type="expression" dxfId="11" priority="17" stopIfTrue="1">
      <formula>AND(LEN(#REF!)=0,I$7&gt;=#REF!,I$7&lt;=#REF!+#REF!-1)</formula>
    </cfRule>
  </conditionalFormatting>
  <conditionalFormatting sqref="J6:BL6">
    <cfRule type="expression" dxfId="10" priority="3">
      <formula>AND(J$7&lt;=EOMONTH($I$7,2),J$7&gt;EOMONTH($I$7,0),J$7&gt;EOMONTH($I$7,1))</formula>
    </cfRule>
  </conditionalFormatting>
  <conditionalFormatting sqref="I13:BL48">
    <cfRule type="expression" dxfId="9" priority="47" stopIfTrue="1">
      <formula>AND($C13="Low Risk",I$7&gt;=$F13,I$7&lt;=$F13+$G13-1)</formula>
    </cfRule>
    <cfRule type="expression" dxfId="8" priority="48" stopIfTrue="1">
      <formula>AND($C13="High Risk",I$7&gt;=$F13,I$7&lt;=$F13+$G13-1)</formula>
    </cfRule>
    <cfRule type="expression" dxfId="7" priority="49" stopIfTrue="1">
      <formula>AND($C13="On Track",I$7&gt;=$F13,I$7&lt;=$F13+$G13-1)</formula>
    </cfRule>
    <cfRule type="expression" dxfId="6" priority="50" stopIfTrue="1">
      <formula>AND($C13="Med Risk",I$7&gt;=$F13,I$7&lt;=$F13+$G13-1)</formula>
    </cfRule>
    <cfRule type="expression" dxfId="5" priority="51" stopIfTrue="1">
      <formula>AND(LEN($C13)=0,I$7&gt;=$F13,I$7&lt;=$F13+$G13-1)</formula>
    </cfRule>
  </conditionalFormatting>
  <conditionalFormatting sqref="I12:BL12">
    <cfRule type="expression" dxfId="4" priority="53" stopIfTrue="1">
      <formula>AND($C12="Low Risk",I$7&gt;=$F12,I$7&lt;=$F12+$G12-1)</formula>
    </cfRule>
    <cfRule type="expression" dxfId="3" priority="54" stopIfTrue="1">
      <formula>AND($C12="High Risk",I$7&gt;=$F12,I$7&lt;=$F12+$G12-1)</formula>
    </cfRule>
    <cfRule type="expression" dxfId="2" priority="55" stopIfTrue="1">
      <formula>AND($C12="On Track",I$7&gt;=$F12,I$7&lt;=$F12+$G12-1)</formula>
    </cfRule>
    <cfRule type="expression" dxfId="1" priority="56" stopIfTrue="1">
      <formula>AND($C12="Med Risk",I$7&gt;=$F12,I$7&lt;=$F12+$G12-1)</formula>
    </cfRule>
    <cfRule type="expression" dxfId="0" priority="57" stopIfTrue="1">
      <formula>AND(LEN($C12)=0,I$7&gt;=$F12,I$7&lt;=$F12+$G12-1)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48"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49" xr:uid="{659FD5CB-B62B-4854-B8A9-29F1F70930AC}"/>
    <dataValidation allowBlank="1" showInputMessage="1" showErrorMessage="1" prompt="This is an empty row" sqref="A48"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63500</xdr:rowOff>
                  </from>
                  <to>
                    <xdr:col>63</xdr:col>
                    <xdr:colOff>228600</xdr:colOff>
                    <xdr:row>7</xdr:row>
                    <xdr:rowOff>228600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E9:E49</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I10:BL11</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I49:BL49</xm:sqref>
        </x14:conditionalFormatting>
        <x14:conditionalFormatting xmlns:xm="http://schemas.microsoft.com/office/excel/2006/main">
          <x14:cfRule type="iconSet" priority="4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I13:BL48</xm:sqref>
        </x14:conditionalFormatting>
        <x14:conditionalFormatting xmlns:xm="http://schemas.microsoft.com/office/excel/2006/main">
          <x14:cfRule type="iconSet" priority="52"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I12:BL12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3645CCA-D530-4BF7-904A-D7A872756024}">
  <ds:schemaRefs>
    <ds:schemaRef ds:uri="http://schemas.microsoft.com/DataMashup"/>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Trang tính</vt:lpstr>
      </vt:variant>
      <vt:variant>
        <vt:i4>2</vt:i4>
      </vt:variant>
      <vt:variant>
        <vt:lpstr>Phạm vi Có tên</vt:lpstr>
      </vt:variant>
      <vt:variant>
        <vt:i4>3</vt:i4>
      </vt:variant>
    </vt:vector>
  </HeadingPairs>
  <TitlesOfParts>
    <vt:vector size="5" baseType="lpstr">
      <vt:lpstr>Data</vt:lpstr>
      <vt:lpstr>Light</vt:lpstr>
      <vt:lpstr>Light!Print_Titles</vt:lpstr>
      <vt:lpstr>Light!Project_Start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2026-04-28T15:47:44Z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