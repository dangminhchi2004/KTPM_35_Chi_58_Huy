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ongbui\Downloads\"/>
    </mc:Choice>
  </mc:AlternateContent>
  <xr:revisionPtr revIDLastSave="0" documentId="13_ncr:1_{ECE801D1-1004-4A3A-AA17-9DE70964EFBE}" xr6:coauthVersionLast="47" xr6:coauthVersionMax="47" xr10:uidLastSave="{00000000-0000-0000-0000-000000000000}"/>
  <bookViews>
    <workbookView xWindow="-120" yWindow="-120" windowWidth="29040" windowHeight="15720" activeTab="1" xr2:uid="{B6DFA4C3-3AB0-4E28-B100-36218AFA5C2E}"/>
  </bookViews>
  <sheets>
    <sheet name="Sheet2" sheetId="2" r:id="rId1"/>
    <sheet name="Sheet3" sheetId="3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115" i="3" l="1"/>
  <c r="AX115" i="3"/>
  <c r="AW115" i="3"/>
  <c r="AV115" i="3"/>
  <c r="AU115" i="3"/>
  <c r="AT115" i="3"/>
  <c r="B115" i="3"/>
  <c r="BE114" i="3"/>
  <c r="BF114" i="3" s="1"/>
  <c r="BC114" i="3"/>
  <c r="BA114" i="3"/>
  <c r="AS114" i="3"/>
  <c r="AR114" i="3"/>
  <c r="AQ114" i="3"/>
  <c r="AP114" i="3"/>
  <c r="AO114" i="3"/>
  <c r="AN114" i="3"/>
  <c r="AZ114" i="3" s="1"/>
  <c r="AL114" i="3"/>
  <c r="AK114" i="3"/>
  <c r="BE113" i="3"/>
  <c r="BF113" i="3" s="1"/>
  <c r="BC113" i="3"/>
  <c r="BA113" i="3"/>
  <c r="AS113" i="3"/>
  <c r="AR113" i="3"/>
  <c r="AQ113" i="3"/>
  <c r="AP113" i="3"/>
  <c r="AO113" i="3"/>
  <c r="AN113" i="3"/>
  <c r="AZ113" i="3" s="1"/>
  <c r="AL113" i="3"/>
  <c r="AK113" i="3"/>
  <c r="AJ113" i="3"/>
  <c r="BF112" i="3"/>
  <c r="BE112" i="3"/>
  <c r="BC112" i="3"/>
  <c r="BA112" i="3"/>
  <c r="AS112" i="3"/>
  <c r="AR112" i="3"/>
  <c r="AQ112" i="3"/>
  <c r="AP112" i="3"/>
  <c r="AO112" i="3"/>
  <c r="AL112" i="3"/>
  <c r="AK112" i="3"/>
  <c r="AN112" i="3" s="1"/>
  <c r="AZ112" i="3" s="1"/>
  <c r="AJ112" i="3"/>
  <c r="BE111" i="3"/>
  <c r="BF111" i="3" s="1"/>
  <c r="BC111" i="3"/>
  <c r="BA111" i="3"/>
  <c r="AS111" i="3"/>
  <c r="AR111" i="3"/>
  <c r="AQ111" i="3"/>
  <c r="AP111" i="3"/>
  <c r="AO111" i="3"/>
  <c r="AN111" i="3"/>
  <c r="AZ111" i="3" s="1"/>
  <c r="AL111" i="3"/>
  <c r="AK111" i="3"/>
  <c r="AJ111" i="3"/>
  <c r="BF110" i="3"/>
  <c r="BE110" i="3"/>
  <c r="BC110" i="3"/>
  <c r="BA110" i="3"/>
  <c r="BA115" i="3" s="1"/>
  <c r="AS110" i="3"/>
  <c r="AR110" i="3"/>
  <c r="AQ110" i="3"/>
  <c r="AP110" i="3"/>
  <c r="AO110" i="3"/>
  <c r="AL110" i="3"/>
  <c r="AK110" i="3"/>
  <c r="AN110" i="3" s="1"/>
  <c r="AZ110" i="3" s="1"/>
  <c r="AJ110" i="3"/>
  <c r="BE109" i="3"/>
  <c r="BF109" i="3" s="1"/>
  <c r="BC109" i="3"/>
  <c r="AS109" i="3"/>
  <c r="AR109" i="3"/>
  <c r="AQ109" i="3"/>
  <c r="AP109" i="3"/>
  <c r="AO109" i="3"/>
  <c r="AL109" i="3"/>
  <c r="AK109" i="3"/>
  <c r="AN109" i="3" s="1"/>
  <c r="AZ109" i="3" s="1"/>
  <c r="AJ109" i="3"/>
  <c r="BH108" i="3"/>
  <c r="BE108" i="3"/>
  <c r="BF108" i="3" s="1"/>
  <c r="BC108" i="3"/>
  <c r="AZ108" i="3"/>
  <c r="AS108" i="3"/>
  <c r="AR108" i="3"/>
  <c r="AQ108" i="3"/>
  <c r="AP108" i="3"/>
  <c r="AO108" i="3"/>
  <c r="AN108" i="3"/>
  <c r="AL108" i="3"/>
  <c r="AK108" i="3"/>
  <c r="AJ108" i="3"/>
  <c r="BH107" i="3"/>
  <c r="BF107" i="3"/>
  <c r="BE107" i="3"/>
  <c r="BC107" i="3"/>
  <c r="AS107" i="3"/>
  <c r="AR107" i="3"/>
  <c r="AQ107" i="3"/>
  <c r="AP107" i="3"/>
  <c r="AO107" i="3"/>
  <c r="AL107" i="3"/>
  <c r="AK107" i="3"/>
  <c r="AN107" i="3" s="1"/>
  <c r="AZ107" i="3" s="1"/>
  <c r="AJ107" i="3"/>
  <c r="BH106" i="3"/>
  <c r="BE106" i="3"/>
  <c r="BF106" i="3" s="1"/>
  <c r="BC106" i="3"/>
  <c r="AS106" i="3"/>
  <c r="AR106" i="3"/>
  <c r="AQ106" i="3"/>
  <c r="AP106" i="3"/>
  <c r="AO106" i="3"/>
  <c r="AL106" i="3"/>
  <c r="AN106" i="3" s="1"/>
  <c r="AZ106" i="3" s="1"/>
  <c r="AK106" i="3"/>
  <c r="AJ106" i="3"/>
  <c r="BH105" i="3"/>
  <c r="BF105" i="3"/>
  <c r="BE105" i="3"/>
  <c r="BC105" i="3"/>
  <c r="AS105" i="3"/>
  <c r="AR105" i="3"/>
  <c r="AQ105" i="3"/>
  <c r="AP105" i="3"/>
  <c r="AO105" i="3"/>
  <c r="AL105" i="3"/>
  <c r="AK105" i="3"/>
  <c r="AN105" i="3" s="1"/>
  <c r="AZ105" i="3" s="1"/>
  <c r="AJ105" i="3"/>
  <c r="BH104" i="3"/>
  <c r="BE104" i="3"/>
  <c r="BF104" i="3" s="1"/>
  <c r="BC104" i="3"/>
  <c r="AS104" i="3"/>
  <c r="AR104" i="3"/>
  <c r="AQ104" i="3"/>
  <c r="AP104" i="3"/>
  <c r="AO104" i="3"/>
  <c r="AL104" i="3"/>
  <c r="AK104" i="3"/>
  <c r="AN104" i="3" s="1"/>
  <c r="AZ104" i="3" s="1"/>
  <c r="AJ104" i="3"/>
  <c r="BH103" i="3"/>
  <c r="BE103" i="3"/>
  <c r="BF103" i="3" s="1"/>
  <c r="BC103" i="3"/>
  <c r="AS103" i="3"/>
  <c r="AR103" i="3"/>
  <c r="AQ103" i="3"/>
  <c r="AP103" i="3"/>
  <c r="AO103" i="3"/>
  <c r="AL103" i="3"/>
  <c r="AK103" i="3"/>
  <c r="AN103" i="3" s="1"/>
  <c r="AZ103" i="3" s="1"/>
  <c r="AJ103" i="3"/>
  <c r="BH102" i="3"/>
  <c r="BF102" i="3"/>
  <c r="BE102" i="3"/>
  <c r="BC102" i="3"/>
  <c r="AS102" i="3"/>
  <c r="AR102" i="3"/>
  <c r="AQ102" i="3"/>
  <c r="AP102" i="3"/>
  <c r="AO102" i="3"/>
  <c r="AL102" i="3"/>
  <c r="AK102" i="3"/>
  <c r="AN102" i="3" s="1"/>
  <c r="AZ102" i="3" s="1"/>
  <c r="AJ102" i="3"/>
  <c r="BH101" i="3"/>
  <c r="BE101" i="3"/>
  <c r="BF101" i="3" s="1"/>
  <c r="BC101" i="3"/>
  <c r="AS101" i="3"/>
  <c r="AR101" i="3"/>
  <c r="AQ101" i="3"/>
  <c r="AP101" i="3"/>
  <c r="AO101" i="3"/>
  <c r="AL101" i="3"/>
  <c r="AN101" i="3" s="1"/>
  <c r="AZ101" i="3" s="1"/>
  <c r="AK101" i="3"/>
  <c r="AJ101" i="3"/>
  <c r="BH100" i="3"/>
  <c r="BF100" i="3"/>
  <c r="BE100" i="3"/>
  <c r="BC100" i="3"/>
  <c r="AS100" i="3"/>
  <c r="AR100" i="3"/>
  <c r="AQ100" i="3"/>
  <c r="AP100" i="3"/>
  <c r="AO100" i="3"/>
  <c r="AL100" i="3"/>
  <c r="AK100" i="3"/>
  <c r="AN100" i="3" s="1"/>
  <c r="AZ100" i="3" s="1"/>
  <c r="AJ100" i="3"/>
  <c r="BH99" i="3"/>
  <c r="BF99" i="3"/>
  <c r="BE99" i="3"/>
  <c r="BC99" i="3"/>
  <c r="AS99" i="3"/>
  <c r="AR99" i="3"/>
  <c r="AQ99" i="3"/>
  <c r="AP99" i="3"/>
  <c r="AO99" i="3"/>
  <c r="AL99" i="3"/>
  <c r="AK99" i="3"/>
  <c r="AN99" i="3" s="1"/>
  <c r="AZ99" i="3" s="1"/>
  <c r="AJ99" i="3"/>
  <c r="A98" i="3"/>
  <c r="BH97" i="3"/>
  <c r="BE97" i="3"/>
  <c r="BF97" i="3" s="1"/>
  <c r="BC97" i="3"/>
  <c r="AS97" i="3"/>
  <c r="AR97" i="3"/>
  <c r="AQ97" i="3"/>
  <c r="AP97" i="3"/>
  <c r="AO97" i="3"/>
  <c r="AL97" i="3"/>
  <c r="AK97" i="3"/>
  <c r="AN97" i="3" s="1"/>
  <c r="AZ97" i="3" s="1"/>
  <c r="BH96" i="3"/>
  <c r="BE96" i="3"/>
  <c r="BF96" i="3" s="1"/>
  <c r="BC96" i="3"/>
  <c r="AS96" i="3"/>
  <c r="AR96" i="3"/>
  <c r="AQ96" i="3"/>
  <c r="AP96" i="3"/>
  <c r="AO96" i="3"/>
  <c r="AL96" i="3"/>
  <c r="AK96" i="3"/>
  <c r="AN96" i="3" s="1"/>
  <c r="AJ96" i="3"/>
  <c r="BH95" i="3"/>
  <c r="BE95" i="3"/>
  <c r="BF95" i="3" s="1"/>
  <c r="BC95" i="3"/>
  <c r="AS95" i="3"/>
  <c r="AR95" i="3"/>
  <c r="AQ95" i="3"/>
  <c r="AP95" i="3"/>
  <c r="AO95" i="3"/>
  <c r="AN95" i="3"/>
  <c r="AZ95" i="3" s="1"/>
  <c r="AL95" i="3"/>
  <c r="AK95" i="3"/>
  <c r="AJ95" i="3"/>
  <c r="BH94" i="3"/>
  <c r="BE94" i="3"/>
  <c r="BF94" i="3" s="1"/>
  <c r="BC94" i="3"/>
  <c r="AS94" i="3"/>
  <c r="AR94" i="3"/>
  <c r="AQ94" i="3"/>
  <c r="AP94" i="3"/>
  <c r="AO94" i="3"/>
  <c r="AL94" i="3"/>
  <c r="AK94" i="3"/>
  <c r="AN94" i="3" s="1"/>
  <c r="AZ94" i="3" s="1"/>
  <c r="AJ94" i="3"/>
  <c r="BH93" i="3"/>
  <c r="BF93" i="3"/>
  <c r="BE93" i="3"/>
  <c r="BC93" i="3"/>
  <c r="AS93" i="3"/>
  <c r="AR93" i="3"/>
  <c r="AQ93" i="3"/>
  <c r="AP93" i="3"/>
  <c r="AO93" i="3"/>
  <c r="AL93" i="3"/>
  <c r="AN93" i="3" s="1"/>
  <c r="AZ93" i="3" s="1"/>
  <c r="AK93" i="3"/>
  <c r="AJ93" i="3"/>
  <c r="BH92" i="3"/>
  <c r="BE92" i="3"/>
  <c r="BF92" i="3" s="1"/>
  <c r="BC92" i="3"/>
  <c r="AS92" i="3"/>
  <c r="AR92" i="3"/>
  <c r="AQ92" i="3"/>
  <c r="AP92" i="3"/>
  <c r="AO92" i="3"/>
  <c r="AN92" i="3"/>
  <c r="AZ92" i="3" s="1"/>
  <c r="AL92" i="3"/>
  <c r="AK92" i="3"/>
  <c r="AJ92" i="3"/>
  <c r="BH91" i="3"/>
  <c r="BE91" i="3"/>
  <c r="BF91" i="3" s="1"/>
  <c r="BC91" i="3"/>
  <c r="AS91" i="3"/>
  <c r="AR91" i="3"/>
  <c r="AQ91" i="3"/>
  <c r="AP91" i="3"/>
  <c r="AO91" i="3"/>
  <c r="AL91" i="3"/>
  <c r="AK91" i="3"/>
  <c r="AN91" i="3" s="1"/>
  <c r="AJ91" i="3"/>
  <c r="BH90" i="3"/>
  <c r="BE90" i="3"/>
  <c r="BF90" i="3" s="1"/>
  <c r="BC90" i="3"/>
  <c r="AS90" i="3"/>
  <c r="AR90" i="3"/>
  <c r="AQ90" i="3"/>
  <c r="AP90" i="3"/>
  <c r="AO90" i="3"/>
  <c r="AN90" i="3"/>
  <c r="AZ90" i="3" s="1"/>
  <c r="AL90" i="3"/>
  <c r="AK90" i="3"/>
  <c r="AJ90" i="3"/>
  <c r="BH89" i="3"/>
  <c r="BE89" i="3"/>
  <c r="BF89" i="3" s="1"/>
  <c r="BC89" i="3"/>
  <c r="AS89" i="3"/>
  <c r="AR89" i="3"/>
  <c r="AQ89" i="3"/>
  <c r="AP89" i="3"/>
  <c r="AO89" i="3"/>
  <c r="AL89" i="3"/>
  <c r="AK89" i="3"/>
  <c r="AN89" i="3" s="1"/>
  <c r="AZ89" i="3" s="1"/>
  <c r="AJ89" i="3"/>
  <c r="BH88" i="3"/>
  <c r="BF88" i="3"/>
  <c r="BE88" i="3"/>
  <c r="BC88" i="3"/>
  <c r="AS88" i="3"/>
  <c r="AR88" i="3"/>
  <c r="AQ88" i="3"/>
  <c r="AP88" i="3"/>
  <c r="AO88" i="3"/>
  <c r="AL88" i="3"/>
  <c r="AN88" i="3" s="1"/>
  <c r="AZ88" i="3" s="1"/>
  <c r="AK88" i="3"/>
  <c r="AJ88" i="3"/>
  <c r="BH87" i="3"/>
  <c r="BE87" i="3"/>
  <c r="BF87" i="3" s="1"/>
  <c r="BC87" i="3"/>
  <c r="AS87" i="3"/>
  <c r="AR87" i="3"/>
  <c r="AQ87" i="3"/>
  <c r="AP87" i="3"/>
  <c r="AO87" i="3"/>
  <c r="AN87" i="3"/>
  <c r="AZ87" i="3" s="1"/>
  <c r="AL87" i="3"/>
  <c r="AK87" i="3"/>
  <c r="AJ87" i="3"/>
  <c r="A86" i="3"/>
  <c r="BE85" i="3"/>
  <c r="BF85" i="3" s="1"/>
  <c r="BC85" i="3"/>
  <c r="AS85" i="3"/>
  <c r="AR85" i="3"/>
  <c r="AQ85" i="3"/>
  <c r="AP85" i="3"/>
  <c r="AO85" i="3"/>
  <c r="AL85" i="3"/>
  <c r="AK85" i="3"/>
  <c r="AN85" i="3" s="1"/>
  <c r="AJ85" i="3"/>
  <c r="BE84" i="3"/>
  <c r="BF84" i="3" s="1"/>
  <c r="BC84" i="3"/>
  <c r="AS84" i="3"/>
  <c r="AR84" i="3"/>
  <c r="AQ84" i="3"/>
  <c r="AP84" i="3"/>
  <c r="AO84" i="3"/>
  <c r="AN84" i="3"/>
  <c r="AZ84" i="3" s="1"/>
  <c r="AL84" i="3"/>
  <c r="AK84" i="3"/>
  <c r="AJ84" i="3"/>
  <c r="BF83" i="3"/>
  <c r="BE83" i="3"/>
  <c r="BC83" i="3"/>
  <c r="AS83" i="3"/>
  <c r="AR83" i="3"/>
  <c r="AQ83" i="3"/>
  <c r="AP83" i="3"/>
  <c r="AO83" i="3"/>
  <c r="AL83" i="3"/>
  <c r="AK83" i="3"/>
  <c r="AN83" i="3" s="1"/>
  <c r="AZ83" i="3" s="1"/>
  <c r="AJ83" i="3"/>
  <c r="BF82" i="3"/>
  <c r="BE82" i="3"/>
  <c r="BC82" i="3"/>
  <c r="AS82" i="3"/>
  <c r="AR82" i="3"/>
  <c r="AQ82" i="3"/>
  <c r="AP82" i="3"/>
  <c r="AO82" i="3"/>
  <c r="AL82" i="3"/>
  <c r="AK82" i="3"/>
  <c r="AN82" i="3" s="1"/>
  <c r="AZ82" i="3" s="1"/>
  <c r="AJ82" i="3"/>
  <c r="BE81" i="3"/>
  <c r="BF81" i="3" s="1"/>
  <c r="BC81" i="3"/>
  <c r="AS81" i="3"/>
  <c r="AR81" i="3"/>
  <c r="AQ81" i="3"/>
  <c r="AP81" i="3"/>
  <c r="AO81" i="3"/>
  <c r="AL81" i="3"/>
  <c r="AK81" i="3"/>
  <c r="AN81" i="3" s="1"/>
  <c r="AZ81" i="3" s="1"/>
  <c r="AJ81" i="3"/>
  <c r="BE80" i="3"/>
  <c r="BF80" i="3" s="1"/>
  <c r="BC80" i="3"/>
  <c r="AS80" i="3"/>
  <c r="AR80" i="3"/>
  <c r="AQ80" i="3"/>
  <c r="AP80" i="3"/>
  <c r="AO80" i="3"/>
  <c r="AN80" i="3"/>
  <c r="AZ80" i="3" s="1"/>
  <c r="AL80" i="3"/>
  <c r="AK80" i="3"/>
  <c r="AJ80" i="3"/>
  <c r="BF79" i="3"/>
  <c r="BE79" i="3"/>
  <c r="BC79" i="3"/>
  <c r="AS79" i="3"/>
  <c r="AR79" i="3"/>
  <c r="AQ79" i="3"/>
  <c r="AP79" i="3"/>
  <c r="AO79" i="3"/>
  <c r="AL79" i="3"/>
  <c r="AK79" i="3"/>
  <c r="AN79" i="3" s="1"/>
  <c r="AZ79" i="3" s="1"/>
  <c r="AJ79" i="3"/>
  <c r="BF78" i="3"/>
  <c r="BE78" i="3"/>
  <c r="BC78" i="3"/>
  <c r="AS78" i="3"/>
  <c r="AR78" i="3"/>
  <c r="AQ78" i="3"/>
  <c r="AP78" i="3"/>
  <c r="AO78" i="3"/>
  <c r="AL78" i="3"/>
  <c r="AK78" i="3"/>
  <c r="AN78" i="3" s="1"/>
  <c r="AZ78" i="3" s="1"/>
  <c r="AJ78" i="3"/>
  <c r="BH77" i="3"/>
  <c r="BE77" i="3"/>
  <c r="BF77" i="3" s="1"/>
  <c r="BC77" i="3"/>
  <c r="AS77" i="3"/>
  <c r="AR77" i="3"/>
  <c r="AQ77" i="3"/>
  <c r="AP77" i="3"/>
  <c r="AO77" i="3"/>
  <c r="AL77" i="3"/>
  <c r="AN77" i="3" s="1"/>
  <c r="AZ77" i="3" s="1"/>
  <c r="AK77" i="3"/>
  <c r="AJ77" i="3"/>
  <c r="BH76" i="3"/>
  <c r="BE76" i="3"/>
  <c r="BF76" i="3" s="1"/>
  <c r="BC76" i="3"/>
  <c r="AS76" i="3"/>
  <c r="AR76" i="3"/>
  <c r="AQ76" i="3"/>
  <c r="AP76" i="3"/>
  <c r="AO76" i="3"/>
  <c r="AL76" i="3"/>
  <c r="AK76" i="3"/>
  <c r="AN76" i="3" s="1"/>
  <c r="AZ76" i="3" s="1"/>
  <c r="AJ76" i="3"/>
  <c r="BH75" i="3"/>
  <c r="BE75" i="3"/>
  <c r="BF75" i="3" s="1"/>
  <c r="BC75" i="3"/>
  <c r="AS75" i="3"/>
  <c r="AR75" i="3"/>
  <c r="AQ75" i="3"/>
  <c r="AP75" i="3"/>
  <c r="AO75" i="3"/>
  <c r="AL75" i="3"/>
  <c r="AK75" i="3"/>
  <c r="AN75" i="3" s="1"/>
  <c r="AZ75" i="3" s="1"/>
  <c r="AJ75" i="3"/>
  <c r="BH74" i="3"/>
  <c r="BE74" i="3"/>
  <c r="BF74" i="3" s="1"/>
  <c r="BC74" i="3"/>
  <c r="AS74" i="3"/>
  <c r="AR74" i="3"/>
  <c r="AQ74" i="3"/>
  <c r="AP74" i="3"/>
  <c r="AO74" i="3"/>
  <c r="AN74" i="3"/>
  <c r="AZ74" i="3" s="1"/>
  <c r="AL74" i="3"/>
  <c r="AK74" i="3"/>
  <c r="AJ74" i="3"/>
  <c r="BH73" i="3"/>
  <c r="BF73" i="3"/>
  <c r="BE73" i="3"/>
  <c r="BC73" i="3"/>
  <c r="AS73" i="3"/>
  <c r="AR73" i="3"/>
  <c r="AQ73" i="3"/>
  <c r="AP73" i="3"/>
  <c r="AO73" i="3"/>
  <c r="AL73" i="3"/>
  <c r="AK73" i="3"/>
  <c r="AN73" i="3" s="1"/>
  <c r="AZ73" i="3" s="1"/>
  <c r="AJ73" i="3"/>
  <c r="BH72" i="3"/>
  <c r="BE72" i="3"/>
  <c r="BF72" i="3" s="1"/>
  <c r="BC72" i="3"/>
  <c r="AS72" i="3"/>
  <c r="AR72" i="3"/>
  <c r="AQ72" i="3"/>
  <c r="AP72" i="3"/>
  <c r="AO72" i="3"/>
  <c r="AL72" i="3"/>
  <c r="AN72" i="3" s="1"/>
  <c r="AZ72" i="3" s="1"/>
  <c r="AK72" i="3"/>
  <c r="AJ72" i="3"/>
  <c r="BH71" i="3"/>
  <c r="BE71" i="3"/>
  <c r="BF71" i="3" s="1"/>
  <c r="BC71" i="3"/>
  <c r="AS71" i="3"/>
  <c r="AR71" i="3"/>
  <c r="AQ71" i="3"/>
  <c r="AP71" i="3"/>
  <c r="AO71" i="3"/>
  <c r="AL71" i="3"/>
  <c r="AK71" i="3"/>
  <c r="AN71" i="3" s="1"/>
  <c r="AZ71" i="3" s="1"/>
  <c r="AJ71" i="3"/>
  <c r="A70" i="3"/>
  <c r="BH69" i="3"/>
  <c r="BE69" i="3"/>
  <c r="BF69" i="3" s="1"/>
  <c r="BC69" i="3"/>
  <c r="AS69" i="3"/>
  <c r="AR69" i="3"/>
  <c r="AQ69" i="3"/>
  <c r="AP69" i="3"/>
  <c r="AO69" i="3"/>
  <c r="AN69" i="3"/>
  <c r="AZ69" i="3" s="1"/>
  <c r="AL69" i="3"/>
  <c r="AK69" i="3"/>
  <c r="AJ69" i="3"/>
  <c r="BH68" i="3"/>
  <c r="BE68" i="3"/>
  <c r="BF68" i="3" s="1"/>
  <c r="BC68" i="3"/>
  <c r="AS68" i="3"/>
  <c r="AR68" i="3"/>
  <c r="AQ68" i="3"/>
  <c r="AP68" i="3"/>
  <c r="AO68" i="3"/>
  <c r="AL68" i="3"/>
  <c r="AK68" i="3"/>
  <c r="AN68" i="3" s="1"/>
  <c r="AZ68" i="3" s="1"/>
  <c r="BH67" i="3"/>
  <c r="BE67" i="3"/>
  <c r="BF67" i="3" s="1"/>
  <c r="BC67" i="3"/>
  <c r="AS67" i="3"/>
  <c r="AR67" i="3"/>
  <c r="AQ67" i="3"/>
  <c r="AP67" i="3"/>
  <c r="AO67" i="3"/>
  <c r="AL67" i="3"/>
  <c r="AK67" i="3"/>
  <c r="AN67" i="3" s="1"/>
  <c r="AZ67" i="3" s="1"/>
  <c r="AJ67" i="3"/>
  <c r="BH66" i="3"/>
  <c r="BE66" i="3"/>
  <c r="BF66" i="3" s="1"/>
  <c r="BC66" i="3"/>
  <c r="AZ66" i="3"/>
  <c r="AS66" i="3"/>
  <c r="AR66" i="3"/>
  <c r="AQ66" i="3"/>
  <c r="AP66" i="3"/>
  <c r="AO66" i="3"/>
  <c r="AN66" i="3"/>
  <c r="AL66" i="3"/>
  <c r="AK66" i="3"/>
  <c r="AJ66" i="3"/>
  <c r="BH65" i="3"/>
  <c r="BF65" i="3"/>
  <c r="BE65" i="3"/>
  <c r="BC65" i="3"/>
  <c r="AS65" i="3"/>
  <c r="AR65" i="3"/>
  <c r="AQ65" i="3"/>
  <c r="AP65" i="3"/>
  <c r="AO65" i="3"/>
  <c r="AL65" i="3"/>
  <c r="AK65" i="3"/>
  <c r="AN65" i="3" s="1"/>
  <c r="AZ65" i="3" s="1"/>
  <c r="AJ65" i="3"/>
  <c r="A64" i="3"/>
  <c r="BH63" i="3"/>
  <c r="BE63" i="3"/>
  <c r="BF63" i="3" s="1"/>
  <c r="BC63" i="3"/>
  <c r="AS63" i="3"/>
  <c r="AR63" i="3"/>
  <c r="AQ63" i="3"/>
  <c r="AP63" i="3"/>
  <c r="AO63" i="3"/>
  <c r="AN63" i="3"/>
  <c r="AZ63" i="3" s="1"/>
  <c r="AL63" i="3"/>
  <c r="AK63" i="3"/>
  <c r="AJ63" i="3"/>
  <c r="BH62" i="3"/>
  <c r="BF62" i="3"/>
  <c r="BE62" i="3"/>
  <c r="BC62" i="3"/>
  <c r="AS62" i="3"/>
  <c r="AR62" i="3"/>
  <c r="AQ62" i="3"/>
  <c r="AP62" i="3"/>
  <c r="AO62" i="3"/>
  <c r="AL62" i="3"/>
  <c r="AK62" i="3"/>
  <c r="AN62" i="3" s="1"/>
  <c r="AZ62" i="3" s="1"/>
  <c r="AJ62" i="3"/>
  <c r="BH61" i="3"/>
  <c r="BE61" i="3"/>
  <c r="BF61" i="3" s="1"/>
  <c r="BC61" i="3"/>
  <c r="AS61" i="3"/>
  <c r="AR61" i="3"/>
  <c r="AQ61" i="3"/>
  <c r="AP61" i="3"/>
  <c r="AO61" i="3"/>
  <c r="AN61" i="3"/>
  <c r="AZ61" i="3" s="1"/>
  <c r="AL61" i="3"/>
  <c r="AK61" i="3"/>
  <c r="AJ61" i="3"/>
  <c r="BH60" i="3"/>
  <c r="BE60" i="3"/>
  <c r="BF60" i="3" s="1"/>
  <c r="BC60" i="3"/>
  <c r="AS60" i="3"/>
  <c r="AR60" i="3"/>
  <c r="AQ60" i="3"/>
  <c r="AP60" i="3"/>
  <c r="AO60" i="3"/>
  <c r="AL60" i="3"/>
  <c r="AK60" i="3"/>
  <c r="AN60" i="3" s="1"/>
  <c r="AZ60" i="3" s="1"/>
  <c r="AJ60" i="3"/>
  <c r="BH59" i="3"/>
  <c r="BE59" i="3"/>
  <c r="BF59" i="3" s="1"/>
  <c r="BC59" i="3"/>
  <c r="AS59" i="3"/>
  <c r="AR59" i="3"/>
  <c r="AQ59" i="3"/>
  <c r="AP59" i="3"/>
  <c r="AO59" i="3"/>
  <c r="AL59" i="3"/>
  <c r="AK59" i="3"/>
  <c r="AN59" i="3" s="1"/>
  <c r="AJ59" i="3"/>
  <c r="BH58" i="3"/>
  <c r="BE58" i="3"/>
  <c r="BF58" i="3" s="1"/>
  <c r="BC58" i="3"/>
  <c r="AS58" i="3"/>
  <c r="AR58" i="3"/>
  <c r="AQ58" i="3"/>
  <c r="AP58" i="3"/>
  <c r="AO58" i="3"/>
  <c r="AN58" i="3"/>
  <c r="AL58" i="3"/>
  <c r="AK58" i="3"/>
  <c r="AJ58" i="3"/>
  <c r="BH57" i="3"/>
  <c r="BF57" i="3"/>
  <c r="BE57" i="3"/>
  <c r="BC57" i="3"/>
  <c r="AS57" i="3"/>
  <c r="AR57" i="3"/>
  <c r="AQ57" i="3"/>
  <c r="AP57" i="3"/>
  <c r="AO57" i="3"/>
  <c r="AL57" i="3"/>
  <c r="AK57" i="3"/>
  <c r="AN57" i="3" s="1"/>
  <c r="AZ57" i="3" s="1"/>
  <c r="AJ57" i="3"/>
  <c r="BH56" i="3"/>
  <c r="BE56" i="3"/>
  <c r="BF56" i="3" s="1"/>
  <c r="BC56" i="3"/>
  <c r="AS56" i="3"/>
  <c r="AR56" i="3"/>
  <c r="AQ56" i="3"/>
  <c r="AP56" i="3"/>
  <c r="AO56" i="3"/>
  <c r="AL56" i="3"/>
  <c r="AK56" i="3"/>
  <c r="AN56" i="3" s="1"/>
  <c r="AZ56" i="3" s="1"/>
  <c r="AJ56" i="3"/>
  <c r="BH55" i="3"/>
  <c r="BF55" i="3"/>
  <c r="BE55" i="3"/>
  <c r="BC55" i="3"/>
  <c r="AS55" i="3"/>
  <c r="AR55" i="3"/>
  <c r="AQ55" i="3"/>
  <c r="AP55" i="3"/>
  <c r="AO55" i="3"/>
  <c r="AL55" i="3"/>
  <c r="AK55" i="3"/>
  <c r="AN55" i="3" s="1"/>
  <c r="AZ55" i="3" s="1"/>
  <c r="AJ55" i="3"/>
  <c r="A54" i="3"/>
  <c r="BE53" i="3"/>
  <c r="BF53" i="3" s="1"/>
  <c r="BC53" i="3"/>
  <c r="AZ53" i="3"/>
  <c r="AS53" i="3"/>
  <c r="AR53" i="3"/>
  <c r="AQ53" i="3"/>
  <c r="AP53" i="3"/>
  <c r="AO53" i="3"/>
  <c r="AL53" i="3"/>
  <c r="AN53" i="3" s="1"/>
  <c r="AK53" i="3"/>
  <c r="AJ53" i="3"/>
  <c r="BH52" i="3"/>
  <c r="BE52" i="3"/>
  <c r="BF52" i="3" s="1"/>
  <c r="BC52" i="3"/>
  <c r="AS52" i="3"/>
  <c r="AR52" i="3"/>
  <c r="AQ52" i="3"/>
  <c r="AP52" i="3"/>
  <c r="AO52" i="3"/>
  <c r="AL52" i="3"/>
  <c r="AK52" i="3"/>
  <c r="AN52" i="3" s="1"/>
  <c r="AZ52" i="3" s="1"/>
  <c r="AJ52" i="3"/>
  <c r="BH51" i="3"/>
  <c r="BE51" i="3"/>
  <c r="BF51" i="3" s="1"/>
  <c r="BC51" i="3"/>
  <c r="AS51" i="3"/>
  <c r="AR51" i="3"/>
  <c r="AQ51" i="3"/>
  <c r="AP51" i="3"/>
  <c r="AO51" i="3"/>
  <c r="AL51" i="3"/>
  <c r="AK51" i="3"/>
  <c r="AN51" i="3" s="1"/>
  <c r="AZ51" i="3" s="1"/>
  <c r="AJ51" i="3"/>
  <c r="BH50" i="3"/>
  <c r="BE50" i="3"/>
  <c r="BF50" i="3" s="1"/>
  <c r="BC50" i="3"/>
  <c r="AS50" i="3"/>
  <c r="AR50" i="3"/>
  <c r="AQ50" i="3"/>
  <c r="AP50" i="3"/>
  <c r="AO50" i="3"/>
  <c r="AL50" i="3"/>
  <c r="AK50" i="3"/>
  <c r="AN50" i="3" s="1"/>
  <c r="AZ50" i="3" s="1"/>
  <c r="AJ50" i="3"/>
  <c r="BH49" i="3"/>
  <c r="BF49" i="3"/>
  <c r="BE49" i="3"/>
  <c r="BC49" i="3"/>
  <c r="AS49" i="3"/>
  <c r="AR49" i="3"/>
  <c r="AQ49" i="3"/>
  <c r="AP49" i="3"/>
  <c r="AO49" i="3"/>
  <c r="AL49" i="3"/>
  <c r="AK49" i="3"/>
  <c r="AN49" i="3" s="1"/>
  <c r="AZ49" i="3" s="1"/>
  <c r="AJ49" i="3"/>
  <c r="A48" i="3"/>
  <c r="BH47" i="3"/>
  <c r="BE47" i="3"/>
  <c r="BF47" i="3" s="1"/>
  <c r="BC47" i="3"/>
  <c r="AS47" i="3"/>
  <c r="AR47" i="3"/>
  <c r="AQ47" i="3"/>
  <c r="AP47" i="3"/>
  <c r="AO47" i="3"/>
  <c r="AN47" i="3"/>
  <c r="AZ47" i="3" s="1"/>
  <c r="AL47" i="3"/>
  <c r="AK47" i="3"/>
  <c r="AJ47" i="3"/>
  <c r="BH46" i="3"/>
  <c r="BE46" i="3"/>
  <c r="BF46" i="3" s="1"/>
  <c r="BC46" i="3"/>
  <c r="AS46" i="3"/>
  <c r="AR46" i="3"/>
  <c r="AQ46" i="3"/>
  <c r="AP46" i="3"/>
  <c r="AO46" i="3"/>
  <c r="AL46" i="3"/>
  <c r="AK46" i="3"/>
  <c r="AN46" i="3" s="1"/>
  <c r="AZ46" i="3" s="1"/>
  <c r="AJ46" i="3"/>
  <c r="BH45" i="3"/>
  <c r="BE45" i="3"/>
  <c r="BF45" i="3" s="1"/>
  <c r="BC45" i="3"/>
  <c r="AS45" i="3"/>
  <c r="AR45" i="3"/>
  <c r="AQ45" i="3"/>
  <c r="AP45" i="3"/>
  <c r="AO45" i="3"/>
  <c r="AN45" i="3"/>
  <c r="AZ45" i="3" s="1"/>
  <c r="AL45" i="3"/>
  <c r="AK45" i="3"/>
  <c r="AJ45" i="3"/>
  <c r="BH44" i="3"/>
  <c r="BE44" i="3"/>
  <c r="BF44" i="3" s="1"/>
  <c r="BC44" i="3"/>
  <c r="AS44" i="3"/>
  <c r="AR44" i="3"/>
  <c r="AQ44" i="3"/>
  <c r="AP44" i="3"/>
  <c r="AO44" i="3"/>
  <c r="AL44" i="3"/>
  <c r="AK44" i="3"/>
  <c r="AN44" i="3" s="1"/>
  <c r="AZ44" i="3" s="1"/>
  <c r="AJ44" i="3"/>
  <c r="BH43" i="3"/>
  <c r="BF43" i="3"/>
  <c r="BE43" i="3"/>
  <c r="BC43" i="3"/>
  <c r="AS43" i="3"/>
  <c r="AR43" i="3"/>
  <c r="AQ43" i="3"/>
  <c r="AP43" i="3"/>
  <c r="AO43" i="3"/>
  <c r="AL43" i="3"/>
  <c r="AN43" i="3" s="1"/>
  <c r="AZ43" i="3" s="1"/>
  <c r="AK43" i="3"/>
  <c r="AJ43" i="3"/>
  <c r="BH42" i="3"/>
  <c r="BE42" i="3"/>
  <c r="BF42" i="3" s="1"/>
  <c r="BC42" i="3"/>
  <c r="AS42" i="3"/>
  <c r="AR42" i="3"/>
  <c r="AQ42" i="3"/>
  <c r="AP42" i="3"/>
  <c r="AO42" i="3"/>
  <c r="AN42" i="3"/>
  <c r="AZ42" i="3" s="1"/>
  <c r="AL42" i="3"/>
  <c r="AK42" i="3"/>
  <c r="AJ42" i="3"/>
  <c r="BH41" i="3"/>
  <c r="BE41" i="3"/>
  <c r="BF41" i="3" s="1"/>
  <c r="BC41" i="3"/>
  <c r="AS41" i="3"/>
  <c r="AR41" i="3"/>
  <c r="AQ41" i="3"/>
  <c r="AP41" i="3"/>
  <c r="AO41" i="3"/>
  <c r="AL41" i="3"/>
  <c r="AK41" i="3"/>
  <c r="AN41" i="3" s="1"/>
  <c r="AZ41" i="3" s="1"/>
  <c r="AJ41" i="3"/>
  <c r="A40" i="3"/>
  <c r="BH39" i="3"/>
  <c r="BE39" i="3"/>
  <c r="BF39" i="3" s="1"/>
  <c r="BC39" i="3"/>
  <c r="AS39" i="3"/>
  <c r="AR39" i="3"/>
  <c r="AQ39" i="3"/>
  <c r="AP39" i="3"/>
  <c r="AO39" i="3"/>
  <c r="AL39" i="3"/>
  <c r="AK39" i="3"/>
  <c r="AN39" i="3" s="1"/>
  <c r="AJ39" i="3"/>
  <c r="BH38" i="3"/>
  <c r="BE38" i="3"/>
  <c r="BF38" i="3" s="1"/>
  <c r="BC38" i="3"/>
  <c r="AS38" i="3"/>
  <c r="AR38" i="3"/>
  <c r="AQ38" i="3"/>
  <c r="AP38" i="3"/>
  <c r="AO38" i="3"/>
  <c r="AL38" i="3"/>
  <c r="AK38" i="3"/>
  <c r="AN38" i="3" s="1"/>
  <c r="AZ38" i="3" s="1"/>
  <c r="AJ38" i="3"/>
  <c r="BE37" i="3"/>
  <c r="BF37" i="3" s="1"/>
  <c r="BC37" i="3"/>
  <c r="AS37" i="3"/>
  <c r="AR37" i="3"/>
  <c r="AQ37" i="3"/>
  <c r="AP37" i="3"/>
  <c r="AO37" i="3"/>
  <c r="AL37" i="3"/>
  <c r="AK37" i="3"/>
  <c r="AN37" i="3" s="1"/>
  <c r="AZ37" i="3" s="1"/>
  <c r="AJ37" i="3"/>
  <c r="BH36" i="3"/>
  <c r="BE36" i="3"/>
  <c r="BF36" i="3" s="1"/>
  <c r="BC36" i="3"/>
  <c r="AS36" i="3"/>
  <c r="AR36" i="3"/>
  <c r="AQ36" i="3"/>
  <c r="AP36" i="3"/>
  <c r="AO36" i="3"/>
  <c r="AL36" i="3"/>
  <c r="AK36" i="3"/>
  <c r="AN36" i="3" s="1"/>
  <c r="AZ36" i="3" s="1"/>
  <c r="AJ36" i="3"/>
  <c r="A35" i="3"/>
  <c r="BH34" i="3"/>
  <c r="BE34" i="3"/>
  <c r="BF34" i="3" s="1"/>
  <c r="BC34" i="3"/>
  <c r="AZ34" i="3"/>
  <c r="AS34" i="3"/>
  <c r="AR34" i="3"/>
  <c r="AQ34" i="3"/>
  <c r="AP34" i="3"/>
  <c r="AO34" i="3"/>
  <c r="AN34" i="3"/>
  <c r="AL34" i="3"/>
  <c r="AK34" i="3"/>
  <c r="BH33" i="3"/>
  <c r="BE33" i="3"/>
  <c r="BF33" i="3" s="1"/>
  <c r="BC33" i="3"/>
  <c r="AS33" i="3"/>
  <c r="AR33" i="3"/>
  <c r="AQ33" i="3"/>
  <c r="AP33" i="3"/>
  <c r="AO33" i="3"/>
  <c r="AL33" i="3"/>
  <c r="AK33" i="3"/>
  <c r="AN33" i="3" s="1"/>
  <c r="BH32" i="3"/>
  <c r="BF32" i="3"/>
  <c r="BE32" i="3"/>
  <c r="BC32" i="3"/>
  <c r="AS32" i="3"/>
  <c r="AR32" i="3"/>
  <c r="AQ32" i="3"/>
  <c r="AP32" i="3"/>
  <c r="AO32" i="3"/>
  <c r="AL32" i="3"/>
  <c r="AK32" i="3"/>
  <c r="AN32" i="3" s="1"/>
  <c r="AZ32" i="3" s="1"/>
  <c r="AJ32" i="3"/>
  <c r="BH31" i="3"/>
  <c r="BE31" i="3"/>
  <c r="BF31" i="3" s="1"/>
  <c r="BC31" i="3"/>
  <c r="AS31" i="3"/>
  <c r="AR31" i="3"/>
  <c r="AQ31" i="3"/>
  <c r="AP31" i="3"/>
  <c r="AO31" i="3"/>
  <c r="AL31" i="3"/>
  <c r="AK31" i="3"/>
  <c r="AN31" i="3" s="1"/>
  <c r="AZ31" i="3" s="1"/>
  <c r="AJ31" i="3"/>
  <c r="BH30" i="3"/>
  <c r="BF30" i="3"/>
  <c r="BE30" i="3"/>
  <c r="BC30" i="3"/>
  <c r="AS30" i="3"/>
  <c r="AR30" i="3"/>
  <c r="AQ30" i="3"/>
  <c r="AP30" i="3"/>
  <c r="AO30" i="3"/>
  <c r="AL30" i="3"/>
  <c r="AK30" i="3"/>
  <c r="AN30" i="3" s="1"/>
  <c r="AZ30" i="3" s="1"/>
  <c r="AJ30" i="3"/>
  <c r="BH29" i="3"/>
  <c r="BE29" i="3"/>
  <c r="BF29" i="3" s="1"/>
  <c r="BC29" i="3"/>
  <c r="AS29" i="3"/>
  <c r="AR29" i="3"/>
  <c r="AQ29" i="3"/>
  <c r="AP29" i="3"/>
  <c r="AO29" i="3"/>
  <c r="AL29" i="3"/>
  <c r="AK29" i="3"/>
  <c r="AN29" i="3" s="1"/>
  <c r="AJ29" i="3"/>
  <c r="A28" i="3"/>
  <c r="BE27" i="3"/>
  <c r="BF27" i="3" s="1"/>
  <c r="BC27" i="3"/>
  <c r="AS27" i="3"/>
  <c r="AR27" i="3"/>
  <c r="AQ27" i="3"/>
  <c r="AP27" i="3"/>
  <c r="AO27" i="3"/>
  <c r="AL27" i="3"/>
  <c r="AK27" i="3"/>
  <c r="AN27" i="3" s="1"/>
  <c r="BE26" i="3"/>
  <c r="BF26" i="3" s="1"/>
  <c r="BC26" i="3"/>
  <c r="AS26" i="3"/>
  <c r="AR26" i="3"/>
  <c r="AQ26" i="3"/>
  <c r="AP26" i="3"/>
  <c r="AO26" i="3"/>
  <c r="AL26" i="3"/>
  <c r="AK26" i="3"/>
  <c r="AN26" i="3" s="1"/>
  <c r="AZ26" i="3" s="1"/>
  <c r="AJ26" i="3"/>
  <c r="BE25" i="3"/>
  <c r="BF25" i="3" s="1"/>
  <c r="BC25" i="3"/>
  <c r="AS25" i="3"/>
  <c r="AR25" i="3"/>
  <c r="AQ25" i="3"/>
  <c r="AP25" i="3"/>
  <c r="AO25" i="3"/>
  <c r="AL25" i="3"/>
  <c r="AK25" i="3"/>
  <c r="AN25" i="3" s="1"/>
  <c r="AZ25" i="3" s="1"/>
  <c r="BE24" i="3"/>
  <c r="BF24" i="3" s="1"/>
  <c r="BC24" i="3"/>
  <c r="AS24" i="3"/>
  <c r="AR24" i="3"/>
  <c r="AQ24" i="3"/>
  <c r="AP24" i="3"/>
  <c r="AO24" i="3"/>
  <c r="AL24" i="3"/>
  <c r="AK24" i="3"/>
  <c r="AN24" i="3" s="1"/>
  <c r="AJ24" i="3"/>
  <c r="BE23" i="3"/>
  <c r="BF23" i="3" s="1"/>
  <c r="BC23" i="3"/>
  <c r="AS23" i="3"/>
  <c r="AR23" i="3"/>
  <c r="AQ23" i="3"/>
  <c r="AP23" i="3"/>
  <c r="AO23" i="3"/>
  <c r="AN23" i="3"/>
  <c r="AZ23" i="3" s="1"/>
  <c r="AL23" i="3"/>
  <c r="AK23" i="3"/>
  <c r="AJ23" i="3"/>
  <c r="BE22" i="3"/>
  <c r="BF22" i="3" s="1"/>
  <c r="BC22" i="3"/>
  <c r="AS22" i="3"/>
  <c r="AR22" i="3"/>
  <c r="AQ22" i="3"/>
  <c r="AP22" i="3"/>
  <c r="AO22" i="3"/>
  <c r="AL22" i="3"/>
  <c r="AK22" i="3"/>
  <c r="AN22" i="3" s="1"/>
  <c r="AZ22" i="3" s="1"/>
  <c r="AJ22" i="3"/>
  <c r="BH21" i="3"/>
  <c r="BE21" i="3"/>
  <c r="BF21" i="3" s="1"/>
  <c r="BC21" i="3"/>
  <c r="AS21" i="3"/>
  <c r="AR21" i="3"/>
  <c r="AQ21" i="3"/>
  <c r="AP21" i="3"/>
  <c r="AO21" i="3"/>
  <c r="AL21" i="3"/>
  <c r="AK21" i="3"/>
  <c r="AN21" i="3" s="1"/>
  <c r="AZ21" i="3" s="1"/>
  <c r="AJ21" i="3"/>
  <c r="BH20" i="3"/>
  <c r="BE20" i="3"/>
  <c r="BF20" i="3" s="1"/>
  <c r="BC20" i="3"/>
  <c r="AZ20" i="3"/>
  <c r="AS20" i="3"/>
  <c r="AR20" i="3"/>
  <c r="AQ20" i="3"/>
  <c r="AP20" i="3"/>
  <c r="AO20" i="3"/>
  <c r="AN20" i="3"/>
  <c r="AL20" i="3"/>
  <c r="AK20" i="3"/>
  <c r="AJ20" i="3"/>
  <c r="BH19" i="3"/>
  <c r="BF19" i="3"/>
  <c r="BE19" i="3"/>
  <c r="BC19" i="3"/>
  <c r="AS19" i="3"/>
  <c r="AR19" i="3"/>
  <c r="AQ19" i="3"/>
  <c r="AP19" i="3"/>
  <c r="AO19" i="3"/>
  <c r="AL19" i="3"/>
  <c r="AK19" i="3"/>
  <c r="AN19" i="3" s="1"/>
  <c r="AZ19" i="3" s="1"/>
  <c r="AJ19" i="3"/>
  <c r="A18" i="3"/>
  <c r="BH17" i="3"/>
  <c r="BE17" i="3"/>
  <c r="BF17" i="3" s="1"/>
  <c r="BC17" i="3"/>
  <c r="AS17" i="3"/>
  <c r="AR17" i="3"/>
  <c r="AQ17" i="3"/>
  <c r="AP17" i="3"/>
  <c r="AO17" i="3"/>
  <c r="AN17" i="3"/>
  <c r="AZ17" i="3" s="1"/>
  <c r="AL17" i="3"/>
  <c r="AK17" i="3"/>
  <c r="AJ17" i="3"/>
  <c r="BH16" i="3"/>
  <c r="BF16" i="3"/>
  <c r="BE16" i="3"/>
  <c r="BC16" i="3"/>
  <c r="AS16" i="3"/>
  <c r="AR16" i="3"/>
  <c r="AQ16" i="3"/>
  <c r="AP16" i="3"/>
  <c r="AO16" i="3"/>
  <c r="AL16" i="3"/>
  <c r="AL115" i="3" s="1"/>
  <c r="AK16" i="3"/>
  <c r="AJ16" i="3"/>
  <c r="AJ115" i="3" s="1"/>
  <c r="BH15" i="3"/>
  <c r="BE15" i="3"/>
  <c r="BF15" i="3" s="1"/>
  <c r="BC15" i="3"/>
  <c r="AS15" i="3"/>
  <c r="AR15" i="3"/>
  <c r="AQ15" i="3"/>
  <c r="AP15" i="3"/>
  <c r="AO15" i="3"/>
  <c r="AL15" i="3"/>
  <c r="AK15" i="3"/>
  <c r="AN15" i="3" s="1"/>
  <c r="AZ15" i="3" s="1"/>
  <c r="AJ15" i="3"/>
  <c r="A15" i="3"/>
  <c r="BE14" i="3"/>
  <c r="BF14" i="3" s="1"/>
  <c r="BC14" i="3"/>
  <c r="AS14" i="3"/>
  <c r="AR14" i="3"/>
  <c r="AQ14" i="3"/>
  <c r="AP14" i="3"/>
  <c r="AO14" i="3"/>
  <c r="AN14" i="3"/>
  <c r="AZ14" i="3" s="1"/>
  <c r="AL14" i="3"/>
  <c r="AK14" i="3"/>
  <c r="A14" i="3"/>
  <c r="A16" i="3" s="1"/>
  <c r="F10" i="3"/>
  <c r="G10" i="3" s="1"/>
  <c r="E10" i="3"/>
  <c r="E11" i="3" s="1"/>
  <c r="AJ9" i="3"/>
  <c r="I8" i="3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C8" i="3"/>
  <c r="D8" i="3" s="1"/>
  <c r="E8" i="3" s="1"/>
  <c r="F8" i="3" s="1"/>
  <c r="G8" i="3" s="1"/>
  <c r="H8" i="3" s="1"/>
  <c r="D1" i="3"/>
  <c r="A234" i="2"/>
  <c r="BC231" i="2"/>
  <c r="BB231" i="2"/>
  <c r="AZ231" i="2"/>
  <c r="AY231" i="2"/>
  <c r="AX231" i="2"/>
  <c r="AU231" i="2"/>
  <c r="AT231" i="2"/>
  <c r="AK231" i="2"/>
  <c r="B231" i="2"/>
  <c r="BR230" i="2"/>
  <c r="BO230" i="2"/>
  <c r="BN230" i="2"/>
  <c r="BM230" i="2"/>
  <c r="BK230" i="2"/>
  <c r="BJ230" i="2"/>
  <c r="BH230" i="2"/>
  <c r="BD230" i="2"/>
  <c r="AW230" i="2"/>
  <c r="AV230" i="2"/>
  <c r="AS230" i="2"/>
  <c r="AR230" i="2"/>
  <c r="AQ230" i="2"/>
  <c r="AP230" i="2"/>
  <c r="AO230" i="2"/>
  <c r="AM230" i="2"/>
  <c r="AL230" i="2"/>
  <c r="AN230" i="2" s="1"/>
  <c r="BA230" i="2" s="1"/>
  <c r="BR229" i="2"/>
  <c r="BO229" i="2"/>
  <c r="BN229" i="2"/>
  <c r="BM229" i="2"/>
  <c r="BJ229" i="2"/>
  <c r="BK229" i="2" s="1"/>
  <c r="BH229" i="2"/>
  <c r="BD229" i="2"/>
  <c r="AW229" i="2"/>
  <c r="AV229" i="2"/>
  <c r="AS229" i="2"/>
  <c r="AR229" i="2"/>
  <c r="AQ229" i="2"/>
  <c r="AP229" i="2"/>
  <c r="AO229" i="2"/>
  <c r="AM229" i="2"/>
  <c r="AL229" i="2"/>
  <c r="AN229" i="2" s="1"/>
  <c r="BA229" i="2" s="1"/>
  <c r="BR228" i="2"/>
  <c r="BO228" i="2"/>
  <c r="BN228" i="2"/>
  <c r="BM228" i="2"/>
  <c r="BJ228" i="2"/>
  <c r="BK228" i="2" s="1"/>
  <c r="BH228" i="2"/>
  <c r="BD228" i="2"/>
  <c r="AW228" i="2"/>
  <c r="AV228" i="2"/>
  <c r="AS228" i="2"/>
  <c r="AR228" i="2"/>
  <c r="AQ228" i="2"/>
  <c r="AP228" i="2"/>
  <c r="AO228" i="2"/>
  <c r="AM228" i="2"/>
  <c r="AL228" i="2"/>
  <c r="AN228" i="2" s="1"/>
  <c r="BA228" i="2" s="1"/>
  <c r="BR227" i="2"/>
  <c r="BO227" i="2"/>
  <c r="BN227" i="2"/>
  <c r="BM227" i="2"/>
  <c r="BJ227" i="2"/>
  <c r="BK227" i="2" s="1"/>
  <c r="BH227" i="2"/>
  <c r="BD227" i="2"/>
  <c r="BA227" i="2"/>
  <c r="AW227" i="2"/>
  <c r="AV227" i="2"/>
  <c r="AS227" i="2"/>
  <c r="AR227" i="2"/>
  <c r="AQ227" i="2"/>
  <c r="AP227" i="2"/>
  <c r="AO227" i="2"/>
  <c r="AM227" i="2"/>
  <c r="AL227" i="2"/>
  <c r="AN227" i="2" s="1"/>
  <c r="BR226" i="2"/>
  <c r="BO226" i="2"/>
  <c r="BN226" i="2"/>
  <c r="BM226" i="2"/>
  <c r="BJ226" i="2"/>
  <c r="BK226" i="2" s="1"/>
  <c r="BH226" i="2"/>
  <c r="BD226" i="2"/>
  <c r="AW226" i="2"/>
  <c r="AV226" i="2"/>
  <c r="AS226" i="2"/>
  <c r="AR226" i="2"/>
  <c r="AQ226" i="2"/>
  <c r="AP226" i="2"/>
  <c r="AO226" i="2"/>
  <c r="AM226" i="2"/>
  <c r="AL226" i="2"/>
  <c r="AN226" i="2" s="1"/>
  <c r="BA226" i="2" s="1"/>
  <c r="BR225" i="2"/>
  <c r="BJ225" i="2"/>
  <c r="BH225" i="2"/>
  <c r="BD225" i="2"/>
  <c r="AW225" i="2"/>
  <c r="AV225" i="2"/>
  <c r="AS225" i="2"/>
  <c r="AR225" i="2"/>
  <c r="AQ225" i="2"/>
  <c r="AP225" i="2"/>
  <c r="AO225" i="2"/>
  <c r="AM225" i="2"/>
  <c r="AL225" i="2"/>
  <c r="AN225" i="2" s="1"/>
  <c r="BA225" i="2" s="1"/>
  <c r="BR224" i="2"/>
  <c r="BJ224" i="2"/>
  <c r="BH224" i="2"/>
  <c r="BD224" i="2"/>
  <c r="AW224" i="2"/>
  <c r="AV224" i="2"/>
  <c r="AS224" i="2"/>
  <c r="AR224" i="2"/>
  <c r="AQ224" i="2"/>
  <c r="AP224" i="2"/>
  <c r="AO224" i="2"/>
  <c r="AN224" i="2"/>
  <c r="AM224" i="2"/>
  <c r="AL224" i="2"/>
  <c r="BR223" i="2"/>
  <c r="BO223" i="2"/>
  <c r="BN223" i="2"/>
  <c r="BM223" i="2"/>
  <c r="BK223" i="2"/>
  <c r="BJ223" i="2"/>
  <c r="BH223" i="2"/>
  <c r="BD223" i="2"/>
  <c r="AW223" i="2"/>
  <c r="AV223" i="2"/>
  <c r="AS223" i="2"/>
  <c r="AR223" i="2"/>
  <c r="AQ223" i="2"/>
  <c r="AP223" i="2"/>
  <c r="AO223" i="2"/>
  <c r="AM223" i="2"/>
  <c r="AL223" i="2"/>
  <c r="AN223" i="2" s="1"/>
  <c r="BR222" i="2"/>
  <c r="BO222" i="2"/>
  <c r="BN222" i="2"/>
  <c r="BM222" i="2"/>
  <c r="BK222" i="2"/>
  <c r="BJ222" i="2"/>
  <c r="BH222" i="2"/>
  <c r="BD222" i="2"/>
  <c r="AW222" i="2"/>
  <c r="AV222" i="2"/>
  <c r="AS222" i="2"/>
  <c r="AR222" i="2"/>
  <c r="AQ222" i="2"/>
  <c r="AP222" i="2"/>
  <c r="AO222" i="2"/>
  <c r="AM222" i="2"/>
  <c r="AL222" i="2"/>
  <c r="AN222" i="2" s="1"/>
  <c r="BA222" i="2" s="1"/>
  <c r="BR221" i="2"/>
  <c r="BO221" i="2"/>
  <c r="BN221" i="2"/>
  <c r="BM221" i="2"/>
  <c r="BK221" i="2"/>
  <c r="BJ221" i="2"/>
  <c r="BH221" i="2"/>
  <c r="BD221" i="2"/>
  <c r="AW221" i="2"/>
  <c r="AV221" i="2"/>
  <c r="AS221" i="2"/>
  <c r="AR221" i="2"/>
  <c r="AQ221" i="2"/>
  <c r="AP221" i="2"/>
  <c r="AO221" i="2"/>
  <c r="AM221" i="2"/>
  <c r="AL221" i="2"/>
  <c r="AN221" i="2" s="1"/>
  <c r="BR220" i="2"/>
  <c r="BO220" i="2"/>
  <c r="BN220" i="2"/>
  <c r="BM220" i="2"/>
  <c r="BJ220" i="2"/>
  <c r="BK220" i="2" s="1"/>
  <c r="BH220" i="2"/>
  <c r="BD220" i="2"/>
  <c r="BA220" i="2"/>
  <c r="AW220" i="2"/>
  <c r="AV220" i="2"/>
  <c r="AS220" i="2"/>
  <c r="AR220" i="2"/>
  <c r="AQ220" i="2"/>
  <c r="AP220" i="2"/>
  <c r="AO220" i="2"/>
  <c r="AM220" i="2"/>
  <c r="AL220" i="2"/>
  <c r="AN220" i="2" s="1"/>
  <c r="BR219" i="2"/>
  <c r="BO219" i="2"/>
  <c r="BN219" i="2"/>
  <c r="BM219" i="2"/>
  <c r="BJ219" i="2"/>
  <c r="BK219" i="2" s="1"/>
  <c r="BH219" i="2"/>
  <c r="BD219" i="2"/>
  <c r="BA219" i="2"/>
  <c r="AW219" i="2"/>
  <c r="AV219" i="2"/>
  <c r="AS219" i="2"/>
  <c r="AR219" i="2"/>
  <c r="AQ219" i="2"/>
  <c r="AP219" i="2"/>
  <c r="AO219" i="2"/>
  <c r="AM219" i="2"/>
  <c r="AL219" i="2"/>
  <c r="AN219" i="2" s="1"/>
  <c r="BR218" i="2"/>
  <c r="BO218" i="2"/>
  <c r="BN218" i="2"/>
  <c r="BM218" i="2"/>
  <c r="BJ218" i="2"/>
  <c r="BK218" i="2" s="1"/>
  <c r="BH218" i="2"/>
  <c r="BD218" i="2"/>
  <c r="AW218" i="2"/>
  <c r="AV218" i="2"/>
  <c r="AS218" i="2"/>
  <c r="AR218" i="2"/>
  <c r="AQ218" i="2"/>
  <c r="AP218" i="2"/>
  <c r="AO218" i="2"/>
  <c r="AM218" i="2"/>
  <c r="AL218" i="2"/>
  <c r="AN218" i="2" s="1"/>
  <c r="BA218" i="2" s="1"/>
  <c r="BR217" i="2"/>
  <c r="BO217" i="2"/>
  <c r="BN217" i="2"/>
  <c r="BM217" i="2"/>
  <c r="BK217" i="2"/>
  <c r="BJ217" i="2"/>
  <c r="BH217" i="2"/>
  <c r="BD217" i="2"/>
  <c r="AW217" i="2"/>
  <c r="AV217" i="2"/>
  <c r="AS217" i="2"/>
  <c r="AR217" i="2"/>
  <c r="AQ217" i="2"/>
  <c r="AP217" i="2"/>
  <c r="AO217" i="2"/>
  <c r="AM217" i="2"/>
  <c r="AL217" i="2"/>
  <c r="AN217" i="2" s="1"/>
  <c r="BA217" i="2" s="1"/>
  <c r="BR216" i="2"/>
  <c r="BJ216" i="2"/>
  <c r="A216" i="2"/>
  <c r="BR215" i="2"/>
  <c r="BO215" i="2"/>
  <c r="BN215" i="2"/>
  <c r="BM215" i="2"/>
  <c r="BK215" i="2"/>
  <c r="BJ215" i="2"/>
  <c r="BH215" i="2"/>
  <c r="BD215" i="2"/>
  <c r="AW215" i="2"/>
  <c r="AV215" i="2"/>
  <c r="AS215" i="2"/>
  <c r="AR215" i="2"/>
  <c r="AQ215" i="2"/>
  <c r="AP215" i="2"/>
  <c r="AO215" i="2"/>
  <c r="AM215" i="2"/>
  <c r="AL215" i="2"/>
  <c r="AN215" i="2" s="1"/>
  <c r="BR214" i="2"/>
  <c r="BO214" i="2"/>
  <c r="BN214" i="2"/>
  <c r="BM214" i="2"/>
  <c r="BJ214" i="2"/>
  <c r="BK214" i="2" s="1"/>
  <c r="BH214" i="2"/>
  <c r="BD214" i="2"/>
  <c r="AW214" i="2"/>
  <c r="AV214" i="2"/>
  <c r="AS214" i="2"/>
  <c r="AR214" i="2"/>
  <c r="AQ214" i="2"/>
  <c r="AP214" i="2"/>
  <c r="AO214" i="2"/>
  <c r="AM214" i="2"/>
  <c r="AL214" i="2"/>
  <c r="AN214" i="2" s="1"/>
  <c r="BR213" i="2"/>
  <c r="BO213" i="2"/>
  <c r="BN213" i="2"/>
  <c r="BM213" i="2"/>
  <c r="BK213" i="2"/>
  <c r="BJ213" i="2"/>
  <c r="BH213" i="2"/>
  <c r="BD213" i="2"/>
  <c r="AW213" i="2"/>
  <c r="AV213" i="2"/>
  <c r="AS213" i="2"/>
  <c r="AR213" i="2"/>
  <c r="AQ213" i="2"/>
  <c r="AP213" i="2"/>
  <c r="AO213" i="2"/>
  <c r="AM213" i="2"/>
  <c r="AN213" i="2" s="1"/>
  <c r="BA213" i="2" s="1"/>
  <c r="AL213" i="2"/>
  <c r="BR212" i="2"/>
  <c r="BO212" i="2"/>
  <c r="BN212" i="2"/>
  <c r="BM212" i="2"/>
  <c r="BJ212" i="2"/>
  <c r="BK212" i="2" s="1"/>
  <c r="BH212" i="2"/>
  <c r="BD212" i="2"/>
  <c r="AW212" i="2"/>
  <c r="AV212" i="2"/>
  <c r="AS212" i="2"/>
  <c r="AR212" i="2"/>
  <c r="AQ212" i="2"/>
  <c r="AP212" i="2"/>
  <c r="AO212" i="2"/>
  <c r="AM212" i="2"/>
  <c r="AL212" i="2"/>
  <c r="AN212" i="2" s="1"/>
  <c r="BA212" i="2" s="1"/>
  <c r="BR211" i="2"/>
  <c r="BO211" i="2"/>
  <c r="BN211" i="2"/>
  <c r="BM211" i="2"/>
  <c r="BJ211" i="2"/>
  <c r="BK211" i="2" s="1"/>
  <c r="BH211" i="2"/>
  <c r="BD211" i="2"/>
  <c r="AW211" i="2"/>
  <c r="AV211" i="2"/>
  <c r="AS211" i="2"/>
  <c r="AR211" i="2"/>
  <c r="AQ211" i="2"/>
  <c r="AP211" i="2"/>
  <c r="AO211" i="2"/>
  <c r="AM211" i="2"/>
  <c r="AL211" i="2"/>
  <c r="BR210" i="2"/>
  <c r="BO210" i="2"/>
  <c r="BN210" i="2"/>
  <c r="BM210" i="2"/>
  <c r="BJ210" i="2"/>
  <c r="BK210" i="2" s="1"/>
  <c r="BH210" i="2"/>
  <c r="BD210" i="2"/>
  <c r="AW210" i="2"/>
  <c r="AV210" i="2"/>
  <c r="AS210" i="2"/>
  <c r="AR210" i="2"/>
  <c r="AQ210" i="2"/>
  <c r="AP210" i="2"/>
  <c r="AO210" i="2"/>
  <c r="AN210" i="2"/>
  <c r="BA210" i="2" s="1"/>
  <c r="AM210" i="2"/>
  <c r="AL210" i="2"/>
  <c r="BR209" i="2"/>
  <c r="BO209" i="2"/>
  <c r="BN209" i="2"/>
  <c r="BM209" i="2"/>
  <c r="BJ209" i="2"/>
  <c r="BK209" i="2" s="1"/>
  <c r="BH209" i="2"/>
  <c r="BD209" i="2"/>
  <c r="AW209" i="2"/>
  <c r="AV209" i="2"/>
  <c r="AS209" i="2"/>
  <c r="AR209" i="2"/>
  <c r="AQ209" i="2"/>
  <c r="AP209" i="2"/>
  <c r="AO209" i="2"/>
  <c r="AM209" i="2"/>
  <c r="AN209" i="2" s="1"/>
  <c r="BA209" i="2" s="1"/>
  <c r="AL209" i="2"/>
  <c r="BR208" i="2"/>
  <c r="BO208" i="2"/>
  <c r="BN208" i="2"/>
  <c r="BM208" i="2"/>
  <c r="BJ208" i="2"/>
  <c r="BK208" i="2" s="1"/>
  <c r="BH208" i="2"/>
  <c r="BD208" i="2"/>
  <c r="AW208" i="2"/>
  <c r="AV208" i="2"/>
  <c r="AS208" i="2"/>
  <c r="AR208" i="2"/>
  <c r="AQ208" i="2"/>
  <c r="AP208" i="2"/>
  <c r="AO208" i="2"/>
  <c r="AN208" i="2"/>
  <c r="BA208" i="2" s="1"/>
  <c r="AM208" i="2"/>
  <c r="AL208" i="2"/>
  <c r="BR207" i="2"/>
  <c r="BO207" i="2"/>
  <c r="BN207" i="2"/>
  <c r="BM207" i="2"/>
  <c r="BK207" i="2"/>
  <c r="BJ207" i="2"/>
  <c r="BH207" i="2"/>
  <c r="BD207" i="2"/>
  <c r="AW207" i="2"/>
  <c r="AV207" i="2"/>
  <c r="AS207" i="2"/>
  <c r="AR207" i="2"/>
  <c r="AQ207" i="2"/>
  <c r="AP207" i="2"/>
  <c r="AO207" i="2"/>
  <c r="AM207" i="2"/>
  <c r="AN207" i="2" s="1"/>
  <c r="BA207" i="2" s="1"/>
  <c r="AL207" i="2"/>
  <c r="BR206" i="2"/>
  <c r="BO206" i="2"/>
  <c r="BN206" i="2"/>
  <c r="BM206" i="2"/>
  <c r="BJ206" i="2"/>
  <c r="BK206" i="2" s="1"/>
  <c r="BH206" i="2"/>
  <c r="BD206" i="2"/>
  <c r="AW206" i="2"/>
  <c r="AV206" i="2"/>
  <c r="AS206" i="2"/>
  <c r="AR206" i="2"/>
  <c r="AQ206" i="2"/>
  <c r="AP206" i="2"/>
  <c r="AO206" i="2"/>
  <c r="AN206" i="2"/>
  <c r="BA206" i="2" s="1"/>
  <c r="AM206" i="2"/>
  <c r="AL206" i="2"/>
  <c r="BR205" i="2"/>
  <c r="BO205" i="2"/>
  <c r="BN205" i="2"/>
  <c r="BM205" i="2"/>
  <c r="BK205" i="2"/>
  <c r="BJ205" i="2"/>
  <c r="BH205" i="2"/>
  <c r="BD205" i="2"/>
  <c r="AW205" i="2"/>
  <c r="AV205" i="2"/>
  <c r="AS205" i="2"/>
  <c r="AR205" i="2"/>
  <c r="AQ205" i="2"/>
  <c r="AP205" i="2"/>
  <c r="AO205" i="2"/>
  <c r="AM205" i="2"/>
  <c r="AL205" i="2"/>
  <c r="AN205" i="2" s="1"/>
  <c r="BR204" i="2"/>
  <c r="BO204" i="2"/>
  <c r="BN204" i="2"/>
  <c r="BM204" i="2"/>
  <c r="BK204" i="2"/>
  <c r="BJ204" i="2"/>
  <c r="BH204" i="2"/>
  <c r="BD204" i="2"/>
  <c r="AW204" i="2"/>
  <c r="AV204" i="2"/>
  <c r="AS204" i="2"/>
  <c r="BA204" i="2" s="1"/>
  <c r="AR204" i="2"/>
  <c r="AQ204" i="2"/>
  <c r="AP204" i="2"/>
  <c r="AO204" i="2"/>
  <c r="AM204" i="2"/>
  <c r="AL204" i="2"/>
  <c r="AN204" i="2" s="1"/>
  <c r="BR203" i="2"/>
  <c r="BO203" i="2"/>
  <c r="BN203" i="2"/>
  <c r="BM203" i="2"/>
  <c r="BK203" i="2"/>
  <c r="BJ203" i="2"/>
  <c r="BH203" i="2"/>
  <c r="BD203" i="2"/>
  <c r="AW203" i="2"/>
  <c r="AV203" i="2"/>
  <c r="AS203" i="2"/>
  <c r="AR203" i="2"/>
  <c r="AQ203" i="2"/>
  <c r="AP203" i="2"/>
  <c r="AO203" i="2"/>
  <c r="AM203" i="2"/>
  <c r="AL203" i="2"/>
  <c r="AN203" i="2" s="1"/>
  <c r="BA203" i="2" s="1"/>
  <c r="BR202" i="2"/>
  <c r="BO202" i="2"/>
  <c r="BN202" i="2"/>
  <c r="BM202" i="2"/>
  <c r="BJ202" i="2"/>
  <c r="BK202" i="2" s="1"/>
  <c r="BH202" i="2"/>
  <c r="BD202" i="2"/>
  <c r="BA202" i="2"/>
  <c r="AW202" i="2"/>
  <c r="AV202" i="2"/>
  <c r="AS202" i="2"/>
  <c r="AR202" i="2"/>
  <c r="AQ202" i="2"/>
  <c r="AP202" i="2"/>
  <c r="AO202" i="2"/>
  <c r="AM202" i="2"/>
  <c r="AL202" i="2"/>
  <c r="AN202" i="2" s="1"/>
  <c r="BR201" i="2"/>
  <c r="BO201" i="2"/>
  <c r="BN201" i="2"/>
  <c r="BM201" i="2"/>
  <c r="BJ201" i="2"/>
  <c r="BK201" i="2" s="1"/>
  <c r="BH201" i="2"/>
  <c r="BD201" i="2"/>
  <c r="AW201" i="2"/>
  <c r="AV201" i="2"/>
  <c r="AS201" i="2"/>
  <c r="AR201" i="2"/>
  <c r="AQ201" i="2"/>
  <c r="AP201" i="2"/>
  <c r="AO201" i="2"/>
  <c r="AM201" i="2"/>
  <c r="AN201" i="2" s="1"/>
  <c r="BA201" i="2" s="1"/>
  <c r="AL201" i="2"/>
  <c r="BR200" i="2"/>
  <c r="BO200" i="2"/>
  <c r="BN200" i="2"/>
  <c r="BM200" i="2"/>
  <c r="BJ200" i="2"/>
  <c r="BK200" i="2" s="1"/>
  <c r="BH200" i="2"/>
  <c r="BD200" i="2"/>
  <c r="AW200" i="2"/>
  <c r="AV200" i="2"/>
  <c r="AS200" i="2"/>
  <c r="AR200" i="2"/>
  <c r="AQ200" i="2"/>
  <c r="AP200" i="2"/>
  <c r="AO200" i="2"/>
  <c r="AM200" i="2"/>
  <c r="AN200" i="2" s="1"/>
  <c r="BA200" i="2" s="1"/>
  <c r="AL200" i="2"/>
  <c r="BR199" i="2"/>
  <c r="BO199" i="2"/>
  <c r="BN199" i="2"/>
  <c r="BM199" i="2"/>
  <c r="BK199" i="2"/>
  <c r="BJ199" i="2"/>
  <c r="BH199" i="2"/>
  <c r="BD199" i="2"/>
  <c r="AW199" i="2"/>
  <c r="AV199" i="2"/>
  <c r="AS199" i="2"/>
  <c r="AR199" i="2"/>
  <c r="AQ199" i="2"/>
  <c r="AP199" i="2"/>
  <c r="AO199" i="2"/>
  <c r="AM199" i="2"/>
  <c r="AN199" i="2" s="1"/>
  <c r="BA199" i="2" s="1"/>
  <c r="AL199" i="2"/>
  <c r="BR198" i="2"/>
  <c r="BO198" i="2"/>
  <c r="BN198" i="2"/>
  <c r="BM198" i="2"/>
  <c r="BJ198" i="2"/>
  <c r="BK198" i="2" s="1"/>
  <c r="BH198" i="2"/>
  <c r="BD198" i="2"/>
  <c r="AW198" i="2"/>
  <c r="AV198" i="2"/>
  <c r="AS198" i="2"/>
  <c r="AR198" i="2"/>
  <c r="AQ198" i="2"/>
  <c r="AP198" i="2"/>
  <c r="AO198" i="2"/>
  <c r="AM198" i="2"/>
  <c r="AN198" i="2" s="1"/>
  <c r="BA198" i="2" s="1"/>
  <c r="AL198" i="2"/>
  <c r="BR197" i="2"/>
  <c r="BO197" i="2"/>
  <c r="BN197" i="2"/>
  <c r="BM197" i="2"/>
  <c r="BK197" i="2"/>
  <c r="BJ197" i="2"/>
  <c r="BH197" i="2"/>
  <c r="BD197" i="2"/>
  <c r="AW197" i="2"/>
  <c r="AV197" i="2"/>
  <c r="AS197" i="2"/>
  <c r="AR197" i="2"/>
  <c r="AQ197" i="2"/>
  <c r="AP197" i="2"/>
  <c r="AO197" i="2"/>
  <c r="AN197" i="2"/>
  <c r="AM197" i="2"/>
  <c r="AL197" i="2"/>
  <c r="BR196" i="2"/>
  <c r="BO196" i="2"/>
  <c r="BN196" i="2"/>
  <c r="BM196" i="2"/>
  <c r="BJ196" i="2"/>
  <c r="BK196" i="2" s="1"/>
  <c r="BH196" i="2"/>
  <c r="BD196" i="2"/>
  <c r="AW196" i="2"/>
  <c r="AV196" i="2"/>
  <c r="AS196" i="2"/>
  <c r="AR196" i="2"/>
  <c r="AQ196" i="2"/>
  <c r="AP196" i="2"/>
  <c r="AO196" i="2"/>
  <c r="AM196" i="2"/>
  <c r="AL196" i="2"/>
  <c r="AN196" i="2" s="1"/>
  <c r="BA196" i="2" s="1"/>
  <c r="BR195" i="2"/>
  <c r="BO195" i="2"/>
  <c r="BN195" i="2"/>
  <c r="BM195" i="2"/>
  <c r="BK195" i="2"/>
  <c r="BJ195" i="2"/>
  <c r="BH195" i="2"/>
  <c r="BD195" i="2"/>
  <c r="AW195" i="2"/>
  <c r="AV195" i="2"/>
  <c r="AS195" i="2"/>
  <c r="AR195" i="2"/>
  <c r="AQ195" i="2"/>
  <c r="AP195" i="2"/>
  <c r="AO195" i="2"/>
  <c r="AM195" i="2"/>
  <c r="AL195" i="2"/>
  <c r="AN195" i="2" s="1"/>
  <c r="BA195" i="2" s="1"/>
  <c r="BR194" i="2"/>
  <c r="BO194" i="2"/>
  <c r="BN194" i="2"/>
  <c r="BM194" i="2"/>
  <c r="BJ194" i="2"/>
  <c r="BK194" i="2" s="1"/>
  <c r="BH194" i="2"/>
  <c r="BD194" i="2"/>
  <c r="AW194" i="2"/>
  <c r="AV194" i="2"/>
  <c r="AS194" i="2"/>
  <c r="AR194" i="2"/>
  <c r="AQ194" i="2"/>
  <c r="AP194" i="2"/>
  <c r="AO194" i="2"/>
  <c r="AM194" i="2"/>
  <c r="AL194" i="2"/>
  <c r="AN194" i="2" s="1"/>
  <c r="BR193" i="2"/>
  <c r="BO193" i="2"/>
  <c r="BN193" i="2"/>
  <c r="BM193" i="2"/>
  <c r="BK193" i="2"/>
  <c r="BJ193" i="2"/>
  <c r="BH193" i="2"/>
  <c r="BD193" i="2"/>
  <c r="AW193" i="2"/>
  <c r="AV193" i="2"/>
  <c r="AS193" i="2"/>
  <c r="AR193" i="2"/>
  <c r="BA193" i="2" s="1"/>
  <c r="AQ193" i="2"/>
  <c r="AP193" i="2"/>
  <c r="AO193" i="2"/>
  <c r="AM193" i="2"/>
  <c r="AN193" i="2" s="1"/>
  <c r="AL193" i="2"/>
  <c r="BR192" i="2"/>
  <c r="BO192" i="2"/>
  <c r="BN192" i="2"/>
  <c r="BM192" i="2"/>
  <c r="BJ192" i="2"/>
  <c r="BK192" i="2" s="1"/>
  <c r="BH192" i="2"/>
  <c r="BD192" i="2"/>
  <c r="AW192" i="2"/>
  <c r="AV192" i="2"/>
  <c r="AS192" i="2"/>
  <c r="AR192" i="2"/>
  <c r="AQ192" i="2"/>
  <c r="AP192" i="2"/>
  <c r="AO192" i="2"/>
  <c r="AN192" i="2"/>
  <c r="BA192" i="2" s="1"/>
  <c r="AM192" i="2"/>
  <c r="AL192" i="2"/>
  <c r="BR191" i="2"/>
  <c r="BO191" i="2"/>
  <c r="BN191" i="2"/>
  <c r="BM191" i="2"/>
  <c r="BK191" i="2"/>
  <c r="BJ191" i="2"/>
  <c r="BH191" i="2"/>
  <c r="BD191" i="2"/>
  <c r="AW191" i="2"/>
  <c r="AV191" i="2"/>
  <c r="AS191" i="2"/>
  <c r="AR191" i="2"/>
  <c r="AQ191" i="2"/>
  <c r="AP191" i="2"/>
  <c r="AO191" i="2"/>
  <c r="AM191" i="2"/>
  <c r="AL191" i="2"/>
  <c r="BR190" i="2"/>
  <c r="BO190" i="2"/>
  <c r="BN190" i="2"/>
  <c r="BM190" i="2"/>
  <c r="BJ190" i="2"/>
  <c r="BK190" i="2" s="1"/>
  <c r="BH190" i="2"/>
  <c r="BD190" i="2"/>
  <c r="AW190" i="2"/>
  <c r="AV190" i="2"/>
  <c r="AS190" i="2"/>
  <c r="AR190" i="2"/>
  <c r="AQ190" i="2"/>
  <c r="AP190" i="2"/>
  <c r="AO190" i="2"/>
  <c r="AN190" i="2"/>
  <c r="BA190" i="2" s="1"/>
  <c r="AM190" i="2"/>
  <c r="AL190" i="2"/>
  <c r="BR189" i="2"/>
  <c r="BO189" i="2"/>
  <c r="BN189" i="2"/>
  <c r="BM189" i="2"/>
  <c r="BJ189" i="2"/>
  <c r="BK189" i="2" s="1"/>
  <c r="BH189" i="2"/>
  <c r="BD189" i="2"/>
  <c r="AW189" i="2"/>
  <c r="AV189" i="2"/>
  <c r="AS189" i="2"/>
  <c r="AR189" i="2"/>
  <c r="AQ189" i="2"/>
  <c r="AP189" i="2"/>
  <c r="AO189" i="2"/>
  <c r="AM189" i="2"/>
  <c r="AN189" i="2" s="1"/>
  <c r="BA189" i="2" s="1"/>
  <c r="AL189" i="2"/>
  <c r="BR188" i="2"/>
  <c r="BO188" i="2"/>
  <c r="BN188" i="2"/>
  <c r="BM188" i="2"/>
  <c r="BK188" i="2"/>
  <c r="BJ188" i="2"/>
  <c r="BH188" i="2"/>
  <c r="BD188" i="2"/>
  <c r="AW188" i="2"/>
  <c r="AV188" i="2"/>
  <c r="AS188" i="2"/>
  <c r="AR188" i="2"/>
  <c r="AQ188" i="2"/>
  <c r="AP188" i="2"/>
  <c r="AO188" i="2"/>
  <c r="AN188" i="2"/>
  <c r="AM188" i="2"/>
  <c r="AL188" i="2"/>
  <c r="BR187" i="2"/>
  <c r="BO187" i="2"/>
  <c r="BN187" i="2"/>
  <c r="BM187" i="2"/>
  <c r="BJ187" i="2"/>
  <c r="BK187" i="2" s="1"/>
  <c r="BH187" i="2"/>
  <c r="BD187" i="2"/>
  <c r="AW187" i="2"/>
  <c r="AV187" i="2"/>
  <c r="AS187" i="2"/>
  <c r="AR187" i="2"/>
  <c r="AQ187" i="2"/>
  <c r="AP187" i="2"/>
  <c r="AO187" i="2"/>
  <c r="AM187" i="2"/>
  <c r="AN187" i="2" s="1"/>
  <c r="BA187" i="2" s="1"/>
  <c r="AL187" i="2"/>
  <c r="BR186" i="2"/>
  <c r="BO186" i="2"/>
  <c r="BN186" i="2"/>
  <c r="BM186" i="2"/>
  <c r="BJ186" i="2"/>
  <c r="BK186" i="2" s="1"/>
  <c r="BH186" i="2"/>
  <c r="BD186" i="2"/>
  <c r="AW186" i="2"/>
  <c r="AV186" i="2"/>
  <c r="AS186" i="2"/>
  <c r="AR186" i="2"/>
  <c r="AQ186" i="2"/>
  <c r="AP186" i="2"/>
  <c r="AO186" i="2"/>
  <c r="AN186" i="2"/>
  <c r="AM186" i="2"/>
  <c r="AL186" i="2"/>
  <c r="BR185" i="2"/>
  <c r="BO185" i="2"/>
  <c r="BN185" i="2"/>
  <c r="BM185" i="2"/>
  <c r="BK185" i="2"/>
  <c r="BJ185" i="2"/>
  <c r="BH185" i="2"/>
  <c r="BD185" i="2"/>
  <c r="AW185" i="2"/>
  <c r="AV185" i="2"/>
  <c r="AS185" i="2"/>
  <c r="AR185" i="2"/>
  <c r="AQ185" i="2"/>
  <c r="AP185" i="2"/>
  <c r="AO185" i="2"/>
  <c r="AM185" i="2"/>
  <c r="AL185" i="2"/>
  <c r="AN185" i="2" s="1"/>
  <c r="BR184" i="2"/>
  <c r="BO184" i="2"/>
  <c r="BN184" i="2"/>
  <c r="BM184" i="2"/>
  <c r="BK184" i="2"/>
  <c r="BJ184" i="2"/>
  <c r="BH184" i="2"/>
  <c r="BD184" i="2"/>
  <c r="AW184" i="2"/>
  <c r="AV184" i="2"/>
  <c r="AS184" i="2"/>
  <c r="AR184" i="2"/>
  <c r="AQ184" i="2"/>
  <c r="AP184" i="2"/>
  <c r="AO184" i="2"/>
  <c r="AM184" i="2"/>
  <c r="AL184" i="2"/>
  <c r="AN184" i="2" s="1"/>
  <c r="BA184" i="2" s="1"/>
  <c r="BR183" i="2"/>
  <c r="BO183" i="2"/>
  <c r="BN183" i="2"/>
  <c r="BM183" i="2"/>
  <c r="BK183" i="2"/>
  <c r="BJ183" i="2"/>
  <c r="BH183" i="2"/>
  <c r="BD183" i="2"/>
  <c r="AW183" i="2"/>
  <c r="AV183" i="2"/>
  <c r="AS183" i="2"/>
  <c r="AR183" i="2"/>
  <c r="AQ183" i="2"/>
  <c r="AP183" i="2"/>
  <c r="AO183" i="2"/>
  <c r="AM183" i="2"/>
  <c r="AL183" i="2"/>
  <c r="AN183" i="2" s="1"/>
  <c r="BA183" i="2" s="1"/>
  <c r="BR182" i="2"/>
  <c r="BO182" i="2"/>
  <c r="BN182" i="2"/>
  <c r="BM182" i="2"/>
  <c r="BJ182" i="2"/>
  <c r="BK182" i="2" s="1"/>
  <c r="BH182" i="2"/>
  <c r="BD182" i="2"/>
  <c r="AW182" i="2"/>
  <c r="AV182" i="2"/>
  <c r="AS182" i="2"/>
  <c r="AR182" i="2"/>
  <c r="AQ182" i="2"/>
  <c r="AP182" i="2"/>
  <c r="AO182" i="2"/>
  <c r="AM182" i="2"/>
  <c r="AL182" i="2"/>
  <c r="AN182" i="2" s="1"/>
  <c r="BA182" i="2" s="1"/>
  <c r="BR181" i="2"/>
  <c r="BO181" i="2"/>
  <c r="BN181" i="2"/>
  <c r="BM181" i="2"/>
  <c r="BJ181" i="2"/>
  <c r="BK181" i="2" s="1"/>
  <c r="BH181" i="2"/>
  <c r="BD181" i="2"/>
  <c r="AW181" i="2"/>
  <c r="AV181" i="2"/>
  <c r="AS181" i="2"/>
  <c r="AR181" i="2"/>
  <c r="AQ181" i="2"/>
  <c r="AP181" i="2"/>
  <c r="AO181" i="2"/>
  <c r="AM181" i="2"/>
  <c r="AL181" i="2"/>
  <c r="AN181" i="2" s="1"/>
  <c r="BA181" i="2" s="1"/>
  <c r="BR180" i="2"/>
  <c r="BO180" i="2"/>
  <c r="BN180" i="2"/>
  <c r="BM180" i="2"/>
  <c r="BJ180" i="2"/>
  <c r="BK180" i="2" s="1"/>
  <c r="BH180" i="2"/>
  <c r="BD180" i="2"/>
  <c r="AW180" i="2"/>
  <c r="AV180" i="2"/>
  <c r="AS180" i="2"/>
  <c r="AR180" i="2"/>
  <c r="AQ180" i="2"/>
  <c r="AP180" i="2"/>
  <c r="AO180" i="2"/>
  <c r="AM180" i="2"/>
  <c r="AL180" i="2"/>
  <c r="AN180" i="2" s="1"/>
  <c r="BA180" i="2" s="1"/>
  <c r="BR179" i="2"/>
  <c r="A179" i="2"/>
  <c r="BR178" i="2"/>
  <c r="BO178" i="2"/>
  <c r="BN178" i="2"/>
  <c r="BM178" i="2"/>
  <c r="BJ178" i="2"/>
  <c r="BK178" i="2" s="1"/>
  <c r="BH178" i="2"/>
  <c r="BD178" i="2"/>
  <c r="AW178" i="2"/>
  <c r="AV178" i="2"/>
  <c r="AS178" i="2"/>
  <c r="AR178" i="2"/>
  <c r="AQ178" i="2"/>
  <c r="AP178" i="2"/>
  <c r="AO178" i="2"/>
  <c r="AN178" i="2"/>
  <c r="BA178" i="2" s="1"/>
  <c r="AM178" i="2"/>
  <c r="AL178" i="2"/>
  <c r="BR177" i="2"/>
  <c r="BO177" i="2"/>
  <c r="BN177" i="2"/>
  <c r="BM177" i="2"/>
  <c r="BK177" i="2"/>
  <c r="BJ177" i="2"/>
  <c r="BH177" i="2"/>
  <c r="BD177" i="2"/>
  <c r="AW177" i="2"/>
  <c r="AV177" i="2"/>
  <c r="AS177" i="2"/>
  <c r="AR177" i="2"/>
  <c r="AQ177" i="2"/>
  <c r="AP177" i="2"/>
  <c r="AO177" i="2"/>
  <c r="AM177" i="2"/>
  <c r="AL177" i="2"/>
  <c r="AN177" i="2" s="1"/>
  <c r="BR176" i="2"/>
  <c r="BO176" i="2"/>
  <c r="BN176" i="2"/>
  <c r="BM176" i="2"/>
  <c r="BK176" i="2"/>
  <c r="BJ176" i="2"/>
  <c r="BH176" i="2"/>
  <c r="BD176" i="2"/>
  <c r="AW176" i="2"/>
  <c r="AV176" i="2"/>
  <c r="AS176" i="2"/>
  <c r="AR176" i="2"/>
  <c r="AQ176" i="2"/>
  <c r="AP176" i="2"/>
  <c r="AO176" i="2"/>
  <c r="AM176" i="2"/>
  <c r="AL176" i="2"/>
  <c r="AN176" i="2" s="1"/>
  <c r="BR175" i="2"/>
  <c r="BO175" i="2"/>
  <c r="BN175" i="2"/>
  <c r="BM175" i="2"/>
  <c r="BJ175" i="2"/>
  <c r="BK175" i="2" s="1"/>
  <c r="BH175" i="2"/>
  <c r="BD175" i="2"/>
  <c r="AW175" i="2"/>
  <c r="AV175" i="2"/>
  <c r="AS175" i="2"/>
  <c r="AR175" i="2"/>
  <c r="AQ175" i="2"/>
  <c r="AP175" i="2"/>
  <c r="AO175" i="2"/>
  <c r="AM175" i="2"/>
  <c r="AL175" i="2"/>
  <c r="AN175" i="2" s="1"/>
  <c r="BA175" i="2" s="1"/>
  <c r="BR174" i="2"/>
  <c r="BO174" i="2"/>
  <c r="BN174" i="2"/>
  <c r="BM174" i="2"/>
  <c r="BK174" i="2"/>
  <c r="BJ174" i="2"/>
  <c r="BH174" i="2"/>
  <c r="BD174" i="2"/>
  <c r="AW174" i="2"/>
  <c r="AV174" i="2"/>
  <c r="AS174" i="2"/>
  <c r="AR174" i="2"/>
  <c r="AQ174" i="2"/>
  <c r="AP174" i="2"/>
  <c r="AO174" i="2"/>
  <c r="AM174" i="2"/>
  <c r="AN174" i="2" s="1"/>
  <c r="BA174" i="2" s="1"/>
  <c r="AL174" i="2"/>
  <c r="BR173" i="2"/>
  <c r="BO173" i="2"/>
  <c r="BN173" i="2"/>
  <c r="BM173" i="2"/>
  <c r="BJ173" i="2"/>
  <c r="BK173" i="2" s="1"/>
  <c r="BH173" i="2"/>
  <c r="BD173" i="2"/>
  <c r="AW173" i="2"/>
  <c r="AV173" i="2"/>
  <c r="AS173" i="2"/>
  <c r="AR173" i="2"/>
  <c r="AQ173" i="2"/>
  <c r="AP173" i="2"/>
  <c r="AO173" i="2"/>
  <c r="AM173" i="2"/>
  <c r="AL173" i="2"/>
  <c r="AN173" i="2" s="1"/>
  <c r="BA173" i="2" s="1"/>
  <c r="BR172" i="2"/>
  <c r="BO172" i="2"/>
  <c r="BN172" i="2"/>
  <c r="BM172" i="2"/>
  <c r="BK172" i="2"/>
  <c r="BJ172" i="2"/>
  <c r="BH172" i="2"/>
  <c r="BD172" i="2"/>
  <c r="AW172" i="2"/>
  <c r="AV172" i="2"/>
  <c r="AS172" i="2"/>
  <c r="AR172" i="2"/>
  <c r="AQ172" i="2"/>
  <c r="AP172" i="2"/>
  <c r="AO172" i="2"/>
  <c r="AM172" i="2"/>
  <c r="AL172" i="2"/>
  <c r="AN172" i="2" s="1"/>
  <c r="BA172" i="2" s="1"/>
  <c r="BR171" i="2"/>
  <c r="BO171" i="2"/>
  <c r="BN171" i="2"/>
  <c r="BM171" i="2"/>
  <c r="BJ171" i="2"/>
  <c r="BK171" i="2" s="1"/>
  <c r="BH171" i="2"/>
  <c r="BD171" i="2"/>
  <c r="AW171" i="2"/>
  <c r="AV171" i="2"/>
  <c r="AS171" i="2"/>
  <c r="AR171" i="2"/>
  <c r="AQ171" i="2"/>
  <c r="AP171" i="2"/>
  <c r="AO171" i="2"/>
  <c r="AM171" i="2"/>
  <c r="AL171" i="2"/>
  <c r="AN171" i="2" s="1"/>
  <c r="BA171" i="2" s="1"/>
  <c r="BR170" i="2"/>
  <c r="BO170" i="2"/>
  <c r="BN170" i="2"/>
  <c r="BM170" i="2"/>
  <c r="BJ170" i="2"/>
  <c r="BK170" i="2" s="1"/>
  <c r="BH170" i="2"/>
  <c r="BD170" i="2"/>
  <c r="AW170" i="2"/>
  <c r="AV170" i="2"/>
  <c r="AS170" i="2"/>
  <c r="AR170" i="2"/>
  <c r="AQ170" i="2"/>
  <c r="AP170" i="2"/>
  <c r="AO170" i="2"/>
  <c r="AN170" i="2"/>
  <c r="BA170" i="2" s="1"/>
  <c r="AM170" i="2"/>
  <c r="AL170" i="2"/>
  <c r="BR169" i="2"/>
  <c r="BO169" i="2"/>
  <c r="BN169" i="2"/>
  <c r="BM169" i="2"/>
  <c r="BK169" i="2"/>
  <c r="BJ169" i="2"/>
  <c r="BH169" i="2"/>
  <c r="BD169" i="2"/>
  <c r="AW169" i="2"/>
  <c r="AV169" i="2"/>
  <c r="AS169" i="2"/>
  <c r="AR169" i="2"/>
  <c r="AQ169" i="2"/>
  <c r="AP169" i="2"/>
  <c r="AO169" i="2"/>
  <c r="AN169" i="2"/>
  <c r="AM169" i="2"/>
  <c r="AL169" i="2"/>
  <c r="BR168" i="2"/>
  <c r="BO168" i="2"/>
  <c r="BN168" i="2"/>
  <c r="BM168" i="2"/>
  <c r="BJ168" i="2"/>
  <c r="BK168" i="2" s="1"/>
  <c r="BH168" i="2"/>
  <c r="BD168" i="2"/>
  <c r="AW168" i="2"/>
  <c r="AV168" i="2"/>
  <c r="AS168" i="2"/>
  <c r="AR168" i="2"/>
  <c r="AQ168" i="2"/>
  <c r="AP168" i="2"/>
  <c r="AO168" i="2"/>
  <c r="AM168" i="2"/>
  <c r="AN168" i="2" s="1"/>
  <c r="BA168" i="2" s="1"/>
  <c r="AL168" i="2"/>
  <c r="BR167" i="2"/>
  <c r="BO167" i="2"/>
  <c r="BN167" i="2"/>
  <c r="BM167" i="2"/>
  <c r="BK167" i="2"/>
  <c r="BJ167" i="2"/>
  <c r="BH167" i="2"/>
  <c r="BD167" i="2"/>
  <c r="AW167" i="2"/>
  <c r="AV167" i="2"/>
  <c r="AS167" i="2"/>
  <c r="AR167" i="2"/>
  <c r="AQ167" i="2"/>
  <c r="AP167" i="2"/>
  <c r="AO167" i="2"/>
  <c r="AN167" i="2"/>
  <c r="BA167" i="2" s="1"/>
  <c r="AM167" i="2"/>
  <c r="AL167" i="2"/>
  <c r="BR166" i="2"/>
  <c r="BO166" i="2"/>
  <c r="BN166" i="2"/>
  <c r="BM166" i="2"/>
  <c r="BJ166" i="2"/>
  <c r="BK166" i="2" s="1"/>
  <c r="BH166" i="2"/>
  <c r="BD166" i="2"/>
  <c r="AW166" i="2"/>
  <c r="AV166" i="2"/>
  <c r="AS166" i="2"/>
  <c r="AR166" i="2"/>
  <c r="AQ166" i="2"/>
  <c r="AP166" i="2"/>
  <c r="AO166" i="2"/>
  <c r="AM166" i="2"/>
  <c r="AL166" i="2"/>
  <c r="AN166" i="2" s="1"/>
  <c r="BR165" i="2"/>
  <c r="BO165" i="2"/>
  <c r="BN165" i="2"/>
  <c r="BM165" i="2"/>
  <c r="BK165" i="2"/>
  <c r="BJ165" i="2"/>
  <c r="BH165" i="2"/>
  <c r="BD165" i="2"/>
  <c r="AW165" i="2"/>
  <c r="AV165" i="2"/>
  <c r="AS165" i="2"/>
  <c r="AR165" i="2"/>
  <c r="BA165" i="2" s="1"/>
  <c r="AQ165" i="2"/>
  <c r="AP165" i="2"/>
  <c r="AO165" i="2"/>
  <c r="AM165" i="2"/>
  <c r="AL165" i="2"/>
  <c r="AN165" i="2" s="1"/>
  <c r="BR164" i="2"/>
  <c r="BO164" i="2"/>
  <c r="BN164" i="2"/>
  <c r="BM164" i="2"/>
  <c r="BJ164" i="2"/>
  <c r="BK164" i="2" s="1"/>
  <c r="BH164" i="2"/>
  <c r="BD164" i="2"/>
  <c r="AW164" i="2"/>
  <c r="AV164" i="2"/>
  <c r="AS164" i="2"/>
  <c r="AR164" i="2"/>
  <c r="AQ164" i="2"/>
  <c r="AP164" i="2"/>
  <c r="AO164" i="2"/>
  <c r="AM164" i="2"/>
  <c r="AL164" i="2"/>
  <c r="AN164" i="2" s="1"/>
  <c r="BR163" i="2"/>
  <c r="A163" i="2"/>
  <c r="BR162" i="2"/>
  <c r="BO162" i="2"/>
  <c r="BN162" i="2"/>
  <c r="BM162" i="2"/>
  <c r="BJ162" i="2"/>
  <c r="BK162" i="2" s="1"/>
  <c r="BH162" i="2"/>
  <c r="BD162" i="2"/>
  <c r="AW162" i="2"/>
  <c r="AV162" i="2"/>
  <c r="AS162" i="2"/>
  <c r="AR162" i="2"/>
  <c r="AQ162" i="2"/>
  <c r="AP162" i="2"/>
  <c r="AO162" i="2"/>
  <c r="AM162" i="2"/>
  <c r="AL162" i="2"/>
  <c r="AN162" i="2" s="1"/>
  <c r="BA162" i="2" s="1"/>
  <c r="BR161" i="2"/>
  <c r="BO161" i="2"/>
  <c r="BN161" i="2"/>
  <c r="BM161" i="2"/>
  <c r="BK161" i="2"/>
  <c r="BJ161" i="2"/>
  <c r="BH161" i="2"/>
  <c r="BD161" i="2"/>
  <c r="AW161" i="2"/>
  <c r="AV161" i="2"/>
  <c r="AS161" i="2"/>
  <c r="AR161" i="2"/>
  <c r="AQ161" i="2"/>
  <c r="AP161" i="2"/>
  <c r="AO161" i="2"/>
  <c r="AM161" i="2"/>
  <c r="AL161" i="2"/>
  <c r="AN161" i="2" s="1"/>
  <c r="BA161" i="2" s="1"/>
  <c r="BR160" i="2"/>
  <c r="BO160" i="2"/>
  <c r="BN160" i="2"/>
  <c r="BM160" i="2"/>
  <c r="BJ160" i="2"/>
  <c r="BK160" i="2" s="1"/>
  <c r="BH160" i="2"/>
  <c r="BD160" i="2"/>
  <c r="AW160" i="2"/>
  <c r="AV160" i="2"/>
  <c r="AS160" i="2"/>
  <c r="AR160" i="2"/>
  <c r="AQ160" i="2"/>
  <c r="AP160" i="2"/>
  <c r="AO160" i="2"/>
  <c r="AN160" i="2"/>
  <c r="BA160" i="2" s="1"/>
  <c r="AM160" i="2"/>
  <c r="AL160" i="2"/>
  <c r="BR159" i="2"/>
  <c r="BO159" i="2"/>
  <c r="BN159" i="2"/>
  <c r="BM159" i="2"/>
  <c r="BJ159" i="2"/>
  <c r="BK159" i="2" s="1"/>
  <c r="BH159" i="2"/>
  <c r="BD159" i="2"/>
  <c r="AW159" i="2"/>
  <c r="AV159" i="2"/>
  <c r="AS159" i="2"/>
  <c r="AR159" i="2"/>
  <c r="AQ159" i="2"/>
  <c r="AP159" i="2"/>
  <c r="AO159" i="2"/>
  <c r="AN159" i="2"/>
  <c r="AM159" i="2"/>
  <c r="AL159" i="2"/>
  <c r="BR158" i="2"/>
  <c r="BO158" i="2"/>
  <c r="BN158" i="2"/>
  <c r="BM158" i="2"/>
  <c r="BJ158" i="2"/>
  <c r="BK158" i="2" s="1"/>
  <c r="BH158" i="2"/>
  <c r="BD158" i="2"/>
  <c r="AW158" i="2"/>
  <c r="AV158" i="2"/>
  <c r="AS158" i="2"/>
  <c r="AR158" i="2"/>
  <c r="AQ158" i="2"/>
  <c r="AP158" i="2"/>
  <c r="AO158" i="2"/>
  <c r="AM158" i="2"/>
  <c r="AL158" i="2"/>
  <c r="AN158" i="2" s="1"/>
  <c r="BR157" i="2"/>
  <c r="BO157" i="2"/>
  <c r="BN157" i="2"/>
  <c r="BM157" i="2"/>
  <c r="BK157" i="2"/>
  <c r="BJ157" i="2"/>
  <c r="BH157" i="2"/>
  <c r="BD157" i="2"/>
  <c r="AW157" i="2"/>
  <c r="AV157" i="2"/>
  <c r="AS157" i="2"/>
  <c r="AR157" i="2"/>
  <c r="AQ157" i="2"/>
  <c r="AP157" i="2"/>
  <c r="AO157" i="2"/>
  <c r="AM157" i="2"/>
  <c r="AL157" i="2"/>
  <c r="AN157" i="2" s="1"/>
  <c r="BR156" i="2"/>
  <c r="BO156" i="2"/>
  <c r="BN156" i="2"/>
  <c r="BM156" i="2"/>
  <c r="BJ156" i="2"/>
  <c r="BK156" i="2" s="1"/>
  <c r="BH156" i="2"/>
  <c r="BD156" i="2"/>
  <c r="AW156" i="2"/>
  <c r="AV156" i="2"/>
  <c r="AS156" i="2"/>
  <c r="AR156" i="2"/>
  <c r="AQ156" i="2"/>
  <c r="AP156" i="2"/>
  <c r="AO156" i="2"/>
  <c r="AM156" i="2"/>
  <c r="AL156" i="2"/>
  <c r="AN156" i="2" s="1"/>
  <c r="BA156" i="2" s="1"/>
  <c r="BR155" i="2"/>
  <c r="BO155" i="2"/>
  <c r="BN155" i="2"/>
  <c r="BM155" i="2"/>
  <c r="BK155" i="2"/>
  <c r="BJ155" i="2"/>
  <c r="BH155" i="2"/>
  <c r="BD155" i="2"/>
  <c r="BA155" i="2"/>
  <c r="AW155" i="2"/>
  <c r="AV155" i="2"/>
  <c r="AS155" i="2"/>
  <c r="AR155" i="2"/>
  <c r="AQ155" i="2"/>
  <c r="AP155" i="2"/>
  <c r="AO155" i="2"/>
  <c r="AM155" i="2"/>
  <c r="AN155" i="2" s="1"/>
  <c r="AL155" i="2"/>
  <c r="BR154" i="2"/>
  <c r="BO154" i="2"/>
  <c r="BN154" i="2"/>
  <c r="BM154" i="2"/>
  <c r="BJ154" i="2"/>
  <c r="BK154" i="2" s="1"/>
  <c r="BH154" i="2"/>
  <c r="BD154" i="2"/>
  <c r="AW154" i="2"/>
  <c r="AV154" i="2"/>
  <c r="AS154" i="2"/>
  <c r="AR154" i="2"/>
  <c r="AQ154" i="2"/>
  <c r="AP154" i="2"/>
  <c r="AO154" i="2"/>
  <c r="AM154" i="2"/>
  <c r="AL154" i="2"/>
  <c r="AN154" i="2" s="1"/>
  <c r="BA154" i="2" s="1"/>
  <c r="BR153" i="2"/>
  <c r="BO153" i="2"/>
  <c r="BN153" i="2"/>
  <c r="BM153" i="2"/>
  <c r="BJ153" i="2"/>
  <c r="BK153" i="2" s="1"/>
  <c r="BH153" i="2"/>
  <c r="BD153" i="2"/>
  <c r="AW153" i="2"/>
  <c r="AV153" i="2"/>
  <c r="AS153" i="2"/>
  <c r="AR153" i="2"/>
  <c r="AQ153" i="2"/>
  <c r="AP153" i="2"/>
  <c r="AO153" i="2"/>
  <c r="AM153" i="2"/>
  <c r="AL153" i="2"/>
  <c r="BR152" i="2"/>
  <c r="BO152" i="2"/>
  <c r="BN152" i="2"/>
  <c r="BM152" i="2"/>
  <c r="BJ152" i="2"/>
  <c r="BK152" i="2" s="1"/>
  <c r="BH152" i="2"/>
  <c r="BD152" i="2"/>
  <c r="AW152" i="2"/>
  <c r="AV152" i="2"/>
  <c r="AS152" i="2"/>
  <c r="AR152" i="2"/>
  <c r="AQ152" i="2"/>
  <c r="AP152" i="2"/>
  <c r="AO152" i="2"/>
  <c r="AM152" i="2"/>
  <c r="AL152" i="2"/>
  <c r="AN152" i="2" s="1"/>
  <c r="BA152" i="2" s="1"/>
  <c r="BR151" i="2"/>
  <c r="BO151" i="2"/>
  <c r="BN151" i="2"/>
  <c r="BM151" i="2"/>
  <c r="BJ151" i="2"/>
  <c r="BK151" i="2" s="1"/>
  <c r="BH151" i="2"/>
  <c r="BD151" i="2"/>
  <c r="BA151" i="2"/>
  <c r="AW151" i="2"/>
  <c r="AV151" i="2"/>
  <c r="AS151" i="2"/>
  <c r="AR151" i="2"/>
  <c r="AQ151" i="2"/>
  <c r="AP151" i="2"/>
  <c r="AO151" i="2"/>
  <c r="AN151" i="2"/>
  <c r="AM151" i="2"/>
  <c r="AL151" i="2"/>
  <c r="BR150" i="2"/>
  <c r="A150" i="2"/>
  <c r="BR149" i="2"/>
  <c r="BO149" i="2"/>
  <c r="BN149" i="2"/>
  <c r="BM149" i="2"/>
  <c r="BK149" i="2"/>
  <c r="BJ149" i="2"/>
  <c r="BH149" i="2"/>
  <c r="BD149" i="2"/>
  <c r="AW149" i="2"/>
  <c r="AV149" i="2"/>
  <c r="AS149" i="2"/>
  <c r="AR149" i="2"/>
  <c r="AQ149" i="2"/>
  <c r="AP149" i="2"/>
  <c r="AO149" i="2"/>
  <c r="AN149" i="2"/>
  <c r="AM149" i="2"/>
  <c r="AL149" i="2"/>
  <c r="BR148" i="2"/>
  <c r="BO148" i="2"/>
  <c r="BN148" i="2"/>
  <c r="BM148" i="2"/>
  <c r="BK148" i="2"/>
  <c r="BJ148" i="2"/>
  <c r="BH148" i="2"/>
  <c r="BD148" i="2"/>
  <c r="AW148" i="2"/>
  <c r="AV148" i="2"/>
  <c r="AS148" i="2"/>
  <c r="AR148" i="2"/>
  <c r="AQ148" i="2"/>
  <c r="AP148" i="2"/>
  <c r="AO148" i="2"/>
  <c r="AM148" i="2"/>
  <c r="AL148" i="2"/>
  <c r="AN148" i="2" s="1"/>
  <c r="BR147" i="2"/>
  <c r="BO147" i="2"/>
  <c r="BN147" i="2"/>
  <c r="BM147" i="2"/>
  <c r="BK147" i="2"/>
  <c r="BJ147" i="2"/>
  <c r="BH147" i="2"/>
  <c r="BD147" i="2"/>
  <c r="AW147" i="2"/>
  <c r="AV147" i="2"/>
  <c r="AS147" i="2"/>
  <c r="AR147" i="2"/>
  <c r="AQ147" i="2"/>
  <c r="AP147" i="2"/>
  <c r="AO147" i="2"/>
  <c r="AM147" i="2"/>
  <c r="AL147" i="2"/>
  <c r="AN147" i="2" s="1"/>
  <c r="BA147" i="2" s="1"/>
  <c r="BR146" i="2"/>
  <c r="A146" i="2"/>
  <c r="BR145" i="2"/>
  <c r="BO145" i="2"/>
  <c r="BN145" i="2"/>
  <c r="BM145" i="2"/>
  <c r="BJ145" i="2"/>
  <c r="BK145" i="2" s="1"/>
  <c r="BH145" i="2"/>
  <c r="BD145" i="2"/>
  <c r="AW145" i="2"/>
  <c r="AV145" i="2"/>
  <c r="AS145" i="2"/>
  <c r="AR145" i="2"/>
  <c r="AQ145" i="2"/>
  <c r="AP145" i="2"/>
  <c r="AO145" i="2"/>
  <c r="AN145" i="2"/>
  <c r="BA145" i="2" s="1"/>
  <c r="AM145" i="2"/>
  <c r="AL145" i="2"/>
  <c r="BR144" i="2"/>
  <c r="BO144" i="2"/>
  <c r="BN144" i="2"/>
  <c r="BM144" i="2"/>
  <c r="BJ144" i="2"/>
  <c r="BK144" i="2" s="1"/>
  <c r="BH144" i="2"/>
  <c r="BD144" i="2"/>
  <c r="AW144" i="2"/>
  <c r="AV144" i="2"/>
  <c r="AS144" i="2"/>
  <c r="AR144" i="2"/>
  <c r="AQ144" i="2"/>
  <c r="AP144" i="2"/>
  <c r="AO144" i="2"/>
  <c r="AN144" i="2"/>
  <c r="BA144" i="2" s="1"/>
  <c r="AM144" i="2"/>
  <c r="AL144" i="2"/>
  <c r="BR143" i="2"/>
  <c r="A143" i="2"/>
  <c r="BR142" i="2"/>
  <c r="BO142" i="2"/>
  <c r="BN142" i="2"/>
  <c r="BM142" i="2"/>
  <c r="BJ142" i="2"/>
  <c r="BK142" i="2" s="1"/>
  <c r="BH142" i="2"/>
  <c r="BD142" i="2"/>
  <c r="AW142" i="2"/>
  <c r="AV142" i="2"/>
  <c r="AS142" i="2"/>
  <c r="AR142" i="2"/>
  <c r="AQ142" i="2"/>
  <c r="AP142" i="2"/>
  <c r="AO142" i="2"/>
  <c r="AN142" i="2"/>
  <c r="AM142" i="2"/>
  <c r="AL142" i="2"/>
  <c r="BR141" i="2"/>
  <c r="BO141" i="2"/>
  <c r="BN141" i="2"/>
  <c r="BM141" i="2"/>
  <c r="BJ141" i="2"/>
  <c r="BK141" i="2" s="1"/>
  <c r="BH141" i="2"/>
  <c r="BD141" i="2"/>
  <c r="AW141" i="2"/>
  <c r="AV141" i="2"/>
  <c r="AS141" i="2"/>
  <c r="AR141" i="2"/>
  <c r="AQ141" i="2"/>
  <c r="AP141" i="2"/>
  <c r="AO141" i="2"/>
  <c r="AM141" i="2"/>
  <c r="AL141" i="2"/>
  <c r="AN141" i="2" s="1"/>
  <c r="BA141" i="2" s="1"/>
  <c r="BR140" i="2"/>
  <c r="A140" i="2"/>
  <c r="BR139" i="2"/>
  <c r="BO139" i="2"/>
  <c r="BN139" i="2"/>
  <c r="BM139" i="2"/>
  <c r="BK139" i="2"/>
  <c r="BJ139" i="2"/>
  <c r="BH139" i="2"/>
  <c r="BD139" i="2"/>
  <c r="BA139" i="2"/>
  <c r="AW139" i="2"/>
  <c r="AV139" i="2"/>
  <c r="AS139" i="2"/>
  <c r="AR139" i="2"/>
  <c r="AQ139" i="2"/>
  <c r="AP139" i="2"/>
  <c r="AO139" i="2"/>
  <c r="AM139" i="2"/>
  <c r="AN139" i="2" s="1"/>
  <c r="AL139" i="2"/>
  <c r="BR138" i="2"/>
  <c r="BO138" i="2"/>
  <c r="BN138" i="2"/>
  <c r="BM138" i="2"/>
  <c r="BJ138" i="2"/>
  <c r="BK138" i="2" s="1"/>
  <c r="BH138" i="2"/>
  <c r="BD138" i="2"/>
  <c r="AW138" i="2"/>
  <c r="AV138" i="2"/>
  <c r="AS138" i="2"/>
  <c r="AR138" i="2"/>
  <c r="AQ138" i="2"/>
  <c r="AP138" i="2"/>
  <c r="AO138" i="2"/>
  <c r="AN138" i="2"/>
  <c r="BA138" i="2" s="1"/>
  <c r="AM138" i="2"/>
  <c r="AL138" i="2"/>
  <c r="BR137" i="2"/>
  <c r="BO137" i="2"/>
  <c r="BN137" i="2"/>
  <c r="BM137" i="2"/>
  <c r="BJ137" i="2"/>
  <c r="BK137" i="2" s="1"/>
  <c r="BH137" i="2"/>
  <c r="BD137" i="2"/>
  <c r="AW137" i="2"/>
  <c r="AV137" i="2"/>
  <c r="AS137" i="2"/>
  <c r="AR137" i="2"/>
  <c r="AQ137" i="2"/>
  <c r="AP137" i="2"/>
  <c r="AO137" i="2"/>
  <c r="AM137" i="2"/>
  <c r="AL137" i="2"/>
  <c r="BR136" i="2"/>
  <c r="BO136" i="2"/>
  <c r="BN136" i="2"/>
  <c r="BM136" i="2"/>
  <c r="BJ136" i="2"/>
  <c r="BK136" i="2" s="1"/>
  <c r="BH136" i="2"/>
  <c r="BD136" i="2"/>
  <c r="AW136" i="2"/>
  <c r="AV136" i="2"/>
  <c r="AS136" i="2"/>
  <c r="AR136" i="2"/>
  <c r="AQ136" i="2"/>
  <c r="AP136" i="2"/>
  <c r="AO136" i="2"/>
  <c r="AM136" i="2"/>
  <c r="AN136" i="2" s="1"/>
  <c r="BA136" i="2" s="1"/>
  <c r="AL136" i="2"/>
  <c r="BR135" i="2"/>
  <c r="BO135" i="2"/>
  <c r="BN135" i="2"/>
  <c r="BM135" i="2"/>
  <c r="BJ135" i="2"/>
  <c r="BK135" i="2" s="1"/>
  <c r="BH135" i="2"/>
  <c r="BD135" i="2"/>
  <c r="AW135" i="2"/>
  <c r="AV135" i="2"/>
  <c r="AS135" i="2"/>
  <c r="AR135" i="2"/>
  <c r="AQ135" i="2"/>
  <c r="AP135" i="2"/>
  <c r="AO135" i="2"/>
  <c r="AM135" i="2"/>
  <c r="AN135" i="2" s="1"/>
  <c r="BA135" i="2" s="1"/>
  <c r="AL135" i="2"/>
  <c r="BR134" i="2"/>
  <c r="BO134" i="2"/>
  <c r="BN134" i="2"/>
  <c r="BM134" i="2"/>
  <c r="BK134" i="2"/>
  <c r="BJ134" i="2"/>
  <c r="BH134" i="2"/>
  <c r="BD134" i="2"/>
  <c r="AW134" i="2"/>
  <c r="AV134" i="2"/>
  <c r="AS134" i="2"/>
  <c r="AR134" i="2"/>
  <c r="AQ134" i="2"/>
  <c r="AP134" i="2"/>
  <c r="AO134" i="2"/>
  <c r="AN134" i="2"/>
  <c r="AM134" i="2"/>
  <c r="AL134" i="2"/>
  <c r="BR133" i="2"/>
  <c r="BO133" i="2"/>
  <c r="BN133" i="2"/>
  <c r="BM133" i="2"/>
  <c r="BK133" i="2"/>
  <c r="BJ133" i="2"/>
  <c r="BH133" i="2"/>
  <c r="BD133" i="2"/>
  <c r="AW133" i="2"/>
  <c r="AV133" i="2"/>
  <c r="AS133" i="2"/>
  <c r="AR133" i="2"/>
  <c r="AQ133" i="2"/>
  <c r="AP133" i="2"/>
  <c r="AO133" i="2"/>
  <c r="AM133" i="2"/>
  <c r="AN133" i="2" s="1"/>
  <c r="AL133" i="2"/>
  <c r="BR132" i="2"/>
  <c r="BO132" i="2"/>
  <c r="BN132" i="2"/>
  <c r="BM132" i="2"/>
  <c r="BJ132" i="2"/>
  <c r="BK132" i="2" s="1"/>
  <c r="BH132" i="2"/>
  <c r="BD132" i="2"/>
  <c r="AW132" i="2"/>
  <c r="AV132" i="2"/>
  <c r="AS132" i="2"/>
  <c r="AR132" i="2"/>
  <c r="AQ132" i="2"/>
  <c r="AP132" i="2"/>
  <c r="AO132" i="2"/>
  <c r="AN132" i="2"/>
  <c r="BA132" i="2" s="1"/>
  <c r="AM132" i="2"/>
  <c r="AL132" i="2"/>
  <c r="BR131" i="2"/>
  <c r="BO131" i="2"/>
  <c r="BN131" i="2"/>
  <c r="BM131" i="2"/>
  <c r="BK131" i="2"/>
  <c r="BJ131" i="2"/>
  <c r="BH131" i="2"/>
  <c r="BD131" i="2"/>
  <c r="AW131" i="2"/>
  <c r="AV131" i="2"/>
  <c r="AS131" i="2"/>
  <c r="AR131" i="2"/>
  <c r="AQ131" i="2"/>
  <c r="AP131" i="2"/>
  <c r="AO131" i="2"/>
  <c r="AM131" i="2"/>
  <c r="AL131" i="2"/>
  <c r="AN131" i="2" s="1"/>
  <c r="BA131" i="2" s="1"/>
  <c r="BR130" i="2"/>
  <c r="BO130" i="2"/>
  <c r="BN130" i="2"/>
  <c r="BM130" i="2"/>
  <c r="BK130" i="2"/>
  <c r="BJ130" i="2"/>
  <c r="BH130" i="2"/>
  <c r="BD130" i="2"/>
  <c r="AW130" i="2"/>
  <c r="AV130" i="2"/>
  <c r="AS130" i="2"/>
  <c r="BA130" i="2" s="1"/>
  <c r="AR130" i="2"/>
  <c r="AQ130" i="2"/>
  <c r="AP130" i="2"/>
  <c r="AO130" i="2"/>
  <c r="AM130" i="2"/>
  <c r="AL130" i="2"/>
  <c r="AN130" i="2" s="1"/>
  <c r="BR129" i="2"/>
  <c r="BO129" i="2"/>
  <c r="BN129" i="2"/>
  <c r="BM129" i="2"/>
  <c r="BJ129" i="2"/>
  <c r="BK129" i="2" s="1"/>
  <c r="BH129" i="2"/>
  <c r="BD129" i="2"/>
  <c r="AW129" i="2"/>
  <c r="AV129" i="2"/>
  <c r="AS129" i="2"/>
  <c r="AR129" i="2"/>
  <c r="AQ129" i="2"/>
  <c r="AP129" i="2"/>
  <c r="AO129" i="2"/>
  <c r="AM129" i="2"/>
  <c r="AL129" i="2"/>
  <c r="AN129" i="2" s="1"/>
  <c r="BR128" i="2"/>
  <c r="BO128" i="2"/>
  <c r="BN128" i="2"/>
  <c r="BM128" i="2"/>
  <c r="BJ128" i="2"/>
  <c r="BK128" i="2" s="1"/>
  <c r="BH128" i="2"/>
  <c r="BD128" i="2"/>
  <c r="AW128" i="2"/>
  <c r="AV128" i="2"/>
  <c r="AS128" i="2"/>
  <c r="AR128" i="2"/>
  <c r="AQ128" i="2"/>
  <c r="AP128" i="2"/>
  <c r="AO128" i="2"/>
  <c r="AM128" i="2"/>
  <c r="AL128" i="2"/>
  <c r="BR127" i="2"/>
  <c r="BO127" i="2"/>
  <c r="BN127" i="2"/>
  <c r="BM127" i="2"/>
  <c r="BJ127" i="2"/>
  <c r="BK127" i="2" s="1"/>
  <c r="BH127" i="2"/>
  <c r="BD127" i="2"/>
  <c r="AW127" i="2"/>
  <c r="AV127" i="2"/>
  <c r="AS127" i="2"/>
  <c r="AR127" i="2"/>
  <c r="AQ127" i="2"/>
  <c r="AP127" i="2"/>
  <c r="AO127" i="2"/>
  <c r="AN127" i="2"/>
  <c r="BA127" i="2" s="1"/>
  <c r="AM127" i="2"/>
  <c r="AL127" i="2"/>
  <c r="BR126" i="2"/>
  <c r="BO126" i="2"/>
  <c r="BN126" i="2"/>
  <c r="BM126" i="2"/>
  <c r="BJ126" i="2"/>
  <c r="BK126" i="2" s="1"/>
  <c r="BH126" i="2"/>
  <c r="BD126" i="2"/>
  <c r="AW126" i="2"/>
  <c r="AV126" i="2"/>
  <c r="AS126" i="2"/>
  <c r="AR126" i="2"/>
  <c r="AQ126" i="2"/>
  <c r="AP126" i="2"/>
  <c r="AO126" i="2"/>
  <c r="AN126" i="2"/>
  <c r="BA126" i="2" s="1"/>
  <c r="AM126" i="2"/>
  <c r="AL126" i="2"/>
  <c r="BR125" i="2"/>
  <c r="BO125" i="2"/>
  <c r="BN125" i="2"/>
  <c r="BM125" i="2"/>
  <c r="BK125" i="2"/>
  <c r="BJ125" i="2"/>
  <c r="BH125" i="2"/>
  <c r="BD125" i="2"/>
  <c r="AW125" i="2"/>
  <c r="AV125" i="2"/>
  <c r="AS125" i="2"/>
  <c r="AR125" i="2"/>
  <c r="AQ125" i="2"/>
  <c r="AP125" i="2"/>
  <c r="AO125" i="2"/>
  <c r="AN125" i="2"/>
  <c r="BA125" i="2" s="1"/>
  <c r="AM125" i="2"/>
  <c r="AL125" i="2"/>
  <c r="BR124" i="2"/>
  <c r="BO124" i="2"/>
  <c r="BN124" i="2"/>
  <c r="BM124" i="2"/>
  <c r="BJ124" i="2"/>
  <c r="BK124" i="2" s="1"/>
  <c r="BH124" i="2"/>
  <c r="BD124" i="2"/>
  <c r="AW124" i="2"/>
  <c r="AV124" i="2"/>
  <c r="AS124" i="2"/>
  <c r="AR124" i="2"/>
  <c r="AQ124" i="2"/>
  <c r="AP124" i="2"/>
  <c r="AO124" i="2"/>
  <c r="AM124" i="2"/>
  <c r="AN124" i="2" s="1"/>
  <c r="BA124" i="2" s="1"/>
  <c r="AL124" i="2"/>
  <c r="BR123" i="2"/>
  <c r="BO123" i="2"/>
  <c r="BN123" i="2"/>
  <c r="BM123" i="2"/>
  <c r="BJ123" i="2"/>
  <c r="BK123" i="2" s="1"/>
  <c r="BH123" i="2"/>
  <c r="BD123" i="2"/>
  <c r="AW123" i="2"/>
  <c r="AV123" i="2"/>
  <c r="AS123" i="2"/>
  <c r="AR123" i="2"/>
  <c r="AQ123" i="2"/>
  <c r="AP123" i="2"/>
  <c r="AO123" i="2"/>
  <c r="AN123" i="2"/>
  <c r="BA123" i="2" s="1"/>
  <c r="AM123" i="2"/>
  <c r="AL123" i="2"/>
  <c r="BR122" i="2"/>
  <c r="BO122" i="2"/>
  <c r="BN122" i="2"/>
  <c r="BM122" i="2"/>
  <c r="BJ122" i="2"/>
  <c r="BK122" i="2" s="1"/>
  <c r="BH122" i="2"/>
  <c r="BD122" i="2"/>
  <c r="AW122" i="2"/>
  <c r="AV122" i="2"/>
  <c r="AS122" i="2"/>
  <c r="AR122" i="2"/>
  <c r="AQ122" i="2"/>
  <c r="AP122" i="2"/>
  <c r="AO122" i="2"/>
  <c r="AM122" i="2"/>
  <c r="AL122" i="2"/>
  <c r="AN122" i="2" s="1"/>
  <c r="BR121" i="2"/>
  <c r="BO121" i="2"/>
  <c r="BN121" i="2"/>
  <c r="BM121" i="2"/>
  <c r="BK121" i="2"/>
  <c r="BJ121" i="2"/>
  <c r="BH121" i="2"/>
  <c r="BD121" i="2"/>
  <c r="AW121" i="2"/>
  <c r="AV121" i="2"/>
  <c r="AS121" i="2"/>
  <c r="AR121" i="2"/>
  <c r="AQ121" i="2"/>
  <c r="AP121" i="2"/>
  <c r="AO121" i="2"/>
  <c r="AM121" i="2"/>
  <c r="AL121" i="2"/>
  <c r="AN121" i="2" s="1"/>
  <c r="BR120" i="2"/>
  <c r="BO120" i="2"/>
  <c r="BN120" i="2"/>
  <c r="BM120" i="2"/>
  <c r="BJ120" i="2"/>
  <c r="BK120" i="2" s="1"/>
  <c r="BH120" i="2"/>
  <c r="BD120" i="2"/>
  <c r="AW120" i="2"/>
  <c r="AV120" i="2"/>
  <c r="AS120" i="2"/>
  <c r="AR120" i="2"/>
  <c r="AQ120" i="2"/>
  <c r="AP120" i="2"/>
  <c r="AO120" i="2"/>
  <c r="AM120" i="2"/>
  <c r="AL120" i="2"/>
  <c r="AN120" i="2" s="1"/>
  <c r="BA120" i="2" s="1"/>
  <c r="BR119" i="2"/>
  <c r="BO119" i="2"/>
  <c r="BN119" i="2"/>
  <c r="BM119" i="2"/>
  <c r="BK119" i="2"/>
  <c r="BJ119" i="2"/>
  <c r="BH119" i="2"/>
  <c r="BD119" i="2"/>
  <c r="AW119" i="2"/>
  <c r="AV119" i="2"/>
  <c r="AS119" i="2"/>
  <c r="BA119" i="2" s="1"/>
  <c r="AR119" i="2"/>
  <c r="AQ119" i="2"/>
  <c r="AP119" i="2"/>
  <c r="AO119" i="2"/>
  <c r="AM119" i="2"/>
  <c r="AN119" i="2" s="1"/>
  <c r="AL119" i="2"/>
  <c r="BR118" i="2"/>
  <c r="BO118" i="2"/>
  <c r="BN118" i="2"/>
  <c r="BM118" i="2"/>
  <c r="BJ118" i="2"/>
  <c r="BK118" i="2" s="1"/>
  <c r="BH118" i="2"/>
  <c r="BD118" i="2"/>
  <c r="AW118" i="2"/>
  <c r="AV118" i="2"/>
  <c r="AS118" i="2"/>
  <c r="AR118" i="2"/>
  <c r="AQ118" i="2"/>
  <c r="AP118" i="2"/>
  <c r="AO118" i="2"/>
  <c r="AM118" i="2"/>
  <c r="AL118" i="2"/>
  <c r="AN118" i="2" s="1"/>
  <c r="BA118" i="2" s="1"/>
  <c r="BR117" i="2"/>
  <c r="BO117" i="2"/>
  <c r="BN117" i="2"/>
  <c r="BM117" i="2"/>
  <c r="BJ117" i="2"/>
  <c r="BK117" i="2" s="1"/>
  <c r="BH117" i="2"/>
  <c r="BD117" i="2"/>
  <c r="AW117" i="2"/>
  <c r="AV117" i="2"/>
  <c r="AS117" i="2"/>
  <c r="AR117" i="2"/>
  <c r="AQ117" i="2"/>
  <c r="AP117" i="2"/>
  <c r="AO117" i="2"/>
  <c r="AM117" i="2"/>
  <c r="AL117" i="2"/>
  <c r="BR116" i="2"/>
  <c r="BO116" i="2"/>
  <c r="BN116" i="2"/>
  <c r="BM116" i="2"/>
  <c r="BJ116" i="2"/>
  <c r="BK116" i="2" s="1"/>
  <c r="BH116" i="2"/>
  <c r="BD116" i="2"/>
  <c r="AW116" i="2"/>
  <c r="AV116" i="2"/>
  <c r="AS116" i="2"/>
  <c r="AR116" i="2"/>
  <c r="AQ116" i="2"/>
  <c r="AP116" i="2"/>
  <c r="AO116" i="2"/>
  <c r="AM116" i="2"/>
  <c r="AL116" i="2"/>
  <c r="AN116" i="2" s="1"/>
  <c r="BA116" i="2" s="1"/>
  <c r="BR115" i="2"/>
  <c r="BO115" i="2"/>
  <c r="BN115" i="2"/>
  <c r="BM115" i="2"/>
  <c r="BJ115" i="2"/>
  <c r="BK115" i="2" s="1"/>
  <c r="BH115" i="2"/>
  <c r="BD115" i="2"/>
  <c r="AW115" i="2"/>
  <c r="AV115" i="2"/>
  <c r="AS115" i="2"/>
  <c r="AR115" i="2"/>
  <c r="AQ115" i="2"/>
  <c r="AP115" i="2"/>
  <c r="AO115" i="2"/>
  <c r="AN115" i="2"/>
  <c r="BA115" i="2" s="1"/>
  <c r="AM115" i="2"/>
  <c r="AL115" i="2"/>
  <c r="BR114" i="2"/>
  <c r="BO114" i="2"/>
  <c r="BN114" i="2"/>
  <c r="BM114" i="2"/>
  <c r="BJ114" i="2"/>
  <c r="BK114" i="2" s="1"/>
  <c r="BH114" i="2"/>
  <c r="BD114" i="2"/>
  <c r="AW114" i="2"/>
  <c r="AV114" i="2"/>
  <c r="AS114" i="2"/>
  <c r="AR114" i="2"/>
  <c r="AQ114" i="2"/>
  <c r="AP114" i="2"/>
  <c r="AO114" i="2"/>
  <c r="AN114" i="2"/>
  <c r="AM114" i="2"/>
  <c r="AL114" i="2"/>
  <c r="BR113" i="2"/>
  <c r="BO113" i="2"/>
  <c r="BN113" i="2"/>
  <c r="BM113" i="2"/>
  <c r="BJ113" i="2"/>
  <c r="BK113" i="2" s="1"/>
  <c r="BH113" i="2"/>
  <c r="BD113" i="2"/>
  <c r="AW113" i="2"/>
  <c r="AV113" i="2"/>
  <c r="AS113" i="2"/>
  <c r="AR113" i="2"/>
  <c r="AQ113" i="2"/>
  <c r="AP113" i="2"/>
  <c r="AO113" i="2"/>
  <c r="AM113" i="2"/>
  <c r="AN113" i="2" s="1"/>
  <c r="BA113" i="2" s="1"/>
  <c r="AL113" i="2"/>
  <c r="BR112" i="2"/>
  <c r="BO112" i="2"/>
  <c r="BN112" i="2"/>
  <c r="BM112" i="2"/>
  <c r="BK112" i="2"/>
  <c r="BJ112" i="2"/>
  <c r="BH112" i="2"/>
  <c r="BD112" i="2"/>
  <c r="AW112" i="2"/>
  <c r="AV112" i="2"/>
  <c r="AS112" i="2"/>
  <c r="AR112" i="2"/>
  <c r="AQ112" i="2"/>
  <c r="AP112" i="2"/>
  <c r="AO112" i="2"/>
  <c r="AN112" i="2"/>
  <c r="BA112" i="2" s="1"/>
  <c r="AM112" i="2"/>
  <c r="AL112" i="2"/>
  <c r="BR111" i="2"/>
  <c r="BO111" i="2"/>
  <c r="BN111" i="2"/>
  <c r="BM111" i="2"/>
  <c r="BK111" i="2"/>
  <c r="BJ111" i="2"/>
  <c r="BH111" i="2"/>
  <c r="BD111" i="2"/>
  <c r="AW111" i="2"/>
  <c r="AV111" i="2"/>
  <c r="AS111" i="2"/>
  <c r="AR111" i="2"/>
  <c r="AQ111" i="2"/>
  <c r="AP111" i="2"/>
  <c r="AO111" i="2"/>
  <c r="AM111" i="2"/>
  <c r="AL111" i="2"/>
  <c r="AN111" i="2" s="1"/>
  <c r="BR110" i="2"/>
  <c r="BO110" i="2"/>
  <c r="BN110" i="2"/>
  <c r="BM110" i="2"/>
  <c r="BK110" i="2"/>
  <c r="BJ110" i="2"/>
  <c r="BH110" i="2"/>
  <c r="BD110" i="2"/>
  <c r="AW110" i="2"/>
  <c r="AV110" i="2"/>
  <c r="AS110" i="2"/>
  <c r="AR110" i="2"/>
  <c r="AQ110" i="2"/>
  <c r="AP110" i="2"/>
  <c r="AO110" i="2"/>
  <c r="AM110" i="2"/>
  <c r="AL110" i="2"/>
  <c r="AN110" i="2" s="1"/>
  <c r="BA110" i="2" s="1"/>
  <c r="BR109" i="2"/>
  <c r="BO109" i="2"/>
  <c r="BN109" i="2"/>
  <c r="BM109" i="2"/>
  <c r="BJ109" i="2"/>
  <c r="BK109" i="2" s="1"/>
  <c r="BH109" i="2"/>
  <c r="BD109" i="2"/>
  <c r="AW109" i="2"/>
  <c r="AV109" i="2"/>
  <c r="AS109" i="2"/>
  <c r="AR109" i="2"/>
  <c r="AQ109" i="2"/>
  <c r="AP109" i="2"/>
  <c r="AO109" i="2"/>
  <c r="AM109" i="2"/>
  <c r="AL109" i="2"/>
  <c r="AN109" i="2" s="1"/>
  <c r="BA109" i="2" s="1"/>
  <c r="BR108" i="2"/>
  <c r="BO108" i="2"/>
  <c r="BN108" i="2"/>
  <c r="BM108" i="2"/>
  <c r="BJ108" i="2"/>
  <c r="BK108" i="2" s="1"/>
  <c r="BH108" i="2"/>
  <c r="BD108" i="2"/>
  <c r="AW108" i="2"/>
  <c r="AV108" i="2"/>
  <c r="AS108" i="2"/>
  <c r="AR108" i="2"/>
  <c r="AQ108" i="2"/>
  <c r="AP108" i="2"/>
  <c r="AO108" i="2"/>
  <c r="AM108" i="2"/>
  <c r="AL108" i="2"/>
  <c r="AN108" i="2" s="1"/>
  <c r="BA108" i="2" s="1"/>
  <c r="BR107" i="2"/>
  <c r="BO107" i="2"/>
  <c r="BN107" i="2"/>
  <c r="BM107" i="2"/>
  <c r="BJ107" i="2"/>
  <c r="BK107" i="2" s="1"/>
  <c r="BH107" i="2"/>
  <c r="BD107" i="2"/>
  <c r="AW107" i="2"/>
  <c r="AV107" i="2"/>
  <c r="AS107" i="2"/>
  <c r="AR107" i="2"/>
  <c r="AQ107" i="2"/>
  <c r="AP107" i="2"/>
  <c r="AO107" i="2"/>
  <c r="AM107" i="2"/>
  <c r="AL107" i="2"/>
  <c r="AN107" i="2" s="1"/>
  <c r="BA107" i="2" s="1"/>
  <c r="BR106" i="2"/>
  <c r="BO106" i="2"/>
  <c r="BN106" i="2"/>
  <c r="BM106" i="2"/>
  <c r="BJ106" i="2"/>
  <c r="BK106" i="2" s="1"/>
  <c r="BH106" i="2"/>
  <c r="BD106" i="2"/>
  <c r="AW106" i="2"/>
  <c r="AV106" i="2"/>
  <c r="AS106" i="2"/>
  <c r="AR106" i="2"/>
  <c r="AQ106" i="2"/>
  <c r="AP106" i="2"/>
  <c r="AO106" i="2"/>
  <c r="AM106" i="2"/>
  <c r="AL106" i="2"/>
  <c r="AN106" i="2" s="1"/>
  <c r="BA106" i="2" s="1"/>
  <c r="BR105" i="2"/>
  <c r="BO105" i="2"/>
  <c r="BN105" i="2"/>
  <c r="BM105" i="2"/>
  <c r="BK105" i="2"/>
  <c r="BJ105" i="2"/>
  <c r="BH105" i="2"/>
  <c r="BD105" i="2"/>
  <c r="AW105" i="2"/>
  <c r="AV105" i="2"/>
  <c r="AS105" i="2"/>
  <c r="AR105" i="2"/>
  <c r="AQ105" i="2"/>
  <c r="AP105" i="2"/>
  <c r="AO105" i="2"/>
  <c r="AM105" i="2"/>
  <c r="AL105" i="2"/>
  <c r="AN105" i="2" s="1"/>
  <c r="BA105" i="2" s="1"/>
  <c r="BR104" i="2"/>
  <c r="BO104" i="2"/>
  <c r="BN104" i="2"/>
  <c r="BM104" i="2"/>
  <c r="BJ104" i="2"/>
  <c r="BK104" i="2" s="1"/>
  <c r="BH104" i="2"/>
  <c r="BD104" i="2"/>
  <c r="AW104" i="2"/>
  <c r="AV104" i="2"/>
  <c r="AS104" i="2"/>
  <c r="AR104" i="2"/>
  <c r="AQ104" i="2"/>
  <c r="AP104" i="2"/>
  <c r="AO104" i="2"/>
  <c r="AM104" i="2"/>
  <c r="AN104" i="2" s="1"/>
  <c r="BA104" i="2" s="1"/>
  <c r="AL104" i="2"/>
  <c r="BR103" i="2"/>
  <c r="BO103" i="2"/>
  <c r="BN103" i="2"/>
  <c r="BM103" i="2"/>
  <c r="BJ103" i="2"/>
  <c r="BK103" i="2" s="1"/>
  <c r="BH103" i="2"/>
  <c r="BD103" i="2"/>
  <c r="AW103" i="2"/>
  <c r="AV103" i="2"/>
  <c r="AS103" i="2"/>
  <c r="AR103" i="2"/>
  <c r="AQ103" i="2"/>
  <c r="AP103" i="2"/>
  <c r="AO103" i="2"/>
  <c r="AN103" i="2"/>
  <c r="AM103" i="2"/>
  <c r="AL103" i="2"/>
  <c r="BR102" i="2"/>
  <c r="BO102" i="2"/>
  <c r="BN102" i="2"/>
  <c r="BM102" i="2"/>
  <c r="BJ102" i="2"/>
  <c r="BK102" i="2" s="1"/>
  <c r="BH102" i="2"/>
  <c r="BD102" i="2"/>
  <c r="AW102" i="2"/>
  <c r="AV102" i="2"/>
  <c r="AS102" i="2"/>
  <c r="AR102" i="2"/>
  <c r="AQ102" i="2"/>
  <c r="AP102" i="2"/>
  <c r="AO102" i="2"/>
  <c r="AM102" i="2"/>
  <c r="AL102" i="2"/>
  <c r="AN102" i="2" s="1"/>
  <c r="BR101" i="2"/>
  <c r="BO101" i="2"/>
  <c r="BN101" i="2"/>
  <c r="BM101" i="2"/>
  <c r="BK101" i="2"/>
  <c r="BJ101" i="2"/>
  <c r="BH101" i="2"/>
  <c r="BD101" i="2"/>
  <c r="AW101" i="2"/>
  <c r="AV101" i="2"/>
  <c r="AS101" i="2"/>
  <c r="AR101" i="2"/>
  <c r="AQ101" i="2"/>
  <c r="AP101" i="2"/>
  <c r="AO101" i="2"/>
  <c r="AM101" i="2"/>
  <c r="AL101" i="2"/>
  <c r="AN101" i="2" s="1"/>
  <c r="BA101" i="2" s="1"/>
  <c r="BR100" i="2"/>
  <c r="BO100" i="2"/>
  <c r="BN100" i="2"/>
  <c r="BM100" i="2"/>
  <c r="BJ100" i="2"/>
  <c r="BK100" i="2" s="1"/>
  <c r="BH100" i="2"/>
  <c r="BD100" i="2"/>
  <c r="AW100" i="2"/>
  <c r="AV100" i="2"/>
  <c r="AS100" i="2"/>
  <c r="AR100" i="2"/>
  <c r="AQ100" i="2"/>
  <c r="AP100" i="2"/>
  <c r="AO100" i="2"/>
  <c r="AM100" i="2"/>
  <c r="AL100" i="2"/>
  <c r="AN100" i="2" s="1"/>
  <c r="BR99" i="2"/>
  <c r="BO99" i="2"/>
  <c r="BN99" i="2"/>
  <c r="BM99" i="2"/>
  <c r="BK99" i="2"/>
  <c r="BJ99" i="2"/>
  <c r="BH99" i="2"/>
  <c r="BD99" i="2"/>
  <c r="AW99" i="2"/>
  <c r="AV99" i="2"/>
  <c r="AS99" i="2"/>
  <c r="AR99" i="2"/>
  <c r="AQ99" i="2"/>
  <c r="AP99" i="2"/>
  <c r="AO99" i="2"/>
  <c r="AM99" i="2"/>
  <c r="AN99" i="2" s="1"/>
  <c r="BA99" i="2" s="1"/>
  <c r="AL99" i="2"/>
  <c r="BR98" i="2"/>
  <c r="BO98" i="2"/>
  <c r="BN98" i="2"/>
  <c r="BM98" i="2"/>
  <c r="BJ98" i="2"/>
  <c r="BK98" i="2" s="1"/>
  <c r="BH98" i="2"/>
  <c r="BD98" i="2"/>
  <c r="AW98" i="2"/>
  <c r="AV98" i="2"/>
  <c r="AS98" i="2"/>
  <c r="AR98" i="2"/>
  <c r="AQ98" i="2"/>
  <c r="AP98" i="2"/>
  <c r="AO98" i="2"/>
  <c r="AM98" i="2"/>
  <c r="AL98" i="2"/>
  <c r="AN98" i="2" s="1"/>
  <c r="BA98" i="2" s="1"/>
  <c r="BR97" i="2"/>
  <c r="BO97" i="2"/>
  <c r="BN97" i="2"/>
  <c r="BM97" i="2"/>
  <c r="BJ97" i="2"/>
  <c r="BK97" i="2" s="1"/>
  <c r="BH97" i="2"/>
  <c r="BD97" i="2"/>
  <c r="AW97" i="2"/>
  <c r="AV97" i="2"/>
  <c r="AS97" i="2"/>
  <c r="AR97" i="2"/>
  <c r="AQ97" i="2"/>
  <c r="AP97" i="2"/>
  <c r="AO97" i="2"/>
  <c r="AM97" i="2"/>
  <c r="AL97" i="2"/>
  <c r="BR96" i="2"/>
  <c r="BO96" i="2"/>
  <c r="BN96" i="2"/>
  <c r="BM96" i="2"/>
  <c r="BJ96" i="2"/>
  <c r="BK96" i="2" s="1"/>
  <c r="BH96" i="2"/>
  <c r="BD96" i="2"/>
  <c r="AW96" i="2"/>
  <c r="AV96" i="2"/>
  <c r="AS96" i="2"/>
  <c r="AR96" i="2"/>
  <c r="AQ96" i="2"/>
  <c r="AP96" i="2"/>
  <c r="AO96" i="2"/>
  <c r="AM96" i="2"/>
  <c r="AL96" i="2"/>
  <c r="AN96" i="2" s="1"/>
  <c r="BA96" i="2" s="1"/>
  <c r="BR95" i="2"/>
  <c r="BO95" i="2"/>
  <c r="BN95" i="2"/>
  <c r="BM95" i="2"/>
  <c r="BJ95" i="2"/>
  <c r="BK95" i="2" s="1"/>
  <c r="BH95" i="2"/>
  <c r="BD95" i="2"/>
  <c r="AW95" i="2"/>
  <c r="AV95" i="2"/>
  <c r="AS95" i="2"/>
  <c r="AR95" i="2"/>
  <c r="AQ95" i="2"/>
  <c r="AP95" i="2"/>
  <c r="AO95" i="2"/>
  <c r="AN95" i="2"/>
  <c r="BA95" i="2" s="1"/>
  <c r="AM95" i="2"/>
  <c r="AL95" i="2"/>
  <c r="BR94" i="2"/>
  <c r="BO94" i="2"/>
  <c r="BN94" i="2"/>
  <c r="BM94" i="2"/>
  <c r="BJ94" i="2"/>
  <c r="BK94" i="2" s="1"/>
  <c r="BH94" i="2"/>
  <c r="BD94" i="2"/>
  <c r="AW94" i="2"/>
  <c r="AV94" i="2"/>
  <c r="AS94" i="2"/>
  <c r="AR94" i="2"/>
  <c r="AQ94" i="2"/>
  <c r="AP94" i="2"/>
  <c r="AO94" i="2"/>
  <c r="AN94" i="2"/>
  <c r="BA94" i="2" s="1"/>
  <c r="AM94" i="2"/>
  <c r="AL94" i="2"/>
  <c r="BR93" i="2"/>
  <c r="BO93" i="2"/>
  <c r="BN93" i="2"/>
  <c r="BM93" i="2"/>
  <c r="BJ93" i="2"/>
  <c r="BK93" i="2" s="1"/>
  <c r="BH93" i="2"/>
  <c r="BD93" i="2"/>
  <c r="AW93" i="2"/>
  <c r="AV93" i="2"/>
  <c r="AS93" i="2"/>
  <c r="AR93" i="2"/>
  <c r="AQ93" i="2"/>
  <c r="AP93" i="2"/>
  <c r="AO93" i="2"/>
  <c r="AM93" i="2"/>
  <c r="AN93" i="2" s="1"/>
  <c r="BA93" i="2" s="1"/>
  <c r="AL93" i="2"/>
  <c r="BR92" i="2"/>
  <c r="BO92" i="2"/>
  <c r="BN92" i="2"/>
  <c r="BM92" i="2"/>
  <c r="BJ92" i="2"/>
  <c r="BK92" i="2" s="1"/>
  <c r="BH92" i="2"/>
  <c r="BD92" i="2"/>
  <c r="AW92" i="2"/>
  <c r="AV92" i="2"/>
  <c r="AS92" i="2"/>
  <c r="AR92" i="2"/>
  <c r="AQ92" i="2"/>
  <c r="AP92" i="2"/>
  <c r="AO92" i="2"/>
  <c r="AN92" i="2"/>
  <c r="BA92" i="2" s="1"/>
  <c r="AM92" i="2"/>
  <c r="AL92" i="2"/>
  <c r="BR91" i="2"/>
  <c r="BO91" i="2"/>
  <c r="BN91" i="2"/>
  <c r="BM91" i="2"/>
  <c r="BJ91" i="2"/>
  <c r="BK91" i="2" s="1"/>
  <c r="BH91" i="2"/>
  <c r="BD91" i="2"/>
  <c r="BA91" i="2"/>
  <c r="AW91" i="2"/>
  <c r="AV91" i="2"/>
  <c r="AS91" i="2"/>
  <c r="AR91" i="2"/>
  <c r="AQ91" i="2"/>
  <c r="AP91" i="2"/>
  <c r="AO91" i="2"/>
  <c r="AM91" i="2"/>
  <c r="AL91" i="2"/>
  <c r="AN91" i="2" s="1"/>
  <c r="BR90" i="2"/>
  <c r="BO90" i="2"/>
  <c r="BN90" i="2"/>
  <c r="BM90" i="2"/>
  <c r="BK90" i="2"/>
  <c r="BJ90" i="2"/>
  <c r="BH90" i="2"/>
  <c r="BD90" i="2"/>
  <c r="AW90" i="2"/>
  <c r="AV90" i="2"/>
  <c r="AS90" i="2"/>
  <c r="AR90" i="2"/>
  <c r="BA90" i="2" s="1"/>
  <c r="AQ90" i="2"/>
  <c r="AP90" i="2"/>
  <c r="AO90" i="2"/>
  <c r="AM90" i="2"/>
  <c r="AL90" i="2"/>
  <c r="AN90" i="2" s="1"/>
  <c r="BR89" i="2"/>
  <c r="BO89" i="2"/>
  <c r="BN89" i="2"/>
  <c r="BM89" i="2"/>
  <c r="BJ89" i="2"/>
  <c r="BK89" i="2" s="1"/>
  <c r="BH89" i="2"/>
  <c r="BD89" i="2"/>
  <c r="AW89" i="2"/>
  <c r="AV89" i="2"/>
  <c r="AS89" i="2"/>
  <c r="AR89" i="2"/>
  <c r="BA89" i="2" s="1"/>
  <c r="AQ89" i="2"/>
  <c r="AP89" i="2"/>
  <c r="AO89" i="2"/>
  <c r="AM89" i="2"/>
  <c r="AL89" i="2"/>
  <c r="AN89" i="2" s="1"/>
  <c r="BR88" i="2"/>
  <c r="BO88" i="2"/>
  <c r="BN88" i="2"/>
  <c r="BM88" i="2"/>
  <c r="BJ88" i="2"/>
  <c r="BK88" i="2" s="1"/>
  <c r="BH88" i="2"/>
  <c r="BD88" i="2"/>
  <c r="AW88" i="2"/>
  <c r="AV88" i="2"/>
  <c r="AS88" i="2"/>
  <c r="AR88" i="2"/>
  <c r="AQ88" i="2"/>
  <c r="AP88" i="2"/>
  <c r="AO88" i="2"/>
  <c r="AM88" i="2"/>
  <c r="AL88" i="2"/>
  <c r="BR87" i="2"/>
  <c r="BO87" i="2"/>
  <c r="BN87" i="2"/>
  <c r="BM87" i="2"/>
  <c r="BJ87" i="2"/>
  <c r="BK87" i="2" s="1"/>
  <c r="BH87" i="2"/>
  <c r="BD87" i="2"/>
  <c r="AW87" i="2"/>
  <c r="AV87" i="2"/>
  <c r="AS87" i="2"/>
  <c r="AR87" i="2"/>
  <c r="AQ87" i="2"/>
  <c r="AP87" i="2"/>
  <c r="AO87" i="2"/>
  <c r="AN87" i="2"/>
  <c r="BA87" i="2" s="1"/>
  <c r="AM87" i="2"/>
  <c r="AL87" i="2"/>
  <c r="BR86" i="2"/>
  <c r="BO86" i="2"/>
  <c r="BN86" i="2"/>
  <c r="BM86" i="2"/>
  <c r="BJ86" i="2"/>
  <c r="BK86" i="2" s="1"/>
  <c r="BH86" i="2"/>
  <c r="BD86" i="2"/>
  <c r="AW86" i="2"/>
  <c r="AV86" i="2"/>
  <c r="AS86" i="2"/>
  <c r="AR86" i="2"/>
  <c r="AQ86" i="2"/>
  <c r="AP86" i="2"/>
  <c r="AO86" i="2"/>
  <c r="AM86" i="2"/>
  <c r="AL86" i="2"/>
  <c r="AN86" i="2" s="1"/>
  <c r="BA86" i="2" s="1"/>
  <c r="BR85" i="2"/>
  <c r="BO85" i="2"/>
  <c r="BN85" i="2"/>
  <c r="BM85" i="2"/>
  <c r="BJ85" i="2"/>
  <c r="BK85" i="2" s="1"/>
  <c r="BH85" i="2"/>
  <c r="BD85" i="2"/>
  <c r="AW85" i="2"/>
  <c r="AV85" i="2"/>
  <c r="AS85" i="2"/>
  <c r="AR85" i="2"/>
  <c r="AQ85" i="2"/>
  <c r="AP85" i="2"/>
  <c r="AO85" i="2"/>
  <c r="AM85" i="2"/>
  <c r="AL85" i="2"/>
  <c r="AN85" i="2" s="1"/>
  <c r="BA85" i="2" s="1"/>
  <c r="BR84" i="2"/>
  <c r="BO84" i="2"/>
  <c r="BN84" i="2"/>
  <c r="BM84" i="2"/>
  <c r="BJ84" i="2"/>
  <c r="BK84" i="2" s="1"/>
  <c r="BH84" i="2"/>
  <c r="BD84" i="2"/>
  <c r="AW84" i="2"/>
  <c r="AV84" i="2"/>
  <c r="AS84" i="2"/>
  <c r="AR84" i="2"/>
  <c r="AQ84" i="2"/>
  <c r="AP84" i="2"/>
  <c r="AO84" i="2"/>
  <c r="AM84" i="2"/>
  <c r="AN84" i="2" s="1"/>
  <c r="BA84" i="2" s="1"/>
  <c r="AL84" i="2"/>
  <c r="BR83" i="2"/>
  <c r="BO83" i="2"/>
  <c r="BN83" i="2"/>
  <c r="BM83" i="2"/>
  <c r="BJ83" i="2"/>
  <c r="BK83" i="2" s="1"/>
  <c r="BH83" i="2"/>
  <c r="BD83" i="2"/>
  <c r="AW83" i="2"/>
  <c r="AV83" i="2"/>
  <c r="AS83" i="2"/>
  <c r="AR83" i="2"/>
  <c r="AQ83" i="2"/>
  <c r="AP83" i="2"/>
  <c r="AO83" i="2"/>
  <c r="AN83" i="2"/>
  <c r="AM83" i="2"/>
  <c r="AL83" i="2"/>
  <c r="BR82" i="2"/>
  <c r="BO82" i="2"/>
  <c r="BN82" i="2"/>
  <c r="BM82" i="2"/>
  <c r="BJ82" i="2"/>
  <c r="BK82" i="2" s="1"/>
  <c r="BH82" i="2"/>
  <c r="BD82" i="2"/>
  <c r="AW82" i="2"/>
  <c r="AV82" i="2"/>
  <c r="AS82" i="2"/>
  <c r="AR82" i="2"/>
  <c r="AQ82" i="2"/>
  <c r="AP82" i="2"/>
  <c r="AO82" i="2"/>
  <c r="AM82" i="2"/>
  <c r="AL82" i="2"/>
  <c r="AN82" i="2" s="1"/>
  <c r="BR81" i="2"/>
  <c r="BO81" i="2"/>
  <c r="BN81" i="2"/>
  <c r="BM81" i="2"/>
  <c r="BJ81" i="2"/>
  <c r="BK81" i="2" s="1"/>
  <c r="BH81" i="2"/>
  <c r="BD81" i="2"/>
  <c r="AW81" i="2"/>
  <c r="AV81" i="2"/>
  <c r="AS81" i="2"/>
  <c r="AR81" i="2"/>
  <c r="AQ81" i="2"/>
  <c r="AP81" i="2"/>
  <c r="AO81" i="2"/>
  <c r="AM81" i="2"/>
  <c r="AL81" i="2"/>
  <c r="AN81" i="2" s="1"/>
  <c r="BA81" i="2" s="1"/>
  <c r="BR80" i="2"/>
  <c r="BO80" i="2"/>
  <c r="BN80" i="2"/>
  <c r="BM80" i="2"/>
  <c r="BJ80" i="2"/>
  <c r="BK80" i="2" s="1"/>
  <c r="BH80" i="2"/>
  <c r="BD80" i="2"/>
  <c r="AW80" i="2"/>
  <c r="AV80" i="2"/>
  <c r="AS80" i="2"/>
  <c r="AR80" i="2"/>
  <c r="AQ80" i="2"/>
  <c r="AP80" i="2"/>
  <c r="AO80" i="2"/>
  <c r="AM80" i="2"/>
  <c r="AL80" i="2"/>
  <c r="BR79" i="2"/>
  <c r="BO79" i="2"/>
  <c r="BN79" i="2"/>
  <c r="BM79" i="2"/>
  <c r="BK79" i="2"/>
  <c r="BJ79" i="2"/>
  <c r="BH79" i="2"/>
  <c r="BD79" i="2"/>
  <c r="AW79" i="2"/>
  <c r="AV79" i="2"/>
  <c r="AS79" i="2"/>
  <c r="AR79" i="2"/>
  <c r="AQ79" i="2"/>
  <c r="AP79" i="2"/>
  <c r="AO79" i="2"/>
  <c r="AM79" i="2"/>
  <c r="AN79" i="2" s="1"/>
  <c r="BA79" i="2" s="1"/>
  <c r="AL79" i="2"/>
  <c r="BR78" i="2"/>
  <c r="BO78" i="2"/>
  <c r="BN78" i="2"/>
  <c r="BM78" i="2"/>
  <c r="BJ78" i="2"/>
  <c r="BK78" i="2" s="1"/>
  <c r="BH78" i="2"/>
  <c r="BD78" i="2"/>
  <c r="AW78" i="2"/>
  <c r="AV78" i="2"/>
  <c r="AS78" i="2"/>
  <c r="AR78" i="2"/>
  <c r="AQ78" i="2"/>
  <c r="AP78" i="2"/>
  <c r="AO78" i="2"/>
  <c r="AM78" i="2"/>
  <c r="AL78" i="2"/>
  <c r="AN78" i="2" s="1"/>
  <c r="BA78" i="2" s="1"/>
  <c r="BR77" i="2"/>
  <c r="BO77" i="2"/>
  <c r="BN77" i="2"/>
  <c r="BM77" i="2"/>
  <c r="BJ77" i="2"/>
  <c r="BK77" i="2" s="1"/>
  <c r="BH77" i="2"/>
  <c r="BD77" i="2"/>
  <c r="AW77" i="2"/>
  <c r="AV77" i="2"/>
  <c r="AS77" i="2"/>
  <c r="AR77" i="2"/>
  <c r="AQ77" i="2"/>
  <c r="AP77" i="2"/>
  <c r="AO77" i="2"/>
  <c r="AM77" i="2"/>
  <c r="AL77" i="2"/>
  <c r="AN77" i="2" s="1"/>
  <c r="BA77" i="2" s="1"/>
  <c r="BR76" i="2"/>
  <c r="BO76" i="2"/>
  <c r="BN76" i="2"/>
  <c r="BM76" i="2"/>
  <c r="BJ76" i="2"/>
  <c r="BK76" i="2" s="1"/>
  <c r="BH76" i="2"/>
  <c r="BD76" i="2"/>
  <c r="AW76" i="2"/>
  <c r="AV76" i="2"/>
  <c r="AS76" i="2"/>
  <c r="AR76" i="2"/>
  <c r="AQ76" i="2"/>
  <c r="AP76" i="2"/>
  <c r="AO76" i="2"/>
  <c r="AM76" i="2"/>
  <c r="AL76" i="2"/>
  <c r="AN76" i="2" s="1"/>
  <c r="BA76" i="2" s="1"/>
  <c r="BR75" i="2"/>
  <c r="BO75" i="2"/>
  <c r="BN75" i="2"/>
  <c r="BM75" i="2"/>
  <c r="BJ75" i="2"/>
  <c r="BK75" i="2" s="1"/>
  <c r="BH75" i="2"/>
  <c r="BD75" i="2"/>
  <c r="AW75" i="2"/>
  <c r="AV75" i="2"/>
  <c r="AS75" i="2"/>
  <c r="AR75" i="2"/>
  <c r="AQ75" i="2"/>
  <c r="AP75" i="2"/>
  <c r="AO75" i="2"/>
  <c r="AM75" i="2"/>
  <c r="AL75" i="2"/>
  <c r="AN75" i="2" s="1"/>
  <c r="BA75" i="2" s="1"/>
  <c r="BR74" i="2"/>
  <c r="BO74" i="2"/>
  <c r="BN74" i="2"/>
  <c r="BM74" i="2"/>
  <c r="BJ74" i="2"/>
  <c r="BK74" i="2" s="1"/>
  <c r="BH74" i="2"/>
  <c r="BD74" i="2"/>
  <c r="AW74" i="2"/>
  <c r="AV74" i="2"/>
  <c r="AS74" i="2"/>
  <c r="AR74" i="2"/>
  <c r="AQ74" i="2"/>
  <c r="AP74" i="2"/>
  <c r="AO74" i="2"/>
  <c r="AM74" i="2"/>
  <c r="AL74" i="2"/>
  <c r="AN74" i="2" s="1"/>
  <c r="BA74" i="2" s="1"/>
  <c r="BR73" i="2"/>
  <c r="BO73" i="2"/>
  <c r="BN73" i="2"/>
  <c r="BM73" i="2"/>
  <c r="BK73" i="2"/>
  <c r="BJ73" i="2"/>
  <c r="BH73" i="2"/>
  <c r="BD73" i="2"/>
  <c r="AW73" i="2"/>
  <c r="AV73" i="2"/>
  <c r="AS73" i="2"/>
  <c r="AR73" i="2"/>
  <c r="AQ73" i="2"/>
  <c r="AP73" i="2"/>
  <c r="AO73" i="2"/>
  <c r="AN73" i="2"/>
  <c r="AM73" i="2"/>
  <c r="AL73" i="2"/>
  <c r="BR72" i="2"/>
  <c r="BO72" i="2"/>
  <c r="BN72" i="2"/>
  <c r="BM72" i="2"/>
  <c r="BK72" i="2"/>
  <c r="BJ72" i="2"/>
  <c r="BH72" i="2"/>
  <c r="BD72" i="2"/>
  <c r="AW72" i="2"/>
  <c r="AV72" i="2"/>
  <c r="AS72" i="2"/>
  <c r="AR72" i="2"/>
  <c r="AQ72" i="2"/>
  <c r="AP72" i="2"/>
  <c r="AO72" i="2"/>
  <c r="AN72" i="2"/>
  <c r="AM72" i="2"/>
  <c r="AL72" i="2"/>
  <c r="BR71" i="2"/>
  <c r="BO71" i="2"/>
  <c r="BN71" i="2"/>
  <c r="BM71" i="2"/>
  <c r="BJ71" i="2"/>
  <c r="BK71" i="2" s="1"/>
  <c r="BH71" i="2"/>
  <c r="BD71" i="2"/>
  <c r="AW71" i="2"/>
  <c r="AV71" i="2"/>
  <c r="AS71" i="2"/>
  <c r="AR71" i="2"/>
  <c r="AQ71" i="2"/>
  <c r="AP71" i="2"/>
  <c r="AO71" i="2"/>
  <c r="AM71" i="2"/>
  <c r="AL71" i="2"/>
  <c r="AN71" i="2" s="1"/>
  <c r="BA71" i="2" s="1"/>
  <c r="BR70" i="2"/>
  <c r="BO70" i="2"/>
  <c r="BN70" i="2"/>
  <c r="BM70" i="2"/>
  <c r="BK70" i="2"/>
  <c r="BJ70" i="2"/>
  <c r="BH70" i="2"/>
  <c r="BD70" i="2"/>
  <c r="AW70" i="2"/>
  <c r="AV70" i="2"/>
  <c r="AS70" i="2"/>
  <c r="AR70" i="2"/>
  <c r="AQ70" i="2"/>
  <c r="AP70" i="2"/>
  <c r="AO70" i="2"/>
  <c r="AM70" i="2"/>
  <c r="AL70" i="2"/>
  <c r="AN70" i="2" s="1"/>
  <c r="BA70" i="2" s="1"/>
  <c r="BR69" i="2"/>
  <c r="BO69" i="2"/>
  <c r="BN69" i="2"/>
  <c r="BM69" i="2"/>
  <c r="BJ69" i="2"/>
  <c r="BK69" i="2" s="1"/>
  <c r="BH69" i="2"/>
  <c r="BD69" i="2"/>
  <c r="BA69" i="2"/>
  <c r="AW69" i="2"/>
  <c r="AV69" i="2"/>
  <c r="AS69" i="2"/>
  <c r="AR69" i="2"/>
  <c r="AQ69" i="2"/>
  <c r="AP69" i="2"/>
  <c r="AO69" i="2"/>
  <c r="AM69" i="2"/>
  <c r="AL69" i="2"/>
  <c r="AN69" i="2" s="1"/>
  <c r="BR68" i="2"/>
  <c r="BO68" i="2"/>
  <c r="BN68" i="2"/>
  <c r="BM68" i="2"/>
  <c r="BJ68" i="2"/>
  <c r="BK68" i="2" s="1"/>
  <c r="BH68" i="2"/>
  <c r="BD68" i="2"/>
  <c r="BA68" i="2"/>
  <c r="AW68" i="2"/>
  <c r="AV68" i="2"/>
  <c r="AS68" i="2"/>
  <c r="AR68" i="2"/>
  <c r="AQ68" i="2"/>
  <c r="AP68" i="2"/>
  <c r="AO68" i="2"/>
  <c r="AM68" i="2"/>
  <c r="AL68" i="2"/>
  <c r="AN68" i="2" s="1"/>
  <c r="BR67" i="2"/>
  <c r="BO67" i="2"/>
  <c r="BN67" i="2"/>
  <c r="BM67" i="2"/>
  <c r="BJ67" i="2"/>
  <c r="BK67" i="2" s="1"/>
  <c r="BH67" i="2"/>
  <c r="BD67" i="2"/>
  <c r="AW67" i="2"/>
  <c r="AV67" i="2"/>
  <c r="AS67" i="2"/>
  <c r="AR67" i="2"/>
  <c r="AQ67" i="2"/>
  <c r="AP67" i="2"/>
  <c r="AO67" i="2"/>
  <c r="AM67" i="2"/>
  <c r="AL67" i="2"/>
  <c r="AN67" i="2" s="1"/>
  <c r="BA67" i="2" s="1"/>
  <c r="BR66" i="2"/>
  <c r="BO66" i="2"/>
  <c r="BN66" i="2"/>
  <c r="BM66" i="2"/>
  <c r="BK66" i="2"/>
  <c r="BJ66" i="2"/>
  <c r="BH66" i="2"/>
  <c r="BD66" i="2"/>
  <c r="AW66" i="2"/>
  <c r="AV66" i="2"/>
  <c r="AS66" i="2"/>
  <c r="AR66" i="2"/>
  <c r="AQ66" i="2"/>
  <c r="AP66" i="2"/>
  <c r="AO66" i="2"/>
  <c r="AM66" i="2"/>
  <c r="AL66" i="2"/>
  <c r="AN66" i="2" s="1"/>
  <c r="BA66" i="2" s="1"/>
  <c r="BR65" i="2"/>
  <c r="BO65" i="2"/>
  <c r="BN65" i="2"/>
  <c r="BM65" i="2"/>
  <c r="BJ65" i="2"/>
  <c r="BK65" i="2" s="1"/>
  <c r="BH65" i="2"/>
  <c r="BD65" i="2"/>
  <c r="AW65" i="2"/>
  <c r="AV65" i="2"/>
  <c r="AS65" i="2"/>
  <c r="AR65" i="2"/>
  <c r="AQ65" i="2"/>
  <c r="AP65" i="2"/>
  <c r="AO65" i="2"/>
  <c r="AM65" i="2"/>
  <c r="AL65" i="2"/>
  <c r="AN65" i="2" s="1"/>
  <c r="BA65" i="2" s="1"/>
  <c r="BR64" i="2"/>
  <c r="BO64" i="2"/>
  <c r="BN64" i="2"/>
  <c r="BM64" i="2"/>
  <c r="BJ64" i="2"/>
  <c r="BK64" i="2" s="1"/>
  <c r="BH64" i="2"/>
  <c r="BD64" i="2"/>
  <c r="AW64" i="2"/>
  <c r="AV64" i="2"/>
  <c r="AS64" i="2"/>
  <c r="AR64" i="2"/>
  <c r="AQ64" i="2"/>
  <c r="AP64" i="2"/>
  <c r="AO64" i="2"/>
  <c r="AM64" i="2"/>
  <c r="AN64" i="2" s="1"/>
  <c r="BA64" i="2" s="1"/>
  <c r="AL64" i="2"/>
  <c r="BR63" i="2"/>
  <c r="BO63" i="2"/>
  <c r="BN63" i="2"/>
  <c r="BM63" i="2"/>
  <c r="BJ63" i="2"/>
  <c r="BK63" i="2" s="1"/>
  <c r="BH63" i="2"/>
  <c r="BD63" i="2"/>
  <c r="AW63" i="2"/>
  <c r="AV63" i="2"/>
  <c r="AS63" i="2"/>
  <c r="AR63" i="2"/>
  <c r="AQ63" i="2"/>
  <c r="AP63" i="2"/>
  <c r="AO63" i="2"/>
  <c r="AN63" i="2"/>
  <c r="BA63" i="2" s="1"/>
  <c r="AM63" i="2"/>
  <c r="AL63" i="2"/>
  <c r="BR62" i="2"/>
  <c r="BO62" i="2"/>
  <c r="BN62" i="2"/>
  <c r="BM62" i="2"/>
  <c r="BK62" i="2"/>
  <c r="BJ62" i="2"/>
  <c r="BH62" i="2"/>
  <c r="BD62" i="2"/>
  <c r="AW62" i="2"/>
  <c r="AV62" i="2"/>
  <c r="AS62" i="2"/>
  <c r="AR62" i="2"/>
  <c r="AQ62" i="2"/>
  <c r="AP62" i="2"/>
  <c r="AO62" i="2"/>
  <c r="AM62" i="2"/>
  <c r="AL62" i="2"/>
  <c r="AN62" i="2" s="1"/>
  <c r="BR61" i="2"/>
  <c r="BO61" i="2"/>
  <c r="BN61" i="2"/>
  <c r="BM61" i="2"/>
  <c r="BJ61" i="2"/>
  <c r="BK61" i="2" s="1"/>
  <c r="BH61" i="2"/>
  <c r="BD61" i="2"/>
  <c r="AW61" i="2"/>
  <c r="AV61" i="2"/>
  <c r="AS61" i="2"/>
  <c r="AR61" i="2"/>
  <c r="AQ61" i="2"/>
  <c r="AP61" i="2"/>
  <c r="AO61" i="2"/>
  <c r="AM61" i="2"/>
  <c r="AL61" i="2"/>
  <c r="AN61" i="2" s="1"/>
  <c r="BR60" i="2"/>
  <c r="BO60" i="2"/>
  <c r="BN60" i="2"/>
  <c r="BM60" i="2"/>
  <c r="BK60" i="2"/>
  <c r="BJ60" i="2"/>
  <c r="BH60" i="2"/>
  <c r="BD60" i="2"/>
  <c r="AW60" i="2"/>
  <c r="AV60" i="2"/>
  <c r="AS60" i="2"/>
  <c r="AR60" i="2"/>
  <c r="AQ60" i="2"/>
  <c r="AP60" i="2"/>
  <c r="AO60" i="2"/>
  <c r="AM60" i="2"/>
  <c r="AL60" i="2"/>
  <c r="BR59" i="2"/>
  <c r="BO59" i="2"/>
  <c r="BN59" i="2"/>
  <c r="BM59" i="2"/>
  <c r="BK59" i="2"/>
  <c r="BJ59" i="2"/>
  <c r="BH59" i="2"/>
  <c r="BD59" i="2"/>
  <c r="AW59" i="2"/>
  <c r="AV59" i="2"/>
  <c r="AS59" i="2"/>
  <c r="AR59" i="2"/>
  <c r="AQ59" i="2"/>
  <c r="AP59" i="2"/>
  <c r="AO59" i="2"/>
  <c r="AN59" i="2"/>
  <c r="BA59" i="2" s="1"/>
  <c r="AM59" i="2"/>
  <c r="AL59" i="2"/>
  <c r="BR58" i="2"/>
  <c r="BO58" i="2"/>
  <c r="BN58" i="2"/>
  <c r="BM58" i="2"/>
  <c r="BJ58" i="2"/>
  <c r="BK58" i="2" s="1"/>
  <c r="BH58" i="2"/>
  <c r="BD58" i="2"/>
  <c r="AW58" i="2"/>
  <c r="AV58" i="2"/>
  <c r="AS58" i="2"/>
  <c r="AR58" i="2"/>
  <c r="AQ58" i="2"/>
  <c r="AP58" i="2"/>
  <c r="AO58" i="2"/>
  <c r="AN58" i="2"/>
  <c r="BA58" i="2" s="1"/>
  <c r="AM58" i="2"/>
  <c r="AL58" i="2"/>
  <c r="BR57" i="2"/>
  <c r="BO57" i="2"/>
  <c r="BN57" i="2"/>
  <c r="BM57" i="2"/>
  <c r="BJ57" i="2"/>
  <c r="BK57" i="2" s="1"/>
  <c r="BH57" i="2"/>
  <c r="BD57" i="2"/>
  <c r="AW57" i="2"/>
  <c r="AV57" i="2"/>
  <c r="AS57" i="2"/>
  <c r="AR57" i="2"/>
  <c r="AQ57" i="2"/>
  <c r="AP57" i="2"/>
  <c r="AO57" i="2"/>
  <c r="AN57" i="2"/>
  <c r="BA57" i="2" s="1"/>
  <c r="AM57" i="2"/>
  <c r="AL57" i="2"/>
  <c r="BR56" i="2"/>
  <c r="BO56" i="2"/>
  <c r="BN56" i="2"/>
  <c r="BM56" i="2"/>
  <c r="BJ56" i="2"/>
  <c r="BK56" i="2" s="1"/>
  <c r="BH56" i="2"/>
  <c r="BD56" i="2"/>
  <c r="AW56" i="2"/>
  <c r="AV56" i="2"/>
  <c r="AS56" i="2"/>
  <c r="AR56" i="2"/>
  <c r="AQ56" i="2"/>
  <c r="AP56" i="2"/>
  <c r="AO56" i="2"/>
  <c r="AN56" i="2"/>
  <c r="BA56" i="2" s="1"/>
  <c r="AM56" i="2"/>
  <c r="AL56" i="2"/>
  <c r="BR55" i="2"/>
  <c r="BO55" i="2"/>
  <c r="BN55" i="2"/>
  <c r="BM55" i="2"/>
  <c r="BJ55" i="2"/>
  <c r="BK55" i="2" s="1"/>
  <c r="BH55" i="2"/>
  <c r="BD55" i="2"/>
  <c r="AW55" i="2"/>
  <c r="AV55" i="2"/>
  <c r="AS55" i="2"/>
  <c r="AR55" i="2"/>
  <c r="AQ55" i="2"/>
  <c r="AP55" i="2"/>
  <c r="AO55" i="2"/>
  <c r="AN55" i="2"/>
  <c r="BA55" i="2" s="1"/>
  <c r="AM55" i="2"/>
  <c r="AL55" i="2"/>
  <c r="BR54" i="2"/>
  <c r="BO54" i="2"/>
  <c r="BN54" i="2"/>
  <c r="BM54" i="2"/>
  <c r="BJ54" i="2"/>
  <c r="BK54" i="2" s="1"/>
  <c r="BH54" i="2"/>
  <c r="BD54" i="2"/>
  <c r="AW54" i="2"/>
  <c r="AV54" i="2"/>
  <c r="AS54" i="2"/>
  <c r="AR54" i="2"/>
  <c r="AQ54" i="2"/>
  <c r="AP54" i="2"/>
  <c r="AO54" i="2"/>
  <c r="AN54" i="2"/>
  <c r="BA54" i="2" s="1"/>
  <c r="AM54" i="2"/>
  <c r="AL54" i="2"/>
  <c r="BR53" i="2"/>
  <c r="BO53" i="2"/>
  <c r="BN53" i="2"/>
  <c r="BM53" i="2"/>
  <c r="BJ53" i="2"/>
  <c r="BK53" i="2" s="1"/>
  <c r="BH53" i="2"/>
  <c r="BD53" i="2"/>
  <c r="AW53" i="2"/>
  <c r="AV53" i="2"/>
  <c r="AS53" i="2"/>
  <c r="AR53" i="2"/>
  <c r="AQ53" i="2"/>
  <c r="AP53" i="2"/>
  <c r="AO53" i="2"/>
  <c r="AM53" i="2"/>
  <c r="AN53" i="2" s="1"/>
  <c r="BA53" i="2" s="1"/>
  <c r="AL53" i="2"/>
  <c r="BR52" i="2"/>
  <c r="BO52" i="2"/>
  <c r="BN52" i="2"/>
  <c r="BM52" i="2"/>
  <c r="BJ52" i="2"/>
  <c r="BK52" i="2" s="1"/>
  <c r="BH52" i="2"/>
  <c r="BD52" i="2"/>
  <c r="AW52" i="2"/>
  <c r="AV52" i="2"/>
  <c r="AS52" i="2"/>
  <c r="AR52" i="2"/>
  <c r="AQ52" i="2"/>
  <c r="AP52" i="2"/>
  <c r="AO52" i="2"/>
  <c r="AN52" i="2"/>
  <c r="BA52" i="2" s="1"/>
  <c r="AM52" i="2"/>
  <c r="AL52" i="2"/>
  <c r="BR51" i="2"/>
  <c r="BO51" i="2"/>
  <c r="BN51" i="2"/>
  <c r="BM51" i="2"/>
  <c r="BK51" i="2"/>
  <c r="BJ51" i="2"/>
  <c r="BH51" i="2"/>
  <c r="BD51" i="2"/>
  <c r="AW51" i="2"/>
  <c r="AV51" i="2"/>
  <c r="AS51" i="2"/>
  <c r="AR51" i="2"/>
  <c r="AQ51" i="2"/>
  <c r="AP51" i="2"/>
  <c r="AO51" i="2"/>
  <c r="AM51" i="2"/>
  <c r="AL51" i="2"/>
  <c r="AN51" i="2" s="1"/>
  <c r="BA51" i="2" s="1"/>
  <c r="BR50" i="2"/>
  <c r="BO50" i="2"/>
  <c r="BN50" i="2"/>
  <c r="BM50" i="2"/>
  <c r="BK50" i="2"/>
  <c r="BJ50" i="2"/>
  <c r="BH50" i="2"/>
  <c r="BD50" i="2"/>
  <c r="AW50" i="2"/>
  <c r="AV50" i="2"/>
  <c r="AS50" i="2"/>
  <c r="AR50" i="2"/>
  <c r="AQ50" i="2"/>
  <c r="AP50" i="2"/>
  <c r="AO50" i="2"/>
  <c r="AM50" i="2"/>
  <c r="AL50" i="2"/>
  <c r="AN50" i="2" s="1"/>
  <c r="BA50" i="2" s="1"/>
  <c r="BR49" i="2"/>
  <c r="A49" i="2"/>
  <c r="BR48" i="2"/>
  <c r="BO48" i="2"/>
  <c r="BN48" i="2"/>
  <c r="BM48" i="2"/>
  <c r="BJ48" i="2"/>
  <c r="BK48" i="2" s="1"/>
  <c r="BH48" i="2"/>
  <c r="BD48" i="2"/>
  <c r="AW48" i="2"/>
  <c r="AV48" i="2"/>
  <c r="AS48" i="2"/>
  <c r="AR48" i="2"/>
  <c r="AQ48" i="2"/>
  <c r="AP48" i="2"/>
  <c r="AO48" i="2"/>
  <c r="AM48" i="2"/>
  <c r="AL48" i="2"/>
  <c r="AN48" i="2" s="1"/>
  <c r="BA48" i="2" s="1"/>
  <c r="BR47" i="2"/>
  <c r="BO47" i="2"/>
  <c r="BN47" i="2"/>
  <c r="BM47" i="2"/>
  <c r="BJ47" i="2"/>
  <c r="BK47" i="2" s="1"/>
  <c r="BH47" i="2"/>
  <c r="BD47" i="2"/>
  <c r="AW47" i="2"/>
  <c r="AV47" i="2"/>
  <c r="AS47" i="2"/>
  <c r="AR47" i="2"/>
  <c r="AQ47" i="2"/>
  <c r="AP47" i="2"/>
  <c r="AO47" i="2"/>
  <c r="AM47" i="2"/>
  <c r="AL47" i="2"/>
  <c r="AN47" i="2" s="1"/>
  <c r="BA47" i="2" s="1"/>
  <c r="BR46" i="2"/>
  <c r="BO46" i="2"/>
  <c r="BN46" i="2"/>
  <c r="BM46" i="2"/>
  <c r="BK46" i="2"/>
  <c r="BJ46" i="2"/>
  <c r="BH46" i="2"/>
  <c r="BD46" i="2"/>
  <c r="AW46" i="2"/>
  <c r="AV46" i="2"/>
  <c r="AS46" i="2"/>
  <c r="AR46" i="2"/>
  <c r="AQ46" i="2"/>
  <c r="AP46" i="2"/>
  <c r="AO46" i="2"/>
  <c r="AM46" i="2"/>
  <c r="AL46" i="2"/>
  <c r="AN46" i="2" s="1"/>
  <c r="BA46" i="2" s="1"/>
  <c r="BR45" i="2"/>
  <c r="BO45" i="2"/>
  <c r="BN45" i="2"/>
  <c r="BM45" i="2"/>
  <c r="BK45" i="2"/>
  <c r="BJ45" i="2"/>
  <c r="BH45" i="2"/>
  <c r="BD45" i="2"/>
  <c r="AW45" i="2"/>
  <c r="AV45" i="2"/>
  <c r="AS45" i="2"/>
  <c r="AR45" i="2"/>
  <c r="AQ45" i="2"/>
  <c r="AP45" i="2"/>
  <c r="AO45" i="2"/>
  <c r="AN45" i="2"/>
  <c r="BA45" i="2" s="1"/>
  <c r="AM45" i="2"/>
  <c r="AL45" i="2"/>
  <c r="BR44" i="2"/>
  <c r="BO44" i="2"/>
  <c r="BN44" i="2"/>
  <c r="BM44" i="2"/>
  <c r="BK44" i="2"/>
  <c r="BJ44" i="2"/>
  <c r="BH44" i="2"/>
  <c r="BD44" i="2"/>
  <c r="AW44" i="2"/>
  <c r="AV44" i="2"/>
  <c r="AS44" i="2"/>
  <c r="AR44" i="2"/>
  <c r="AQ44" i="2"/>
  <c r="AP44" i="2"/>
  <c r="AO44" i="2"/>
  <c r="AN44" i="2"/>
  <c r="BA44" i="2" s="1"/>
  <c r="AM44" i="2"/>
  <c r="AL44" i="2"/>
  <c r="BR43" i="2"/>
  <c r="A43" i="2"/>
  <c r="BR42" i="2"/>
  <c r="BO42" i="2"/>
  <c r="BN42" i="2"/>
  <c r="BM42" i="2"/>
  <c r="BJ42" i="2"/>
  <c r="BK42" i="2" s="1"/>
  <c r="BH42" i="2"/>
  <c r="BD42" i="2"/>
  <c r="AW42" i="2"/>
  <c r="AV42" i="2"/>
  <c r="AS42" i="2"/>
  <c r="AR42" i="2"/>
  <c r="AQ42" i="2"/>
  <c r="AP42" i="2"/>
  <c r="AO42" i="2"/>
  <c r="AM42" i="2"/>
  <c r="AL42" i="2"/>
  <c r="AN42" i="2" s="1"/>
  <c r="BA42" i="2" s="1"/>
  <c r="BR41" i="2"/>
  <c r="BO41" i="2"/>
  <c r="BN41" i="2"/>
  <c r="BM41" i="2"/>
  <c r="BK41" i="2"/>
  <c r="BJ41" i="2"/>
  <c r="BH41" i="2"/>
  <c r="BD41" i="2"/>
  <c r="AW41" i="2"/>
  <c r="AV41" i="2"/>
  <c r="AS41" i="2"/>
  <c r="AR41" i="2"/>
  <c r="AQ41" i="2"/>
  <c r="AP41" i="2"/>
  <c r="AO41" i="2"/>
  <c r="AM41" i="2"/>
  <c r="AL41" i="2"/>
  <c r="AN41" i="2" s="1"/>
  <c r="BA41" i="2" s="1"/>
  <c r="BR40" i="2"/>
  <c r="BO40" i="2"/>
  <c r="BN40" i="2"/>
  <c r="BM40" i="2"/>
  <c r="BJ40" i="2"/>
  <c r="BK40" i="2" s="1"/>
  <c r="BH40" i="2"/>
  <c r="BD40" i="2"/>
  <c r="AW40" i="2"/>
  <c r="AV40" i="2"/>
  <c r="AS40" i="2"/>
  <c r="AR40" i="2"/>
  <c r="AQ40" i="2"/>
  <c r="AP40" i="2"/>
  <c r="AO40" i="2"/>
  <c r="AM40" i="2"/>
  <c r="AL40" i="2"/>
  <c r="AN40" i="2" s="1"/>
  <c r="BA40" i="2" s="1"/>
  <c r="BR39" i="2"/>
  <c r="BO39" i="2"/>
  <c r="BN39" i="2"/>
  <c r="BM39" i="2"/>
  <c r="BJ39" i="2"/>
  <c r="BK39" i="2" s="1"/>
  <c r="BH39" i="2"/>
  <c r="BD39" i="2"/>
  <c r="AW39" i="2"/>
  <c r="AV39" i="2"/>
  <c r="AS39" i="2"/>
  <c r="AR39" i="2"/>
  <c r="AQ39" i="2"/>
  <c r="AP39" i="2"/>
  <c r="AO39" i="2"/>
  <c r="AM39" i="2"/>
  <c r="AL39" i="2"/>
  <c r="AN39" i="2" s="1"/>
  <c r="BA39" i="2" s="1"/>
  <c r="BR38" i="2"/>
  <c r="BO38" i="2"/>
  <c r="BN38" i="2"/>
  <c r="BM38" i="2"/>
  <c r="BJ38" i="2"/>
  <c r="BK38" i="2" s="1"/>
  <c r="BH38" i="2"/>
  <c r="BD38" i="2"/>
  <c r="AW38" i="2"/>
  <c r="AV38" i="2"/>
  <c r="AS38" i="2"/>
  <c r="AR38" i="2"/>
  <c r="AQ38" i="2"/>
  <c r="AP38" i="2"/>
  <c r="AO38" i="2"/>
  <c r="AM38" i="2"/>
  <c r="AL38" i="2"/>
  <c r="AN38" i="2" s="1"/>
  <c r="BA38" i="2" s="1"/>
  <c r="BR37" i="2"/>
  <c r="A37" i="2"/>
  <c r="BR36" i="2"/>
  <c r="BO36" i="2"/>
  <c r="BN36" i="2"/>
  <c r="BM36" i="2"/>
  <c r="BK36" i="2"/>
  <c r="BJ36" i="2"/>
  <c r="BH36" i="2"/>
  <c r="BD36" i="2"/>
  <c r="AS36" i="2"/>
  <c r="AR36" i="2"/>
  <c r="AQ36" i="2"/>
  <c r="AP36" i="2"/>
  <c r="AO36" i="2"/>
  <c r="AM36" i="2"/>
  <c r="AL36" i="2"/>
  <c r="AN36" i="2" s="1"/>
  <c r="BA36" i="2" s="1"/>
  <c r="BR35" i="2"/>
  <c r="BO35" i="2"/>
  <c r="BN35" i="2"/>
  <c r="BM35" i="2"/>
  <c r="BK35" i="2"/>
  <c r="BJ35" i="2"/>
  <c r="BH35" i="2"/>
  <c r="BD35" i="2"/>
  <c r="AS35" i="2"/>
  <c r="AR35" i="2"/>
  <c r="AQ35" i="2"/>
  <c r="AP35" i="2"/>
  <c r="AO35" i="2"/>
  <c r="AM35" i="2"/>
  <c r="AL35" i="2"/>
  <c r="AN35" i="2" s="1"/>
  <c r="BA35" i="2" s="1"/>
  <c r="BR34" i="2"/>
  <c r="BO34" i="2"/>
  <c r="BN34" i="2"/>
  <c r="BM34" i="2"/>
  <c r="BJ34" i="2"/>
  <c r="BK34" i="2" s="1"/>
  <c r="BH34" i="2"/>
  <c r="BD34" i="2"/>
  <c r="AS34" i="2"/>
  <c r="AR34" i="2"/>
  <c r="AQ34" i="2"/>
  <c r="AP34" i="2"/>
  <c r="AO34" i="2"/>
  <c r="AM34" i="2"/>
  <c r="AN34" i="2" s="1"/>
  <c r="BA34" i="2" s="1"/>
  <c r="AL34" i="2"/>
  <c r="BR33" i="2"/>
  <c r="BO33" i="2"/>
  <c r="BN33" i="2"/>
  <c r="BM33" i="2"/>
  <c r="BJ33" i="2"/>
  <c r="BK33" i="2" s="1"/>
  <c r="BH33" i="2"/>
  <c r="BD33" i="2"/>
  <c r="AS33" i="2"/>
  <c r="AR33" i="2"/>
  <c r="AQ33" i="2"/>
  <c r="AP33" i="2"/>
  <c r="AO33" i="2"/>
  <c r="AM33" i="2"/>
  <c r="AL33" i="2"/>
  <c r="AN33" i="2" s="1"/>
  <c r="BA33" i="2" s="1"/>
  <c r="BR32" i="2"/>
  <c r="BO32" i="2"/>
  <c r="BN32" i="2"/>
  <c r="BM32" i="2"/>
  <c r="BJ32" i="2"/>
  <c r="BK32" i="2" s="1"/>
  <c r="BH32" i="2"/>
  <c r="BD32" i="2"/>
  <c r="AS32" i="2"/>
  <c r="AR32" i="2"/>
  <c r="AQ32" i="2"/>
  <c r="AP32" i="2"/>
  <c r="AO32" i="2"/>
  <c r="AM32" i="2"/>
  <c r="AL32" i="2"/>
  <c r="AN32" i="2" s="1"/>
  <c r="BA32" i="2" s="1"/>
  <c r="BR31" i="2"/>
  <c r="BO31" i="2"/>
  <c r="BN31" i="2"/>
  <c r="BM31" i="2"/>
  <c r="BJ31" i="2"/>
  <c r="BK31" i="2" s="1"/>
  <c r="BH31" i="2"/>
  <c r="BD31" i="2"/>
  <c r="AS31" i="2"/>
  <c r="AR31" i="2"/>
  <c r="BA31" i="2" s="1"/>
  <c r="AQ31" i="2"/>
  <c r="AP31" i="2"/>
  <c r="AO31" i="2"/>
  <c r="AM31" i="2"/>
  <c r="AL31" i="2"/>
  <c r="AN31" i="2" s="1"/>
  <c r="BR30" i="2"/>
  <c r="BO30" i="2"/>
  <c r="BN30" i="2"/>
  <c r="BM30" i="2"/>
  <c r="BK30" i="2"/>
  <c r="BJ30" i="2"/>
  <c r="BH30" i="2"/>
  <c r="BD30" i="2"/>
  <c r="AS30" i="2"/>
  <c r="AR30" i="2"/>
  <c r="AQ30" i="2"/>
  <c r="AP30" i="2"/>
  <c r="AO30" i="2"/>
  <c r="AM30" i="2"/>
  <c r="AL30" i="2"/>
  <c r="AN30" i="2" s="1"/>
  <c r="BA30" i="2" s="1"/>
  <c r="BR29" i="2"/>
  <c r="BO29" i="2"/>
  <c r="BN29" i="2"/>
  <c r="BM29" i="2"/>
  <c r="BJ29" i="2"/>
  <c r="BK29" i="2" s="1"/>
  <c r="BH29" i="2"/>
  <c r="BD29" i="2"/>
  <c r="AS29" i="2"/>
  <c r="AR29" i="2"/>
  <c r="AQ29" i="2"/>
  <c r="AP29" i="2"/>
  <c r="AO29" i="2"/>
  <c r="AM29" i="2"/>
  <c r="AL29" i="2"/>
  <c r="AN29" i="2" s="1"/>
  <c r="BA29" i="2" s="1"/>
  <c r="BR28" i="2"/>
  <c r="BO28" i="2"/>
  <c r="BN28" i="2"/>
  <c r="BM28" i="2"/>
  <c r="BJ28" i="2"/>
  <c r="BK28" i="2" s="1"/>
  <c r="BH28" i="2"/>
  <c r="BD28" i="2"/>
  <c r="AS28" i="2"/>
  <c r="AR28" i="2"/>
  <c r="AQ28" i="2"/>
  <c r="AP28" i="2"/>
  <c r="AO28" i="2"/>
  <c r="AN28" i="2"/>
  <c r="AM28" i="2"/>
  <c r="AL28" i="2"/>
  <c r="BR27" i="2"/>
  <c r="BO27" i="2"/>
  <c r="BN27" i="2"/>
  <c r="BM27" i="2"/>
  <c r="BJ27" i="2"/>
  <c r="BK27" i="2" s="1"/>
  <c r="BH27" i="2"/>
  <c r="BD27" i="2"/>
  <c r="AS27" i="2"/>
  <c r="AR27" i="2"/>
  <c r="AQ27" i="2"/>
  <c r="AP27" i="2"/>
  <c r="AO27" i="2"/>
  <c r="AM27" i="2"/>
  <c r="AN27" i="2" s="1"/>
  <c r="BA27" i="2" s="1"/>
  <c r="AL27" i="2"/>
  <c r="BR26" i="2"/>
  <c r="A26" i="2"/>
  <c r="BR25" i="2"/>
  <c r="BO25" i="2"/>
  <c r="BN25" i="2"/>
  <c r="BM25" i="2"/>
  <c r="BJ25" i="2"/>
  <c r="BK25" i="2" s="1"/>
  <c r="BH25" i="2"/>
  <c r="BD25" i="2"/>
  <c r="AW25" i="2"/>
  <c r="AV25" i="2"/>
  <c r="AS25" i="2"/>
  <c r="AR25" i="2"/>
  <c r="AQ25" i="2"/>
  <c r="AP25" i="2"/>
  <c r="AO25" i="2"/>
  <c r="AM25" i="2"/>
  <c r="AL25" i="2"/>
  <c r="AN25" i="2" s="1"/>
  <c r="BA25" i="2" s="1"/>
  <c r="BR24" i="2"/>
  <c r="BO24" i="2"/>
  <c r="BN24" i="2"/>
  <c r="BM24" i="2"/>
  <c r="BJ24" i="2"/>
  <c r="BK24" i="2" s="1"/>
  <c r="BH24" i="2"/>
  <c r="BD24" i="2"/>
  <c r="AW24" i="2"/>
  <c r="AV24" i="2"/>
  <c r="AS24" i="2"/>
  <c r="AR24" i="2"/>
  <c r="AQ24" i="2"/>
  <c r="AP24" i="2"/>
  <c r="AO24" i="2"/>
  <c r="AM24" i="2"/>
  <c r="AL24" i="2"/>
  <c r="AN24" i="2" s="1"/>
  <c r="BA24" i="2" s="1"/>
  <c r="BR23" i="2"/>
  <c r="BO23" i="2"/>
  <c r="BN23" i="2"/>
  <c r="BM23" i="2"/>
  <c r="BK23" i="2"/>
  <c r="BJ23" i="2"/>
  <c r="BH23" i="2"/>
  <c r="BD23" i="2"/>
  <c r="AW23" i="2"/>
  <c r="AV23" i="2"/>
  <c r="AS23" i="2"/>
  <c r="AR23" i="2"/>
  <c r="AQ23" i="2"/>
  <c r="AP23" i="2"/>
  <c r="AO23" i="2"/>
  <c r="AM23" i="2"/>
  <c r="AL23" i="2"/>
  <c r="AN23" i="2" s="1"/>
  <c r="BA23" i="2" s="1"/>
  <c r="BR22" i="2"/>
  <c r="BO22" i="2"/>
  <c r="BN22" i="2"/>
  <c r="BM22" i="2"/>
  <c r="BJ22" i="2"/>
  <c r="BK22" i="2" s="1"/>
  <c r="BH22" i="2"/>
  <c r="BD22" i="2"/>
  <c r="AW22" i="2"/>
  <c r="AV22" i="2"/>
  <c r="AS22" i="2"/>
  <c r="AR22" i="2"/>
  <c r="AQ22" i="2"/>
  <c r="AP22" i="2"/>
  <c r="AO22" i="2"/>
  <c r="AM22" i="2"/>
  <c r="AL22" i="2"/>
  <c r="AN22" i="2" s="1"/>
  <c r="BA22" i="2" s="1"/>
  <c r="BR21" i="2"/>
  <c r="BO21" i="2"/>
  <c r="BN21" i="2"/>
  <c r="BM21" i="2"/>
  <c r="BJ21" i="2"/>
  <c r="BK21" i="2" s="1"/>
  <c r="BH21" i="2"/>
  <c r="BD21" i="2"/>
  <c r="AW21" i="2"/>
  <c r="AV21" i="2"/>
  <c r="AS21" i="2"/>
  <c r="AR21" i="2"/>
  <c r="AQ21" i="2"/>
  <c r="AP21" i="2"/>
  <c r="AO21" i="2"/>
  <c r="AM21" i="2"/>
  <c r="AL21" i="2"/>
  <c r="AN21" i="2" s="1"/>
  <c r="BA21" i="2" s="1"/>
  <c r="BR20" i="2"/>
  <c r="BO20" i="2"/>
  <c r="BN20" i="2"/>
  <c r="BM20" i="2"/>
  <c r="BJ20" i="2"/>
  <c r="BK20" i="2" s="1"/>
  <c r="BH20" i="2"/>
  <c r="BD20" i="2"/>
  <c r="AW20" i="2"/>
  <c r="AV20" i="2"/>
  <c r="AS20" i="2"/>
  <c r="AR20" i="2"/>
  <c r="AQ20" i="2"/>
  <c r="AP20" i="2"/>
  <c r="AO20" i="2"/>
  <c r="AM20" i="2"/>
  <c r="AL20" i="2"/>
  <c r="AN20" i="2" s="1"/>
  <c r="BA20" i="2" s="1"/>
  <c r="BR19" i="2"/>
  <c r="BO19" i="2"/>
  <c r="BN19" i="2"/>
  <c r="BM19" i="2"/>
  <c r="BJ19" i="2"/>
  <c r="BK19" i="2" s="1"/>
  <c r="BH19" i="2"/>
  <c r="BD19" i="2"/>
  <c r="AW19" i="2"/>
  <c r="AV19" i="2"/>
  <c r="AS19" i="2"/>
  <c r="AR19" i="2"/>
  <c r="AQ19" i="2"/>
  <c r="AP19" i="2"/>
  <c r="AO19" i="2"/>
  <c r="AM19" i="2"/>
  <c r="AL19" i="2"/>
  <c r="AN19" i="2" s="1"/>
  <c r="BA19" i="2" s="1"/>
  <c r="BR18" i="2"/>
  <c r="BO18" i="2"/>
  <c r="BN18" i="2"/>
  <c r="BM18" i="2"/>
  <c r="BJ18" i="2"/>
  <c r="BK18" i="2" s="1"/>
  <c r="BH18" i="2"/>
  <c r="BD18" i="2"/>
  <c r="AW18" i="2"/>
  <c r="AV18" i="2"/>
  <c r="AS18" i="2"/>
  <c r="AR18" i="2"/>
  <c r="AQ18" i="2"/>
  <c r="AP18" i="2"/>
  <c r="AO18" i="2"/>
  <c r="AM18" i="2"/>
  <c r="AL18" i="2"/>
  <c r="AN18" i="2" s="1"/>
  <c r="BA18" i="2" s="1"/>
  <c r="BR17" i="2"/>
  <c r="A17" i="2"/>
  <c r="BR16" i="2"/>
  <c r="BO16" i="2"/>
  <c r="BN16" i="2"/>
  <c r="BM16" i="2"/>
  <c r="BK16" i="2"/>
  <c r="BJ16" i="2"/>
  <c r="BH16" i="2"/>
  <c r="BD16" i="2"/>
  <c r="BA16" i="2"/>
  <c r="AW16" i="2"/>
  <c r="AV16" i="2"/>
  <c r="AS16" i="2"/>
  <c r="AR16" i="2"/>
  <c r="AQ16" i="2"/>
  <c r="AP16" i="2"/>
  <c r="AO16" i="2"/>
  <c r="AM16" i="2"/>
  <c r="AL16" i="2"/>
  <c r="AN16" i="2" s="1"/>
  <c r="BR15" i="2"/>
  <c r="BO15" i="2"/>
  <c r="BN15" i="2"/>
  <c r="BM15" i="2"/>
  <c r="BK15" i="2"/>
  <c r="BJ15" i="2"/>
  <c r="BH15" i="2"/>
  <c r="BD15" i="2"/>
  <c r="AW15" i="2"/>
  <c r="AV15" i="2"/>
  <c r="AS15" i="2"/>
  <c r="AR15" i="2"/>
  <c r="BA15" i="2" s="1"/>
  <c r="AQ15" i="2"/>
  <c r="AP15" i="2"/>
  <c r="AP231" i="2" s="1"/>
  <c r="AO15" i="2"/>
  <c r="AM15" i="2"/>
  <c r="AL15" i="2"/>
  <c r="AN15" i="2" s="1"/>
  <c r="BR14" i="2"/>
  <c r="BO14" i="2"/>
  <c r="BN14" i="2"/>
  <c r="BM14" i="2"/>
  <c r="BJ14" i="2"/>
  <c r="BK14" i="2" s="1"/>
  <c r="BH14" i="2"/>
  <c r="BD14" i="2"/>
  <c r="AW14" i="2"/>
  <c r="AV14" i="2"/>
  <c r="AS14" i="2"/>
  <c r="AR14" i="2"/>
  <c r="BA14" i="2" s="1"/>
  <c r="AQ14" i="2"/>
  <c r="AQ231" i="2" s="1"/>
  <c r="AP14" i="2"/>
  <c r="AO14" i="2"/>
  <c r="AM14" i="2"/>
  <c r="AL14" i="2"/>
  <c r="AN14" i="2" s="1"/>
  <c r="BR13" i="2"/>
  <c r="BO13" i="2"/>
  <c r="BN13" i="2"/>
  <c r="BM13" i="2"/>
  <c r="BJ13" i="2"/>
  <c r="BK13" i="2" s="1"/>
  <c r="BH13" i="2"/>
  <c r="BD13" i="2"/>
  <c r="AW13" i="2"/>
  <c r="AV13" i="2"/>
  <c r="AS13" i="2"/>
  <c r="AR13" i="2"/>
  <c r="AR231" i="2" s="1"/>
  <c r="AQ13" i="2"/>
  <c r="AP13" i="2"/>
  <c r="AO13" i="2"/>
  <c r="AM13" i="2"/>
  <c r="AL13" i="2"/>
  <c r="A13" i="2"/>
  <c r="A14" i="2" s="1"/>
  <c r="A15" i="2" s="1"/>
  <c r="A16" i="2" s="1"/>
  <c r="A18" i="2" s="1"/>
  <c r="AX10" i="2"/>
  <c r="AZ10" i="2" s="1"/>
  <c r="BA10" i="2" s="1"/>
  <c r="BE10" i="2" s="1"/>
  <c r="AJ10" i="2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B10" i="2"/>
  <c r="C10" i="2" s="1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E8" i="2"/>
  <c r="F8" i="2" s="1"/>
  <c r="BE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Z27" i="3" l="1"/>
  <c r="AZ58" i="3"/>
  <c r="AO115" i="3"/>
  <c r="AN16" i="3"/>
  <c r="AZ16" i="3" s="1"/>
  <c r="AZ115" i="3" s="1"/>
  <c r="AK115" i="3"/>
  <c r="AQ115" i="3"/>
  <c r="AZ24" i="3"/>
  <c r="AZ29" i="3"/>
  <c r="AZ39" i="3"/>
  <c r="AZ59" i="3"/>
  <c r="AP115" i="3"/>
  <c r="AR115" i="3"/>
  <c r="A17" i="3"/>
  <c r="A19" i="3" s="1"/>
  <c r="AZ85" i="3"/>
  <c r="AZ91" i="3"/>
  <c r="AZ96" i="3"/>
  <c r="AS115" i="3"/>
  <c r="G11" i="3"/>
  <c r="H10" i="3"/>
  <c r="AZ33" i="3"/>
  <c r="F11" i="3"/>
  <c r="F9" i="2"/>
  <c r="G8" i="2"/>
  <c r="A20" i="2"/>
  <c r="A19" i="2"/>
  <c r="AO231" i="2"/>
  <c r="BA114" i="2"/>
  <c r="BA142" i="2"/>
  <c r="BA214" i="2"/>
  <c r="AN80" i="2"/>
  <c r="BA80" i="2" s="1"/>
  <c r="AN137" i="2"/>
  <c r="BA137" i="2" s="1"/>
  <c r="BA159" i="2"/>
  <c r="BA188" i="2"/>
  <c r="AW231" i="2"/>
  <c r="BA122" i="2"/>
  <c r="AN211" i="2"/>
  <c r="BA211" i="2" s="1"/>
  <c r="AV231" i="2"/>
  <c r="BA73" i="2"/>
  <c r="AN97" i="2"/>
  <c r="BA97" i="2" s="1"/>
  <c r="BA134" i="2"/>
  <c r="BA157" i="2"/>
  <c r="BA186" i="2"/>
  <c r="E9" i="2"/>
  <c r="AS231" i="2"/>
  <c r="BA100" i="2"/>
  <c r="BA111" i="2"/>
  <c r="BD231" i="2"/>
  <c r="BA133" i="2"/>
  <c r="BA185" i="2"/>
  <c r="BA224" i="2"/>
  <c r="BA158" i="2"/>
  <c r="BA28" i="2"/>
  <c r="BA72" i="2"/>
  <c r="BA121" i="2"/>
  <c r="BA169" i="2"/>
  <c r="BA197" i="2"/>
  <c r="BA223" i="2"/>
  <c r="BA62" i="2"/>
  <c r="AN153" i="2"/>
  <c r="BA153" i="2" s="1"/>
  <c r="BA166" i="2"/>
  <c r="BA221" i="2"/>
  <c r="BB10" i="2"/>
  <c r="BA61" i="2"/>
  <c r="AN117" i="2"/>
  <c r="BA117" i="2" s="1"/>
  <c r="BA177" i="2"/>
  <c r="BA194" i="2"/>
  <c r="BA205" i="2"/>
  <c r="BA129" i="2"/>
  <c r="BA149" i="2"/>
  <c r="BA215" i="2"/>
  <c r="AN13" i="2"/>
  <c r="AL231" i="2"/>
  <c r="AN60" i="2"/>
  <c r="BA60" i="2" s="1"/>
  <c r="AN88" i="2"/>
  <c r="BA88" i="2" s="1"/>
  <c r="BA103" i="2"/>
  <c r="AN128" i="2"/>
  <c r="BA128" i="2" s="1"/>
  <c r="BA148" i="2"/>
  <c r="AM231" i="2"/>
  <c r="AM232" i="2" s="1"/>
  <c r="BA82" i="2"/>
  <c r="BA83" i="2"/>
  <c r="BA102" i="2"/>
  <c r="BA164" i="2"/>
  <c r="BA176" i="2"/>
  <c r="AN191" i="2"/>
  <c r="BA191" i="2" s="1"/>
  <c r="D13" i="3" l="1"/>
  <c r="AN115" i="3"/>
  <c r="AN116" i="3" s="1"/>
  <c r="I10" i="3"/>
  <c r="H11" i="3"/>
  <c r="A20" i="3"/>
  <c r="A21" i="3"/>
  <c r="AN231" i="2"/>
  <c r="BA13" i="2"/>
  <c r="BA231" i="2" s="1"/>
  <c r="A21" i="2"/>
  <c r="A22" i="2"/>
  <c r="A23" i="2" s="1"/>
  <c r="G9" i="2"/>
  <c r="H8" i="2"/>
  <c r="J10" i="3" l="1"/>
  <c r="I11" i="3"/>
  <c r="A22" i="3"/>
  <c r="A23" i="3"/>
  <c r="A24" i="3" s="1"/>
  <c r="I8" i="2"/>
  <c r="H9" i="2"/>
  <c r="A24" i="2"/>
  <c r="A25" i="2"/>
  <c r="A27" i="2" s="1"/>
  <c r="A25" i="3" l="1"/>
  <c r="A26" i="3"/>
  <c r="K10" i="3"/>
  <c r="J11" i="3"/>
  <c r="A28" i="2"/>
  <c r="I9" i="2"/>
  <c r="J8" i="2"/>
  <c r="L10" i="3" l="1"/>
  <c r="K11" i="3"/>
  <c r="A27" i="3"/>
  <c r="J9" i="2"/>
  <c r="K8" i="2"/>
  <c r="A29" i="2"/>
  <c r="A29" i="3" l="1"/>
  <c r="D18" i="3"/>
  <c r="L11" i="3"/>
  <c r="M10" i="3"/>
  <c r="K9" i="2"/>
  <c r="L8" i="2"/>
  <c r="A30" i="2"/>
  <c r="N10" i="3" l="1"/>
  <c r="M11" i="3"/>
  <c r="A30" i="3"/>
  <c r="A31" i="3" s="1"/>
  <c r="A32" i="3" s="1"/>
  <c r="A31" i="2"/>
  <c r="L9" i="2"/>
  <c r="M8" i="2"/>
  <c r="A33" i="3" l="1"/>
  <c r="A34" i="3"/>
  <c r="A36" i="3" s="1"/>
  <c r="D28" i="3"/>
  <c r="O10" i="3"/>
  <c r="N11" i="3"/>
  <c r="N8" i="2"/>
  <c r="M9" i="2"/>
  <c r="A32" i="2"/>
  <c r="O11" i="3" l="1"/>
  <c r="P10" i="3"/>
  <c r="A37" i="3"/>
  <c r="O8" i="2"/>
  <c r="N9" i="2"/>
  <c r="A33" i="2"/>
  <c r="Q10" i="3" l="1"/>
  <c r="P11" i="3"/>
  <c r="A38" i="3"/>
  <c r="P8" i="2"/>
  <c r="O9" i="2"/>
  <c r="A34" i="2"/>
  <c r="A39" i="3" l="1"/>
  <c r="A41" i="3" s="1"/>
  <c r="R10" i="3"/>
  <c r="Q11" i="3"/>
  <c r="P9" i="2"/>
  <c r="Q8" i="2"/>
  <c r="A35" i="2"/>
  <c r="A36" i="2" s="1"/>
  <c r="A38" i="2" s="1"/>
  <c r="R11" i="3" l="1"/>
  <c r="S10" i="3"/>
  <c r="A42" i="3"/>
  <c r="D35" i="3"/>
  <c r="A39" i="2"/>
  <c r="R8" i="2"/>
  <c r="Q9" i="2"/>
  <c r="A43" i="3" l="1"/>
  <c r="S11" i="3"/>
  <c r="T10" i="3"/>
  <c r="S8" i="2"/>
  <c r="R9" i="2"/>
  <c r="A40" i="2"/>
  <c r="T11" i="3" l="1"/>
  <c r="U10" i="3"/>
  <c r="A44" i="3"/>
  <c r="A41" i="2"/>
  <c r="A42" i="2" s="1"/>
  <c r="A44" i="2" s="1"/>
  <c r="T8" i="2"/>
  <c r="S9" i="2"/>
  <c r="A45" i="3" l="1"/>
  <c r="U11" i="3"/>
  <c r="V10" i="3"/>
  <c r="A45" i="2"/>
  <c r="U8" i="2"/>
  <c r="T9" i="2"/>
  <c r="V11" i="3" l="1"/>
  <c r="W10" i="3"/>
  <c r="A46" i="3"/>
  <c r="A47" i="3" s="1"/>
  <c r="A49" i="3" s="1"/>
  <c r="V8" i="2"/>
  <c r="U9" i="2"/>
  <c r="A46" i="2"/>
  <c r="A50" i="3" l="1"/>
  <c r="D40" i="3"/>
  <c r="W11" i="3"/>
  <c r="X10" i="3"/>
  <c r="W8" i="2"/>
  <c r="V9" i="2"/>
  <c r="A47" i="2"/>
  <c r="A48" i="2" s="1"/>
  <c r="A50" i="2" s="1"/>
  <c r="X11" i="3" l="1"/>
  <c r="Y10" i="3"/>
  <c r="A51" i="3"/>
  <c r="A51" i="2"/>
  <c r="W9" i="2"/>
  <c r="X8" i="2"/>
  <c r="Z10" i="3" l="1"/>
  <c r="Y11" i="3"/>
  <c r="A52" i="3"/>
  <c r="A53" i="3" s="1"/>
  <c r="A55" i="3" s="1"/>
  <c r="X9" i="2"/>
  <c r="Y8" i="2"/>
  <c r="A52" i="2"/>
  <c r="A56" i="3" l="1"/>
  <c r="Z11" i="3"/>
  <c r="AA10" i="3"/>
  <c r="D48" i="3"/>
  <c r="Y9" i="2"/>
  <c r="Z8" i="2"/>
  <c r="A53" i="2"/>
  <c r="AA11" i="3" l="1"/>
  <c r="AB10" i="3"/>
  <c r="A57" i="3"/>
  <c r="Z9" i="2"/>
  <c r="AA8" i="2"/>
  <c r="A54" i="2"/>
  <c r="A58" i="3" l="1"/>
  <c r="AC10" i="3"/>
  <c r="AB11" i="3"/>
  <c r="AA9" i="2"/>
  <c r="AB8" i="2"/>
  <c r="A55" i="2"/>
  <c r="AD10" i="3" l="1"/>
  <c r="AC11" i="3"/>
  <c r="A59" i="3"/>
  <c r="AB9" i="2"/>
  <c r="AC8" i="2"/>
  <c r="A56" i="2"/>
  <c r="AE10" i="3" l="1"/>
  <c r="AD11" i="3"/>
  <c r="A60" i="3"/>
  <c r="AC9" i="2"/>
  <c r="AD8" i="2"/>
  <c r="A57" i="2"/>
  <c r="AF10" i="3" l="1"/>
  <c r="AE11" i="3"/>
  <c r="A61" i="3"/>
  <c r="A58" i="2"/>
  <c r="AD9" i="2"/>
  <c r="AE8" i="2"/>
  <c r="AF11" i="3" l="1"/>
  <c r="AG10" i="3"/>
  <c r="A62" i="3"/>
  <c r="A63" i="3" s="1"/>
  <c r="AE9" i="2"/>
  <c r="AF8" i="2"/>
  <c r="A59" i="2"/>
  <c r="A60" i="2" s="1"/>
  <c r="A65" i="3" l="1"/>
  <c r="D54" i="3"/>
  <c r="AH10" i="3"/>
  <c r="AG11" i="3"/>
  <c r="A61" i="2"/>
  <c r="AF9" i="2"/>
  <c r="AG8" i="2"/>
  <c r="AM63" i="3" l="1"/>
  <c r="AM58" i="3"/>
  <c r="AM17" i="3"/>
  <c r="AM52" i="3"/>
  <c r="AM39" i="3"/>
  <c r="AM33" i="3"/>
  <c r="AM27" i="3"/>
  <c r="AM85" i="3"/>
  <c r="AM81" i="3"/>
  <c r="AM59" i="3"/>
  <c r="AM93" i="3"/>
  <c r="AM88" i="3"/>
  <c r="AM61" i="3"/>
  <c r="AM37" i="3"/>
  <c r="AM76" i="3"/>
  <c r="AM71" i="3"/>
  <c r="AM46" i="3"/>
  <c r="AM66" i="3"/>
  <c r="AM25" i="3"/>
  <c r="AM15" i="3"/>
  <c r="AM62" i="3"/>
  <c r="AM32" i="3"/>
  <c r="AM107" i="3"/>
  <c r="AM102" i="3"/>
  <c r="AM65" i="3"/>
  <c r="AM19" i="3"/>
  <c r="AM41" i="3"/>
  <c r="AI10" i="3"/>
  <c r="AM29" i="3"/>
  <c r="AM114" i="3"/>
  <c r="AM26" i="3"/>
  <c r="AM51" i="3"/>
  <c r="AM38" i="3"/>
  <c r="AM112" i="3"/>
  <c r="AM96" i="3"/>
  <c r="AM91" i="3"/>
  <c r="AM24" i="3"/>
  <c r="AM21" i="3"/>
  <c r="AM43" i="3"/>
  <c r="AM20" i="3"/>
  <c r="AM16" i="3"/>
  <c r="AM75" i="3"/>
  <c r="AM77" i="3"/>
  <c r="AM72" i="3"/>
  <c r="AM53" i="3"/>
  <c r="AM34" i="3"/>
  <c r="AM108" i="3"/>
  <c r="AM103" i="3"/>
  <c r="AM113" i="3"/>
  <c r="AM92" i="3"/>
  <c r="AM87" i="3"/>
  <c r="AM47" i="3"/>
  <c r="AM42" i="3"/>
  <c r="AM36" i="3"/>
  <c r="AM30" i="3"/>
  <c r="AM109" i="3"/>
  <c r="AM99" i="3"/>
  <c r="AM56" i="3"/>
  <c r="AM31" i="3"/>
  <c r="AM97" i="3"/>
  <c r="AM60" i="3"/>
  <c r="AM55" i="3"/>
  <c r="AM49" i="3"/>
  <c r="AM104" i="3"/>
  <c r="AM67" i="3"/>
  <c r="AM82" i="3"/>
  <c r="AM78" i="3"/>
  <c r="AM73" i="3"/>
  <c r="AM74" i="3"/>
  <c r="AM50" i="3"/>
  <c r="AH11" i="3"/>
  <c r="AM44" i="3"/>
  <c r="AM57" i="3"/>
  <c r="AM105" i="3"/>
  <c r="AM100" i="3"/>
  <c r="AM83" i="3"/>
  <c r="AM79" i="3"/>
  <c r="AM22" i="3"/>
  <c r="AM110" i="3"/>
  <c r="AM94" i="3"/>
  <c r="AM89" i="3"/>
  <c r="AM68" i="3"/>
  <c r="AM23" i="3"/>
  <c r="AM45" i="3"/>
  <c r="AM111" i="3"/>
  <c r="AM106" i="3"/>
  <c r="AM95" i="3"/>
  <c r="AM90" i="3"/>
  <c r="AM101" i="3"/>
  <c r="AM84" i="3"/>
  <c r="AM69" i="3"/>
  <c r="AM80" i="3"/>
  <c r="A66" i="3"/>
  <c r="A67" i="3"/>
  <c r="AH8" i="2"/>
  <c r="AG9" i="2"/>
  <c r="A62" i="2"/>
  <c r="A68" i="3" l="1"/>
  <c r="C117" i="3"/>
  <c r="AI11" i="3"/>
  <c r="AM14" i="3"/>
  <c r="AM115" i="3" s="1"/>
  <c r="A63" i="2"/>
  <c r="C234" i="2"/>
  <c r="AI8" i="2"/>
  <c r="AH9" i="2"/>
  <c r="D64" i="3" l="1"/>
  <c r="A69" i="3"/>
  <c r="A71" i="3" s="1"/>
  <c r="BE196" i="2"/>
  <c r="BE177" i="2"/>
  <c r="BE158" i="2"/>
  <c r="BE141" i="2"/>
  <c r="BE122" i="2"/>
  <c r="BE102" i="2"/>
  <c r="BE215" i="2"/>
  <c r="BE195" i="2"/>
  <c r="BE176" i="2"/>
  <c r="BE157" i="2"/>
  <c r="BE121" i="2"/>
  <c r="BE101" i="2"/>
  <c r="BE81" i="2"/>
  <c r="BE61" i="2"/>
  <c r="BE28" i="2"/>
  <c r="BE25" i="2"/>
  <c r="BE42" i="2"/>
  <c r="BE212" i="2"/>
  <c r="BE192" i="2"/>
  <c r="BE173" i="2"/>
  <c r="BE138" i="2"/>
  <c r="BE118" i="2"/>
  <c r="BE214" i="2"/>
  <c r="BE194" i="2"/>
  <c r="BE175" i="2"/>
  <c r="BE156" i="2"/>
  <c r="BE120" i="2"/>
  <c r="BE100" i="2"/>
  <c r="BE80" i="2"/>
  <c r="BE60" i="2"/>
  <c r="BE29" i="2"/>
  <c r="BE24" i="2"/>
  <c r="BE23" i="2"/>
  <c r="BE40" i="2"/>
  <c r="BE31" i="2"/>
  <c r="BE213" i="2"/>
  <c r="BE193" i="2"/>
  <c r="BE174" i="2"/>
  <c r="BE155" i="2"/>
  <c r="BE139" i="2"/>
  <c r="BE119" i="2"/>
  <c r="BE99" i="2"/>
  <c r="BE79" i="2"/>
  <c r="BE59" i="2"/>
  <c r="BE41" i="2"/>
  <c r="BE30" i="2"/>
  <c r="BE154" i="2"/>
  <c r="BE98" i="2"/>
  <c r="BE78" i="2"/>
  <c r="BE58" i="2"/>
  <c r="BE22" i="2"/>
  <c r="BE211" i="2"/>
  <c r="BE224" i="2"/>
  <c r="BE206" i="2"/>
  <c r="BE186" i="2"/>
  <c r="BE167" i="2"/>
  <c r="BE149" i="2"/>
  <c r="BE132" i="2"/>
  <c r="BE112" i="2"/>
  <c r="BE92" i="2"/>
  <c r="BE72" i="2"/>
  <c r="BE52" i="2"/>
  <c r="BE90" i="2"/>
  <c r="BE109" i="2"/>
  <c r="BE223" i="2"/>
  <c r="BE205" i="2"/>
  <c r="BE185" i="2"/>
  <c r="BE166" i="2"/>
  <c r="BE148" i="2"/>
  <c r="BE131" i="2"/>
  <c r="BE111" i="2"/>
  <c r="BE91" i="2"/>
  <c r="BE71" i="2"/>
  <c r="BE51" i="2"/>
  <c r="BE16" i="2"/>
  <c r="BE110" i="2"/>
  <c r="BE70" i="2"/>
  <c r="BE50" i="2"/>
  <c r="BE15" i="2"/>
  <c r="BE229" i="2"/>
  <c r="BE225" i="2"/>
  <c r="BE221" i="2"/>
  <c r="BE183" i="2"/>
  <c r="BE230" i="2"/>
  <c r="BE222" i="2"/>
  <c r="BE204" i="2"/>
  <c r="BE184" i="2"/>
  <c r="BE165" i="2"/>
  <c r="BE147" i="2"/>
  <c r="BE130" i="2"/>
  <c r="BE203" i="2"/>
  <c r="BE164" i="2"/>
  <c r="BE129" i="2"/>
  <c r="BE227" i="2"/>
  <c r="BE219" i="2"/>
  <c r="BE201" i="2"/>
  <c r="BE181" i="2"/>
  <c r="BE145" i="2"/>
  <c r="BE127" i="2"/>
  <c r="BE107" i="2"/>
  <c r="BE197" i="2"/>
  <c r="BE178" i="2"/>
  <c r="BE159" i="2"/>
  <c r="BE142" i="2"/>
  <c r="BE123" i="2"/>
  <c r="BE103" i="2"/>
  <c r="BE209" i="2"/>
  <c r="BE168" i="2"/>
  <c r="BE96" i="2"/>
  <c r="BE94" i="2"/>
  <c r="BE34" i="2"/>
  <c r="BE27" i="2"/>
  <c r="BE187" i="2"/>
  <c r="BE126" i="2"/>
  <c r="BE125" i="2"/>
  <c r="BE54" i="2"/>
  <c r="BE210" i="2"/>
  <c r="BE170" i="2"/>
  <c r="BE169" i="2"/>
  <c r="BE97" i="2"/>
  <c r="BE39" i="2"/>
  <c r="BE38" i="2"/>
  <c r="BE74" i="2"/>
  <c r="BE45" i="2"/>
  <c r="BE36" i="2"/>
  <c r="BE202" i="2"/>
  <c r="BE33" i="2"/>
  <c r="BE171" i="2"/>
  <c r="BE133" i="2"/>
  <c r="BE144" i="2"/>
  <c r="BE191" i="2"/>
  <c r="BE113" i="2"/>
  <c r="BE198" i="2"/>
  <c r="BE172" i="2"/>
  <c r="BE135" i="2"/>
  <c r="BE134" i="2"/>
  <c r="BE77" i="2"/>
  <c r="BE76" i="2"/>
  <c r="BE75" i="2"/>
  <c r="BE73" i="2"/>
  <c r="BE48" i="2"/>
  <c r="BE35" i="2"/>
  <c r="BE47" i="2"/>
  <c r="BE46" i="2"/>
  <c r="BE44" i="2"/>
  <c r="BE124" i="2"/>
  <c r="BE190" i="2"/>
  <c r="BE160" i="2"/>
  <c r="BE87" i="2"/>
  <c r="BE200" i="2"/>
  <c r="BE136" i="2"/>
  <c r="BE189" i="2"/>
  <c r="BE188" i="2"/>
  <c r="BE57" i="2"/>
  <c r="BE56" i="2"/>
  <c r="BE55" i="2"/>
  <c r="BE53" i="2"/>
  <c r="BE207" i="2"/>
  <c r="BE199" i="2"/>
  <c r="BE137" i="2"/>
  <c r="BE218" i="2"/>
  <c r="BE162" i="2"/>
  <c r="BE128" i="2"/>
  <c r="BE115" i="2"/>
  <c r="BE114" i="2"/>
  <c r="BE88" i="2"/>
  <c r="BE86" i="2"/>
  <c r="BE82" i="2"/>
  <c r="BE13" i="2"/>
  <c r="BE67" i="2"/>
  <c r="BE68" i="2"/>
  <c r="BE66" i="2"/>
  <c r="BE62" i="2"/>
  <c r="BE217" i="2"/>
  <c r="BE161" i="2"/>
  <c r="BE116" i="2"/>
  <c r="BE89" i="2"/>
  <c r="BE85" i="2"/>
  <c r="BE84" i="2"/>
  <c r="BE83" i="2"/>
  <c r="BE14" i="2"/>
  <c r="BE153" i="2"/>
  <c r="BE18" i="2"/>
  <c r="BE182" i="2"/>
  <c r="BE106" i="2"/>
  <c r="AI9" i="2"/>
  <c r="BE226" i="2"/>
  <c r="BE151" i="2"/>
  <c r="BE117" i="2"/>
  <c r="BE228" i="2"/>
  <c r="BE220" i="2"/>
  <c r="BE180" i="2"/>
  <c r="BE152" i="2"/>
  <c r="BE21" i="2"/>
  <c r="BE20" i="2"/>
  <c r="BE19" i="2"/>
  <c r="D1" i="2"/>
  <c r="BE104" i="2"/>
  <c r="BE105" i="2"/>
  <c r="BE69" i="2"/>
  <c r="BE65" i="2"/>
  <c r="BE64" i="2"/>
  <c r="BE63" i="2"/>
  <c r="BE32" i="2"/>
  <c r="BE108" i="2"/>
  <c r="BE208" i="2"/>
  <c r="BE95" i="2"/>
  <c r="BE93" i="2"/>
  <c r="A64" i="2"/>
  <c r="A65" i="2" s="1"/>
  <c r="A72" i="3" l="1"/>
  <c r="A73" i="3"/>
  <c r="A74" i="3" s="1"/>
  <c r="BE231" i="2"/>
  <c r="A66" i="2"/>
  <c r="A75" i="3" l="1"/>
  <c r="A67" i="2"/>
  <c r="A76" i="3" l="1"/>
  <c r="A77" i="3" s="1"/>
  <c r="A69" i="2"/>
  <c r="A68" i="2"/>
  <c r="A78" i="3" l="1"/>
  <c r="A70" i="2"/>
  <c r="A71" i="2" s="1"/>
  <c r="A79" i="3" l="1"/>
  <c r="A72" i="2"/>
  <c r="A80" i="3" l="1"/>
  <c r="A81" i="3" s="1"/>
  <c r="A82" i="3" s="1"/>
  <c r="A73" i="2"/>
  <c r="A83" i="3" l="1"/>
  <c r="A75" i="2"/>
  <c r="A74" i="2"/>
  <c r="A84" i="3" l="1"/>
  <c r="A85" i="3" s="1"/>
  <c r="A76" i="2"/>
  <c r="A77" i="2"/>
  <c r="A87" i="3" l="1"/>
  <c r="D70" i="3"/>
  <c r="A78" i="2"/>
  <c r="A88" i="3" l="1"/>
  <c r="A89" i="3"/>
  <c r="A79" i="2"/>
  <c r="A90" i="3" l="1"/>
  <c r="A91" i="3" s="1"/>
  <c r="A80" i="2"/>
  <c r="A92" i="3" l="1"/>
  <c r="A81" i="2"/>
  <c r="A93" i="3" l="1"/>
  <c r="A94" i="3"/>
  <c r="A82" i="2"/>
  <c r="A95" i="3" l="1"/>
  <c r="A83" i="2"/>
  <c r="A96" i="3" l="1"/>
  <c r="A84" i="2"/>
  <c r="A97" i="3" l="1"/>
  <c r="A99" i="3" s="1"/>
  <c r="A85" i="2"/>
  <c r="A100" i="3" l="1"/>
  <c r="D86" i="3"/>
  <c r="A86" i="2"/>
  <c r="A101" i="3" l="1"/>
  <c r="A87" i="2"/>
  <c r="A102" i="3" l="1"/>
  <c r="A88" i="2"/>
  <c r="A103" i="3" l="1"/>
  <c r="A89" i="2"/>
  <c r="A104" i="3" l="1"/>
  <c r="A90" i="2"/>
  <c r="A105" i="3" l="1"/>
  <c r="A91" i="2"/>
  <c r="A106" i="3" l="1"/>
  <c r="A92" i="2"/>
  <c r="A107" i="3" l="1"/>
  <c r="A93" i="2"/>
  <c r="A108" i="3" l="1"/>
  <c r="A94" i="2"/>
  <c r="A109" i="3" l="1"/>
  <c r="A95" i="2"/>
  <c r="A110" i="3" l="1"/>
  <c r="A96" i="2"/>
  <c r="A111" i="3" l="1"/>
  <c r="A97" i="2"/>
  <c r="A112" i="3" l="1"/>
  <c r="A113" i="3" s="1"/>
  <c r="A114" i="3" s="1"/>
  <c r="D98" i="3" s="1"/>
  <c r="A98" i="2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8" i="2" l="1"/>
  <c r="A117" i="2"/>
  <c r="A119" i="2" l="1"/>
  <c r="A120" i="2" s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4" i="2" l="1"/>
  <c r="A133" i="2"/>
  <c r="A135" i="2" l="1"/>
  <c r="A136" i="2"/>
  <c r="A137" i="2" l="1"/>
  <c r="A138" i="2" l="1"/>
  <c r="A139" i="2" s="1"/>
  <c r="A141" i="2" s="1"/>
  <c r="A142" i="2" s="1"/>
  <c r="A144" i="2" s="1"/>
  <c r="A145" i="2" s="1"/>
  <c r="A147" i="2" s="1"/>
  <c r="A148" i="2" l="1"/>
  <c r="A149" i="2" s="1"/>
  <c r="A151" i="2" s="1"/>
  <c r="A152" i="2" l="1"/>
  <c r="A153" i="2"/>
  <c r="A154" i="2" l="1"/>
  <c r="A155" i="2" l="1"/>
  <c r="A156" i="2" l="1"/>
  <c r="A157" i="2" l="1"/>
  <c r="A158" i="2" l="1"/>
  <c r="A159" i="2" l="1"/>
  <c r="A160" i="2" l="1"/>
  <c r="A161" i="2" l="1"/>
  <c r="A162" i="2" s="1"/>
  <c r="A164" i="2" s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s="1"/>
  <c r="A177" i="2" s="1"/>
  <c r="A178" i="2" s="1"/>
  <c r="A180" i="2" s="1"/>
  <c r="A181" i="2" l="1"/>
  <c r="A182" i="2"/>
  <c r="A183" i="2" l="1"/>
  <c r="A184" i="2" l="1"/>
  <c r="A185" i="2" l="1"/>
  <c r="A186" i="2" l="1"/>
  <c r="A187" i="2" l="1"/>
  <c r="A188" i="2" l="1"/>
  <c r="A189" i="2" l="1"/>
  <c r="A190" i="2" s="1"/>
  <c r="A191" i="2" s="1"/>
  <c r="A192" i="2" l="1"/>
  <c r="A193" i="2"/>
  <c r="A194" i="2" l="1"/>
  <c r="A195" i="2" l="1"/>
  <c r="A196" i="2" l="1"/>
  <c r="A197" i="2" l="1"/>
  <c r="A198" i="2" l="1"/>
  <c r="A199" i="2" l="1"/>
  <c r="A200" i="2" l="1"/>
  <c r="A201" i="2" l="1"/>
  <c r="A202" i="2" l="1"/>
  <c r="A203" i="2" l="1"/>
  <c r="A204" i="2" l="1"/>
  <c r="A205" i="2" l="1"/>
  <c r="A206" i="2" l="1"/>
  <c r="A207" i="2" l="1"/>
  <c r="A208" i="2" l="1"/>
  <c r="A209" i="2" l="1"/>
  <c r="A210" i="2" l="1"/>
  <c r="A212" i="2" l="1"/>
  <c r="A211" i="2"/>
  <c r="A213" i="2" l="1"/>
  <c r="A214" i="2" l="1"/>
  <c r="A215" i="2" s="1"/>
  <c r="A217" i="2" s="1"/>
  <c r="A218" i="2" l="1"/>
  <c r="A219" i="2" l="1"/>
  <c r="A220" i="2" l="1"/>
  <c r="A221" i="2" l="1"/>
  <c r="A222" i="2" l="1"/>
  <c r="A223" i="2" l="1"/>
  <c r="A224" i="2" l="1"/>
  <c r="A225" i="2" l="1"/>
  <c r="A226" i="2" l="1"/>
  <c r="A227" i="2" l="1"/>
  <c r="A228" i="2" l="1"/>
  <c r="A229" i="2" l="1"/>
  <c r="A2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ADC092</author>
    <author>vuong.bui</author>
  </authors>
  <commentList>
    <comment ref="C18" authorId="0" shapeId="0" xr:uid="{FC8CE2D1-3EB7-461D-BCF8-1CC86A1148B1}">
      <text>
        <r>
          <rPr>
            <b/>
            <sz val="9"/>
            <color indexed="81"/>
            <rFont val="Tahoma"/>
            <family val="2"/>
          </rPr>
          <t>ADC092:</t>
        </r>
        <r>
          <rPr>
            <sz val="9"/>
            <color indexed="81"/>
            <rFont val="Tahoma"/>
            <family val="2"/>
          </rPr>
          <t xml:space="preserve">
Code Kho</t>
        </r>
      </text>
    </comment>
    <comment ref="C19" authorId="0" shapeId="0" xr:uid="{32CCD1C5-1DC5-4483-A280-C33B88C39B68}">
      <text>
        <r>
          <rPr>
            <b/>
            <sz val="9"/>
            <color indexed="81"/>
            <rFont val="Tahoma"/>
            <family val="2"/>
          </rPr>
          <t>ADC092:</t>
        </r>
        <r>
          <rPr>
            <sz val="9"/>
            <color indexed="81"/>
            <rFont val="Tahoma"/>
            <family val="2"/>
          </rPr>
          <t xml:space="preserve">
Code Kho</t>
        </r>
      </text>
    </comment>
    <comment ref="C20" authorId="0" shapeId="0" xr:uid="{E6D8E210-162E-41AD-8AD4-1EEB99B8EEA7}">
      <text>
        <r>
          <rPr>
            <b/>
            <sz val="9"/>
            <color indexed="81"/>
            <rFont val="Tahoma"/>
            <family val="2"/>
          </rPr>
          <t>ADC092:</t>
        </r>
        <r>
          <rPr>
            <sz val="9"/>
            <color indexed="81"/>
            <rFont val="Tahoma"/>
            <family val="2"/>
          </rPr>
          <t xml:space="preserve">
Code Kho</t>
        </r>
      </text>
    </comment>
    <comment ref="C21" authorId="0" shapeId="0" xr:uid="{6197C8FB-1554-42CC-B0E4-5A9E5A0DC053}">
      <text>
        <r>
          <rPr>
            <b/>
            <sz val="9"/>
            <color indexed="81"/>
            <rFont val="Tahoma"/>
            <family val="2"/>
          </rPr>
          <t>ADC092:</t>
        </r>
        <r>
          <rPr>
            <sz val="9"/>
            <color indexed="81"/>
            <rFont val="Tahoma"/>
            <family val="2"/>
          </rPr>
          <t xml:space="preserve">
Code Kho</t>
        </r>
      </text>
    </comment>
    <comment ref="M182" authorId="1" shapeId="0" xr:uid="{1A4DDB64-15DB-4410-91F2-0FEAEEA585D0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82" authorId="1" shapeId="0" xr:uid="{D64341B2-63CE-4DD2-8BF0-B123966C612D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82" authorId="1" shapeId="0" xr:uid="{83D52780-1992-419F-A4AD-C5F3B7963E0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184" authorId="1" shapeId="0" xr:uid="{8B157DCD-B78A-4DC6-A516-56A85B1A96B6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184" authorId="1" shapeId="0" xr:uid="{9B10C87D-6E1B-43BC-AB24-8AF8BD520E89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184" authorId="1" shapeId="0" xr:uid="{C356AA54-2527-4370-BB8E-38B47CE816E6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84" authorId="1" shapeId="0" xr:uid="{06590011-2BEE-4C2E-8194-33C329ADC58C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84" authorId="1" shapeId="0" xr:uid="{27F488EB-3DEE-40C5-8E64-621F9E0FC1FD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186" authorId="1" shapeId="0" xr:uid="{BE9595F5-6DB2-4041-8D54-DFD792129DDC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186" authorId="1" shapeId="0" xr:uid="{5C312911-1553-4A8C-AAAF-0F2E21B00FDF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186" authorId="1" shapeId="0" xr:uid="{6C47772B-DD55-4311-BA23-39521DEED015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86" authorId="1" shapeId="0" xr:uid="{ED03D11D-5145-45AD-8F42-EF27BCD8D8D7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86" authorId="1" shapeId="0" xr:uid="{04C8E06B-F69F-4BF0-91D4-C5BC81746677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188" authorId="1" shapeId="0" xr:uid="{370A6C91-1C43-4DA0-B386-91580A83A62E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188" authorId="1" shapeId="0" xr:uid="{3A5AA21D-55B4-40FA-8B14-1C01E6C96B5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188" authorId="1" shapeId="0" xr:uid="{4DEB1F8D-5B1B-4B55-9041-0B95FAF2CC7E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88" authorId="1" shapeId="0" xr:uid="{083CFD1A-CB6F-41DB-90BE-3554906A01FF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88" authorId="1" shapeId="0" xr:uid="{8ECACA08-C7EC-4385-9554-BC7DC7BA5C5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191" authorId="1" shapeId="0" xr:uid="{4B3A0019-D3EE-402F-AECF-1A3CB660650D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191" authorId="1" shapeId="0" xr:uid="{A88D4948-CBB8-44D8-95A3-11247A88A735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191" authorId="1" shapeId="0" xr:uid="{47FB34B9-E432-4794-98A0-FF3716E2D3B7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91" authorId="1" shapeId="0" xr:uid="{6C9A1D16-032F-484D-B8F7-7E1DA97CF6FC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91" authorId="1" shapeId="0" xr:uid="{1B45ECA5-DA05-4704-9042-E83688F9081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192" authorId="1" shapeId="0" xr:uid="{496F7111-A058-4035-ABCC-1C4A1F89C94B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192" authorId="1" shapeId="0" xr:uid="{4CA1AAF6-FE38-45B8-B339-D4A36AB2FA8A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192" authorId="1" shapeId="0" xr:uid="{D6D26A54-A0F0-4A35-A84C-C790B04FE2FE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92" authorId="1" shapeId="0" xr:uid="{C7537AA0-A1C6-489B-BD5B-BCE47DDB82D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92" authorId="1" shapeId="0" xr:uid="{97C0C54F-1746-4215-BFC6-771550C3EA5B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194" authorId="1" shapeId="0" xr:uid="{59EFE8EF-1FA8-4815-97AA-807A1C8A71CB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194" authorId="1" shapeId="0" xr:uid="{8C59F4FC-7B29-4F15-B255-7FD5E24237F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194" authorId="1" shapeId="0" xr:uid="{B840F2D0-FE8D-4290-8E58-5C5DA628335C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00" authorId="1" shapeId="0" xr:uid="{53CCB94B-B7D0-43DF-977D-222DDC464FFA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00" authorId="1" shapeId="0" xr:uid="{376E0D10-66EE-429F-BD42-EFCCD4C6C879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00" authorId="1" shapeId="0" xr:uid="{F0E9AA87-729A-47AF-B571-65C62610480F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02" authorId="1" shapeId="0" xr:uid="{1537595E-03F7-430B-9379-8A4F734C2E4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02" authorId="1" shapeId="0" xr:uid="{F1E6A245-1841-4B7D-B183-32A2D370B778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02" authorId="1" shapeId="0" xr:uid="{98072536-8F43-486F-AB3B-884B37B61073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03" authorId="1" shapeId="0" xr:uid="{E493F8E2-9D0D-41E3-ADCE-79170AB91A98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03" authorId="1" shapeId="0" xr:uid="{62C063A1-7905-4E91-A5FE-0E5660D4E6FD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204" authorId="1" shapeId="0" xr:uid="{0D3B9352-5CE8-4C8C-95BA-E013626FEA17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204" authorId="1" shapeId="0" xr:uid="{0013A574-9B8C-429D-99EA-02AE5DCAB96A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205" authorId="1" shapeId="0" xr:uid="{2DCB2625-4E2D-4EEA-9652-223615E4A593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205" authorId="1" shapeId="0" xr:uid="{7547323E-F0AD-426F-B858-529E527D85DD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05" authorId="1" shapeId="0" xr:uid="{51203E9F-28B5-4192-AFD6-4CAF8AFDFC18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05" authorId="1" shapeId="0" xr:uid="{AC6454E2-EE26-4DF3-A397-34F45D3DF99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05" authorId="1" shapeId="0" xr:uid="{7022676D-14C0-49DC-AFD7-C7A43DF08A29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206" authorId="1" shapeId="0" xr:uid="{829143E5-2598-4633-919C-8FC8ACBCC57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206" authorId="1" shapeId="0" xr:uid="{93B0E924-897B-44ED-B977-B575C354A614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06" authorId="1" shapeId="0" xr:uid="{A4443172-C2AF-48CC-8527-11A9EA89BB56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06" authorId="1" shapeId="0" xr:uid="{EE8991C4-556F-4FA1-A224-DDE71CD40A05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06" authorId="1" shapeId="0" xr:uid="{6F924C57-B004-4792-A1E8-82A63CDAD206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211" authorId="1" shapeId="0" xr:uid="{842F1BE0-8BA2-4B1F-8AE1-E90F46886565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211" authorId="1" shapeId="0" xr:uid="{215517F9-E883-4234-9477-179028C4AF08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11" authorId="1" shapeId="0" xr:uid="{E0EB7C56-1ED3-46F5-984F-EDCD2F160F6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11" authorId="1" shapeId="0" xr:uid="{627566C8-9363-40A7-B165-2396FEB24AA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11" authorId="1" shapeId="0" xr:uid="{13AE38D3-428E-4F71-AD3D-13721A6079E3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212" authorId="1" shapeId="0" xr:uid="{3C39254C-88AA-465B-BDE4-6F6F50424F77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212" authorId="1" shapeId="0" xr:uid="{ADBF93FF-6E96-4906-94BB-F8080F7A8FA5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12" authorId="1" shapeId="0" xr:uid="{7B5A9F27-C437-4448-B6E6-BCFFF8D0BF7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12" authorId="1" shapeId="0" xr:uid="{D961D662-028C-422A-8C7B-D457F58051B1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12" authorId="1" shapeId="0" xr:uid="{E71DFDD6-9155-4B81-A0F5-AB6693DD9EBC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E213" authorId="1" shapeId="0" xr:uid="{BD0750E0-E765-4807-AFCB-ACCC088E167B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F213" authorId="1" shapeId="0" xr:uid="{1CEAC448-9F88-490A-A047-FB800D9E5AB2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M213" authorId="1" shapeId="0" xr:uid="{2258DF2A-C0C8-4A53-9DB1-69BA12B84799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N213" authorId="1" shapeId="0" xr:uid="{0CCFF626-2A08-4816-9DF9-F8C1727B1D86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  <comment ref="O213" authorId="1" shapeId="0" xr:uid="{5D9CC5F4-1AE1-48B5-96F8-C54BE554237D}">
      <text>
        <r>
          <rPr>
            <b/>
            <sz val="9"/>
            <color indexed="81"/>
            <rFont val="Tahoma"/>
            <family val="2"/>
          </rPr>
          <t>vuong.bui:</t>
        </r>
        <r>
          <rPr>
            <sz val="9"/>
            <color indexed="81"/>
            <rFont val="Tahoma"/>
            <family val="2"/>
          </rPr>
          <t xml:space="preserve">
Tăng ca 2 tiếng</t>
        </r>
      </text>
    </comment>
  </commentList>
</comments>
</file>

<file path=xl/sharedStrings.xml><?xml version="1.0" encoding="utf-8"?>
<sst xmlns="http://schemas.openxmlformats.org/spreadsheetml/2006/main" count="6625" uniqueCount="742">
  <si>
    <t>Quy định: N: làm việc bình thường ;      P: Nghỉ phép trọn ngày;     (P1: Nghỉ phép 1/2 ngày; nghỉ không lương 1/2 ngày);     (P2: Nghỉ phép 1/2 ngày; làm 1/2 ngày);  L: Nghỉ lễ;     O: Nghỉ ốm;   TN: Tai nạn;   Ro: nghỉ có phép không lương</t>
  </si>
  <si>
    <t>STT</t>
  </si>
  <si>
    <t xml:space="preserve">MÃ NV </t>
  </si>
  <si>
    <t>Họ tên</t>
  </si>
  <si>
    <t>Ngày vào</t>
  </si>
  <si>
    <t>Ngày trong tháng</t>
  </si>
  <si>
    <t>Cost center</t>
  </si>
  <si>
    <t>Giờ công tiêu chuẩn</t>
  </si>
  <si>
    <t>Ca Ngày</t>
  </si>
  <si>
    <t>Ca Đêm</t>
  </si>
  <si>
    <t>PHẦN TỔNG HỢP</t>
  </si>
  <si>
    <t xml:space="preserve">Tổng công </t>
  </si>
  <si>
    <t>Ký tên xác nhận công</t>
  </si>
  <si>
    <t>Ghi chú</t>
  </si>
  <si>
    <t>Ngày phép năm còn lại</t>
  </si>
  <si>
    <t>Ngày công chuẩn</t>
  </si>
  <si>
    <t>QUẢN LÝ</t>
  </si>
  <si>
    <t>IN</t>
  </si>
  <si>
    <t>Tên trên bảng lương</t>
  </si>
  <si>
    <t>Ngày LV</t>
  </si>
  <si>
    <t>Nghỉ phép</t>
  </si>
  <si>
    <t>Nghỉ Ko phép</t>
  </si>
  <si>
    <t>Nghỉ không lương</t>
  </si>
  <si>
    <t>Nghỉ
chế độ</t>
  </si>
  <si>
    <t>Nghỉ Lễ</t>
  </si>
  <si>
    <t>Tăng ca NT - ca ngày (h)</t>
  </si>
  <si>
    <t>Tăng ca NT - ca đêm (h)</t>
  </si>
  <si>
    <t>Tăng ca CN - ca ngày (h)</t>
  </si>
  <si>
    <t>Tăng ca CN - ca đêm (h)</t>
  </si>
  <si>
    <t>Tăng ca Lễ- ca ngày (h)</t>
  </si>
  <si>
    <t>Tăng ca Lễ- ca đêm (h)</t>
  </si>
  <si>
    <t>Thưởng lễ 2/9</t>
  </si>
  <si>
    <t>Thâm niên</t>
  </si>
  <si>
    <t>SẢN XUẤT</t>
  </si>
  <si>
    <t>X</t>
  </si>
  <si>
    <t>CN0964</t>
  </si>
  <si>
    <t>Vi Thị Phượng</t>
  </si>
  <si>
    <t>D</t>
  </si>
  <si>
    <t>N</t>
  </si>
  <si>
    <t>NM F2</t>
  </si>
  <si>
    <t>Khối sản xuất</t>
  </si>
  <si>
    <t>CN1477</t>
  </si>
  <si>
    <t>Nguyễn Thị Thanh Tuyết</t>
  </si>
  <si>
    <t>CN0025</t>
  </si>
  <si>
    <t>Óc Cường</t>
  </si>
  <si>
    <t>NV1436</t>
  </si>
  <si>
    <t>Võ Nguyễn Đức Tài</t>
  </si>
  <si>
    <t>TÀI XẾ +  PHỤ KHO SC</t>
  </si>
  <si>
    <t>CN0352</t>
  </si>
  <si>
    <t>Sơn Đi</t>
  </si>
  <si>
    <t>10100404</t>
  </si>
  <si>
    <t>NM KHO F3</t>
  </si>
  <si>
    <t>CN0254</t>
  </si>
  <si>
    <t>Trần Khắc Hải</t>
  </si>
  <si>
    <t>CN1080</t>
  </si>
  <si>
    <t>Lê Văn Giỏi</t>
  </si>
  <si>
    <t>CN1728</t>
  </si>
  <si>
    <t>Huỳnh Văn Phúc</t>
  </si>
  <si>
    <t>CN0354</t>
  </si>
  <si>
    <t>Lê Thanh Chất</t>
  </si>
  <si>
    <t>N10</t>
  </si>
  <si>
    <t>CN1667</t>
  </si>
  <si>
    <t>Đặng Thành An</t>
  </si>
  <si>
    <t>CN0488</t>
  </si>
  <si>
    <t>CN1691</t>
  </si>
  <si>
    <t>Chau Kim Siêng</t>
  </si>
  <si>
    <t>CN1733</t>
  </si>
  <si>
    <t>Sơn Văn Cường</t>
  </si>
  <si>
    <t xml:space="preserve">TẠP VỤ +BẾP </t>
  </si>
  <si>
    <t>CN0760</t>
  </si>
  <si>
    <t>Nguyễn Thị Tình</t>
  </si>
  <si>
    <t>CN1584</t>
  </si>
  <si>
    <t>Huỳnh Thị Linh</t>
  </si>
  <si>
    <t>CN1265</t>
  </si>
  <si>
    <t>CN1459</t>
  </si>
  <si>
    <t>Nguyễn Kim Hoa</t>
  </si>
  <si>
    <t>03/03/2025</t>
  </si>
  <si>
    <t>CN1555</t>
  </si>
  <si>
    <t>Nguyễn Hoàng Bảo Luật</t>
  </si>
  <si>
    <t>CN1577</t>
  </si>
  <si>
    <t>Trượng Thị Tạm</t>
  </si>
  <si>
    <t>CN1576</t>
  </si>
  <si>
    <t>Nguyễn Thị Điệp</t>
  </si>
  <si>
    <t>CN1643</t>
  </si>
  <si>
    <t>Phạm Thị Tặng</t>
  </si>
  <si>
    <t>CN1676</t>
  </si>
  <si>
    <t>Ngô Thị Thu Vân</t>
  </si>
  <si>
    <t>CN1684</t>
  </si>
  <si>
    <t>Nguyễn Đức Trọng</t>
  </si>
  <si>
    <t>NV1711</t>
  </si>
  <si>
    <t>Nguyễn Thị Bích Loan</t>
  </si>
  <si>
    <t>EXTRUDER 1</t>
  </si>
  <si>
    <t>NM F1</t>
  </si>
  <si>
    <t>CN0017</t>
  </si>
  <si>
    <t>Trần Che</t>
  </si>
  <si>
    <t>CN0586</t>
  </si>
  <si>
    <t>Lâm Văn Luận</t>
  </si>
  <si>
    <t>CN0023</t>
  </si>
  <si>
    <t>Võ Duy Khánh</t>
  </si>
  <si>
    <t>CN0556</t>
  </si>
  <si>
    <t>Dương Hoàng Diễn</t>
  </si>
  <si>
    <t>CN0028</t>
  </si>
  <si>
    <t>Dương Hoàng Oanh</t>
  </si>
  <si>
    <t>EXTRUDER 2</t>
  </si>
  <si>
    <t>F2</t>
  </si>
  <si>
    <t>CN0161</t>
  </si>
  <si>
    <t>Lâm Hoàng Tấn</t>
  </si>
  <si>
    <t>P</t>
  </si>
  <si>
    <t>CN0422</t>
  </si>
  <si>
    <t>Tạ Thành Đạt</t>
  </si>
  <si>
    <t>CN0132</t>
  </si>
  <si>
    <t>Chau Ra</t>
  </si>
  <si>
    <t>CN0262</t>
  </si>
  <si>
    <t>Lê Minh Chung</t>
  </si>
  <si>
    <t>CN1382</t>
  </si>
  <si>
    <t>Giáp Văn Thảo</t>
  </si>
  <si>
    <t>CN1237</t>
  </si>
  <si>
    <t>ROPE</t>
  </si>
  <si>
    <t>CN0303</t>
  </si>
  <si>
    <t>Trần Thanh Tùng</t>
  </si>
  <si>
    <t>CN0165</t>
  </si>
  <si>
    <t>Đặng Văn Lẩy</t>
  </si>
  <si>
    <t>CN0341</t>
  </si>
  <si>
    <t>Chau Danh Sa Va</t>
  </si>
  <si>
    <t>N11</t>
  </si>
  <si>
    <t>CN0451</t>
  </si>
  <si>
    <t>Danh Ra</t>
  </si>
  <si>
    <t>CN0611</t>
  </si>
  <si>
    <t xml:space="preserve">Dương Thương </t>
  </si>
  <si>
    <t>CN0516</t>
  </si>
  <si>
    <t>Danh Chao Chiết</t>
  </si>
  <si>
    <t>CN0618</t>
  </si>
  <si>
    <t>Lê Thành Đô</t>
  </si>
  <si>
    <t>CN0919</t>
  </si>
  <si>
    <t>Trần Văn Mạnh</t>
  </si>
  <si>
    <t>CN0981</t>
  </si>
  <si>
    <t>Hoàng Văn Tý</t>
  </si>
  <si>
    <t>CN1022</t>
  </si>
  <si>
    <t>Đoàn Thị Hồng Nhung</t>
  </si>
  <si>
    <t>CN1111</t>
  </si>
  <si>
    <t>Lê Văn Mạnh</t>
  </si>
  <si>
    <t>CN1131</t>
  </si>
  <si>
    <t>Thạch Thành</t>
  </si>
  <si>
    <t>TV</t>
  </si>
  <si>
    <t>CN1132</t>
  </si>
  <si>
    <t>Kim Thị Na Huy</t>
  </si>
  <si>
    <t>TS</t>
  </si>
  <si>
    <t>CN1133</t>
  </si>
  <si>
    <t>Phan Văn Đức</t>
  </si>
  <si>
    <t>CN1231</t>
  </si>
  <si>
    <t>Lý Thành Lên</t>
  </si>
  <si>
    <t>CN1249</t>
  </si>
  <si>
    <t>Trần Văn Mến</t>
  </si>
  <si>
    <t>CN1308</t>
  </si>
  <si>
    <t>Chau Thiên</t>
  </si>
  <si>
    <t>CN0343</t>
  </si>
  <si>
    <t>Danh Chao Lốt</t>
  </si>
  <si>
    <t>CN0040</t>
  </si>
  <si>
    <t>Đặng Văn Giang</t>
  </si>
  <si>
    <t>N9</t>
  </si>
  <si>
    <t>CN0559</t>
  </si>
  <si>
    <t>Lê Văn Lượng</t>
  </si>
  <si>
    <t>CN0681</t>
  </si>
  <si>
    <t>CN0613</t>
  </si>
  <si>
    <t>Lý Si Phonh</t>
  </si>
  <si>
    <t>CN0043</t>
  </si>
  <si>
    <t>Lê Thị Thơ</t>
  </si>
  <si>
    <t>CN1093</t>
  </si>
  <si>
    <t>Huỳnh Thị Chi</t>
  </si>
  <si>
    <t>CN1168</t>
  </si>
  <si>
    <t>Thạch Lửa</t>
  </si>
  <si>
    <t>CN1118</t>
  </si>
  <si>
    <t>CN1194</t>
  </si>
  <si>
    <t>Nguyễn Trần Mỹ Loan</t>
  </si>
  <si>
    <t>CN0066</t>
  </si>
  <si>
    <t>Đỗ Thanh Nhàn</t>
  </si>
  <si>
    <t>CN0420</t>
  </si>
  <si>
    <t>Danh Chanh Thi</t>
  </si>
  <si>
    <t>CN1421</t>
  </si>
  <si>
    <t>Nguyễn Văn Bé Ba</t>
  </si>
  <si>
    <t>CN1429</t>
  </si>
  <si>
    <t>Phạm Vủ Luân</t>
  </si>
  <si>
    <t>D11</t>
  </si>
  <si>
    <t>CN1431</t>
  </si>
  <si>
    <t>Sơn Vách</t>
  </si>
  <si>
    <t>CN1435</t>
  </si>
  <si>
    <t>Sơn Thảo</t>
  </si>
  <si>
    <t>CN1441</t>
  </si>
  <si>
    <t>Lê Hoàng Long</t>
  </si>
  <si>
    <t>CN1442</t>
  </si>
  <si>
    <t>Trần Hải Đăng</t>
  </si>
  <si>
    <t>CN1455</t>
  </si>
  <si>
    <t>Trần Bền</t>
  </si>
  <si>
    <t>CN1311</t>
  </si>
  <si>
    <t>Chau Sóc Khai</t>
  </si>
  <si>
    <t>CN1346</t>
  </si>
  <si>
    <t>Thạch Tiên</t>
  </si>
  <si>
    <t>CN1425</t>
  </si>
  <si>
    <t>Nguyễn Hoàng Nam</t>
  </si>
  <si>
    <t>CN1428</t>
  </si>
  <si>
    <t>Neàng Kim Sen</t>
  </si>
  <si>
    <t>CN1467</t>
  </si>
  <si>
    <t>Danh Thanh Tuyền</t>
  </si>
  <si>
    <t>CN1469</t>
  </si>
  <si>
    <t>Thạch Chane Bô Rết</t>
  </si>
  <si>
    <t>CN0764</t>
  </si>
  <si>
    <t>Lâm Luân</t>
  </si>
  <si>
    <t>D10</t>
  </si>
  <si>
    <t>N5</t>
  </si>
  <si>
    <t>CN1512</t>
  </si>
  <si>
    <t>Nguyễn Đăng Tính</t>
  </si>
  <si>
    <t>CN1519</t>
  </si>
  <si>
    <t>Phan Văn Nhiều</t>
  </si>
  <si>
    <t>RO</t>
  </si>
  <si>
    <t>Danh Ngọc</t>
  </si>
  <si>
    <t>N8</t>
  </si>
  <si>
    <t>CN1545</t>
  </si>
  <si>
    <t>Cao Minh Thư</t>
  </si>
  <si>
    <t>CN1557</t>
  </si>
  <si>
    <t>Giang Đình Nhất</t>
  </si>
  <si>
    <t>CN1560</t>
  </si>
  <si>
    <t>Kim Thị Ngọc Huyền</t>
  </si>
  <si>
    <t>CN1568</t>
  </si>
  <si>
    <t>Phạm Nhựt Tuấn</t>
  </si>
  <si>
    <t>CN1588</t>
  </si>
  <si>
    <t>Trịnh Thị Hiền</t>
  </si>
  <si>
    <t>CN1605</t>
  </si>
  <si>
    <t>Từ Chí Hảo</t>
  </si>
  <si>
    <t>CN1612</t>
  </si>
  <si>
    <t>Đinh Hoàng Thái</t>
  </si>
  <si>
    <t>CN1630</t>
  </si>
  <si>
    <t>Đặng Thanh Chiến</t>
  </si>
  <si>
    <t>CN1631</t>
  </si>
  <si>
    <t>Lê Đức Thiện</t>
  </si>
  <si>
    <t>CN1633</t>
  </si>
  <si>
    <t>Thạch Ngọc Anh</t>
  </si>
  <si>
    <t>CN1642</t>
  </si>
  <si>
    <t>Nguyễn Văn Lý Hùng</t>
  </si>
  <si>
    <t>CN1649</t>
  </si>
  <si>
    <t>Chau Thi</t>
  </si>
  <si>
    <t>D3</t>
  </si>
  <si>
    <t>NV1651</t>
  </si>
  <si>
    <t>Phạm Phú Cường</t>
  </si>
  <si>
    <t>CN1655</t>
  </si>
  <si>
    <t>Lê Minh Chiến</t>
  </si>
  <si>
    <t>CN1668</t>
  </si>
  <si>
    <t>Sơn Thanh Dũng</t>
  </si>
  <si>
    <t>CN1670</t>
  </si>
  <si>
    <t>Trần Thị Ràng</t>
  </si>
  <si>
    <t>CN1674</t>
  </si>
  <si>
    <t>Trần Ngọc Thắng</t>
  </si>
  <si>
    <t>CN1686</t>
  </si>
  <si>
    <t>Hồ Thanh Tuấn</t>
  </si>
  <si>
    <t>CN1688</t>
  </si>
  <si>
    <t>Phan Minh Trung</t>
  </si>
  <si>
    <t>CN1694</t>
  </si>
  <si>
    <t>Mã Quốc Huy</t>
  </si>
  <si>
    <t>CN1695</t>
  </si>
  <si>
    <t>Nguyễn Thái Học</t>
  </si>
  <si>
    <t>CN1283</t>
  </si>
  <si>
    <t>Châu Minh Liêm</t>
  </si>
  <si>
    <t>CN1703</t>
  </si>
  <si>
    <t>Nguyễn Văn Thanh Phong</t>
  </si>
  <si>
    <t>CN1704</t>
  </si>
  <si>
    <t>Lê Vũ Phương</t>
  </si>
  <si>
    <t>CN1707</t>
  </si>
  <si>
    <t>Thạch Chan Bô Rinh</t>
  </si>
  <si>
    <t>CN1709</t>
  </si>
  <si>
    <t>Nguyễn Quốc Thắng</t>
  </si>
  <si>
    <t>CN1713</t>
  </si>
  <si>
    <t>Chau Sam Nan</t>
  </si>
  <si>
    <t>K</t>
  </si>
  <si>
    <t>CN1724</t>
  </si>
  <si>
    <t>Hồ Văn Còn</t>
  </si>
  <si>
    <t>CN1725</t>
  </si>
  <si>
    <t>Nguyễn Thành Khoa</t>
  </si>
  <si>
    <t>CN1730</t>
  </si>
  <si>
    <t>Lê Chí Thắng</t>
  </si>
  <si>
    <t>CN1731</t>
  </si>
  <si>
    <t>Sơn Nghĩa</t>
  </si>
  <si>
    <t>CN1732</t>
  </si>
  <si>
    <t>Bùi Văn Dương</t>
  </si>
  <si>
    <t>N6</t>
  </si>
  <si>
    <t>CN1726</t>
  </si>
  <si>
    <t>Nguyễn Hoàng Giang</t>
  </si>
  <si>
    <t>CN1734</t>
  </si>
  <si>
    <t>Lâm Phi</t>
  </si>
  <si>
    <t>CN1742</t>
  </si>
  <si>
    <t>Phạm Hữu Du Đô</t>
  </si>
  <si>
    <t>CN1744</t>
  </si>
  <si>
    <t>Trương Văn Đào</t>
  </si>
  <si>
    <t>CN1745</t>
  </si>
  <si>
    <t>Trịnh Đà Ra</t>
  </si>
  <si>
    <t>CN1748</t>
  </si>
  <si>
    <t>CN1750</t>
  </si>
  <si>
    <t>Lê Nhật Duy</t>
  </si>
  <si>
    <t>CN1751</t>
  </si>
  <si>
    <t>Nguyễn Anh Trí</t>
  </si>
  <si>
    <t>CN1762</t>
  </si>
  <si>
    <t>Nguyễn Hồng Thái</t>
  </si>
  <si>
    <t>CN1763</t>
  </si>
  <si>
    <t>Võ Thị Nị</t>
  </si>
  <si>
    <t>CN1765</t>
  </si>
  <si>
    <t>Vũ Văn Phúc</t>
  </si>
  <si>
    <t>CN1766</t>
  </si>
  <si>
    <t>Nguyễn Văn Vợt</t>
  </si>
  <si>
    <t>CN1769</t>
  </si>
  <si>
    <t>Trần Thanh Tòng</t>
  </si>
  <si>
    <t>CN1770</t>
  </si>
  <si>
    <t>Bùi Thị Hoa</t>
  </si>
  <si>
    <t>Máy bện</t>
  </si>
  <si>
    <t>CN0038</t>
  </si>
  <si>
    <t>Danh Kim Đồng</t>
  </si>
  <si>
    <t>CN0568</t>
  </si>
  <si>
    <t>Thạch Tài</t>
  </si>
  <si>
    <t xml:space="preserve">Máy RS </t>
  </si>
  <si>
    <t>CN0668</t>
  </si>
  <si>
    <t>Trần Quốc Nam</t>
  </si>
  <si>
    <t>N2</t>
  </si>
  <si>
    <t>CN0423</t>
  </si>
  <si>
    <t>Sơn Đol</t>
  </si>
  <si>
    <t>Máy In</t>
  </si>
  <si>
    <t>CN0042</t>
  </si>
  <si>
    <t>Lục Thị Kiếm</t>
  </si>
  <si>
    <t>CN0736</t>
  </si>
  <si>
    <t>Lý Thị Kim Tinh</t>
  </si>
  <si>
    <t>CN1697</t>
  </si>
  <si>
    <t>Đặng Thị Út</t>
  </si>
  <si>
    <t>TWIST</t>
  </si>
  <si>
    <t>CN0029</t>
  </si>
  <si>
    <t>Nguyễn Văn Hiển</t>
  </si>
  <si>
    <t>CN0046</t>
  </si>
  <si>
    <t>Danh Hồng Cường</t>
  </si>
  <si>
    <t>CN0037</t>
  </si>
  <si>
    <t>Nguyễn Chí Tâm</t>
  </si>
  <si>
    <t>CN0796</t>
  </si>
  <si>
    <t>CN0881</t>
  </si>
  <si>
    <t>Sơn Hoài Thanh</t>
  </si>
  <si>
    <t>CN0206</t>
  </si>
  <si>
    <t>Thạch Chanh Rây</t>
  </si>
  <si>
    <t>CN0787</t>
  </si>
  <si>
    <t>Lý Thanh</t>
  </si>
  <si>
    <t>CN0924</t>
  </si>
  <si>
    <t>CN0373</t>
  </si>
  <si>
    <t>Lý Tiên</t>
  </si>
  <si>
    <t>CN0944</t>
  </si>
  <si>
    <t>Nguyễn Thanh Song</t>
  </si>
  <si>
    <t>CN1148</t>
  </si>
  <si>
    <t xml:space="preserve">Dương Vũ Phong </t>
  </si>
  <si>
    <t>CN0986</t>
  </si>
  <si>
    <t>Miêu Quốc Khánh</t>
  </si>
  <si>
    <t>CN0748</t>
  </si>
  <si>
    <t>Lê Văn Tỏa</t>
  </si>
  <si>
    <t>NM F3</t>
  </si>
  <si>
    <t>CN1219</t>
  </si>
  <si>
    <t>Liêu Thông</t>
  </si>
  <si>
    <t>TORNADO</t>
  </si>
  <si>
    <t>F1</t>
  </si>
  <si>
    <t>CN0058</t>
  </si>
  <si>
    <t>Lâm Kim Long</t>
  </si>
  <si>
    <t>CN0377</t>
  </si>
  <si>
    <t>Võ Văn Ngàn</t>
  </si>
  <si>
    <t>CN0914</t>
  </si>
  <si>
    <t>Lê Hoàng Tuấn</t>
  </si>
  <si>
    <t>CN1137</t>
  </si>
  <si>
    <t xml:space="preserve">Nguyễn Thanh Phong </t>
  </si>
  <si>
    <t>CN1210</t>
  </si>
  <si>
    <t>Đỗ Công Danh</t>
  </si>
  <si>
    <t>CN0027</t>
  </si>
  <si>
    <t>Thạch Tùng</t>
  </si>
  <si>
    <t>CN0048</t>
  </si>
  <si>
    <t xml:space="preserve">Lê Thanh Sang </t>
  </si>
  <si>
    <t>CN0151</t>
  </si>
  <si>
    <t>Lưu Văn Hiếu</t>
  </si>
  <si>
    <t>CN0434</t>
  </si>
  <si>
    <t>Lê Văn Xoài</t>
  </si>
  <si>
    <t>CN1187</t>
  </si>
  <si>
    <t>Hứa Văn Hởi</t>
  </si>
  <si>
    <t>CN1209</t>
  </si>
  <si>
    <t>Phạm Phát Tài</t>
  </si>
  <si>
    <t>CN1277</t>
  </si>
  <si>
    <t>Nguyễn Văn Cường</t>
  </si>
  <si>
    <t>CN1495</t>
  </si>
  <si>
    <t>Trần Bé Trai</t>
  </si>
  <si>
    <t>CN1638</t>
  </si>
  <si>
    <t>Nguyễn Hữu Phước</t>
  </si>
  <si>
    <t>CN0749</t>
  </si>
  <si>
    <t>Chay Hoàng Sơn</t>
  </si>
  <si>
    <t>ĐÓNG GÓI</t>
  </si>
  <si>
    <t>NM ĐG</t>
  </si>
  <si>
    <t>CN1255</t>
  </si>
  <si>
    <t>Danh Vích</t>
  </si>
  <si>
    <t>CN0011</t>
  </si>
  <si>
    <t>Nguyễn Diệu Hiền</t>
  </si>
  <si>
    <t>CN0549</t>
  </si>
  <si>
    <t>Danh Thị Thanh</t>
  </si>
  <si>
    <t>CN0512</t>
  </si>
  <si>
    <t>Phan Kim Tâm</t>
  </si>
  <si>
    <t>CN0554</t>
  </si>
  <si>
    <t>CN0013</t>
  </si>
  <si>
    <t>Hà Phước Thanh</t>
  </si>
  <si>
    <t>CN0170</t>
  </si>
  <si>
    <t>Trương Văn Dũng</t>
  </si>
  <si>
    <t>CN0960</t>
  </si>
  <si>
    <t>CN0210</t>
  </si>
  <si>
    <t>Mai Thị Bé Ly</t>
  </si>
  <si>
    <t>CN0763</t>
  </si>
  <si>
    <t>CN0465</t>
  </si>
  <si>
    <t>Nguyễn Văn Minh</t>
  </si>
  <si>
    <t>CN0616</t>
  </si>
  <si>
    <t>Phạm Thành Tiên</t>
  </si>
  <si>
    <t>CN0709</t>
  </si>
  <si>
    <t>Đặng Thị Ngọc Trà</t>
  </si>
  <si>
    <t>CN0913</t>
  </si>
  <si>
    <t>Trương Minh Định</t>
  </si>
  <si>
    <t>CN1361</t>
  </si>
  <si>
    <t>Kim Sô Phoi</t>
  </si>
  <si>
    <t>CN1360</t>
  </si>
  <si>
    <t>Thạch Thị Dung</t>
  </si>
  <si>
    <t>CN1333</t>
  </si>
  <si>
    <t>Tô Thanh Lừng</t>
  </si>
  <si>
    <t>CN1086</t>
  </si>
  <si>
    <t>CN1323</t>
  </si>
  <si>
    <t xml:space="preserve">Neàng Cà Chia </t>
  </si>
  <si>
    <t>CN1450</t>
  </si>
  <si>
    <t>Lê Thị Kiều Diễm</t>
  </si>
  <si>
    <t>CN1251</t>
  </si>
  <si>
    <t>CN1451</t>
  </si>
  <si>
    <t>Sơn Thanh Phong</t>
  </si>
  <si>
    <t>CN0908</t>
  </si>
  <si>
    <t>Thái Văn Phúc</t>
  </si>
  <si>
    <t>CN1506</t>
  </si>
  <si>
    <t>Trần Tuấn Kiệt</t>
  </si>
  <si>
    <t>D6</t>
  </si>
  <si>
    <t>CN1517</t>
  </si>
  <si>
    <t>Danh Thị Phượng</t>
  </si>
  <si>
    <t>CN1530</t>
  </si>
  <si>
    <t>Lý Đức Thuận</t>
  </si>
  <si>
    <t>CN1629</t>
  </si>
  <si>
    <t>Trương Thị Kim Chi</t>
  </si>
  <si>
    <t>CN0302</t>
  </si>
  <si>
    <t>Trần Thị Diệu</t>
  </si>
  <si>
    <t>CN1654</t>
  </si>
  <si>
    <t>Huỳnh Quốc Danh</t>
  </si>
  <si>
    <t>CN1661</t>
  </si>
  <si>
    <t>Lê Chí Nguyện</t>
  </si>
  <si>
    <t>CN1696</t>
  </si>
  <si>
    <t>Nguyễn Thị Thuyền</t>
  </si>
  <si>
    <t>CN1698</t>
  </si>
  <si>
    <t>Nguyễn Văn Hoàng Giang</t>
  </si>
  <si>
    <t>CN1700</t>
  </si>
  <si>
    <t>Thạch Minh Thương</t>
  </si>
  <si>
    <t>CN1710</t>
  </si>
  <si>
    <t>Nguyễn Thành Danh</t>
  </si>
  <si>
    <t>CN1739</t>
  </si>
  <si>
    <t>Võ Anh Kiệt</t>
  </si>
  <si>
    <t>CN1740</t>
  </si>
  <si>
    <t>Trần Văn Khá</t>
  </si>
  <si>
    <t>CN1741</t>
  </si>
  <si>
    <t xml:space="preserve">Lương Văn Chung </t>
  </si>
  <si>
    <t>CN1743</t>
  </si>
  <si>
    <t>Nguyễn Minh Kha</t>
  </si>
  <si>
    <t>CN1747</t>
  </si>
  <si>
    <t>Giang Gia Cam</t>
  </si>
  <si>
    <t>CN1754</t>
  </si>
  <si>
    <t>Phạm Bảo Kiệt</t>
  </si>
  <si>
    <t>CN1755</t>
  </si>
  <si>
    <t>Huỳnh Văn Hoàng Đầy</t>
  </si>
  <si>
    <t>Nhà máy F3</t>
  </si>
  <si>
    <t>CN0032</t>
  </si>
  <si>
    <t>Thạch Tững</t>
  </si>
  <si>
    <t>CN1169</t>
  </si>
  <si>
    <t>Lý Văn Vỹ</t>
  </si>
  <si>
    <t>CN1224</t>
  </si>
  <si>
    <t>Cao Mạnh Hùng</t>
  </si>
  <si>
    <t>CN0809</t>
  </si>
  <si>
    <t>Thạch Thị Ngọc Linh</t>
  </si>
  <si>
    <t>CN1310</t>
  </si>
  <si>
    <t>Nguyễn Ngọc Lòng</t>
  </si>
  <si>
    <t>CN1509</t>
  </si>
  <si>
    <t>Trương Tuấn Thanh</t>
  </si>
  <si>
    <t>Lý Minh Quý</t>
  </si>
  <si>
    <t>CN1205</t>
  </si>
  <si>
    <t>CN1112</t>
  </si>
  <si>
    <t>Đặng Văn Tí</t>
  </si>
  <si>
    <t>CN0774</t>
  </si>
  <si>
    <t>Phạm Thị Ngân</t>
  </si>
  <si>
    <t>CN0576</t>
  </si>
  <si>
    <t>Trương Thái Hoàng Phong</t>
  </si>
  <si>
    <t>CN1321</t>
  </si>
  <si>
    <t>Lâm Giang Tồng</t>
  </si>
  <si>
    <t>CN1299</t>
  </si>
  <si>
    <t>Cao Lâm Trung</t>
  </si>
  <si>
    <t>CN0766</t>
  </si>
  <si>
    <t>Tô Kim Hồng</t>
  </si>
  <si>
    <t>CN1575</t>
  </si>
  <si>
    <t>Nguyễn Văn Sơn</t>
  </si>
  <si>
    <t>CN0874</t>
  </si>
  <si>
    <t>NGƯỜI LẬP</t>
  </si>
  <si>
    <t>GIÁM ĐỐC NHÂN SỰ</t>
  </si>
  <si>
    <t>TỔNG GIÁM ĐỐC</t>
  </si>
  <si>
    <t>Lê Thị Hồng Thêu</t>
  </si>
  <si>
    <t>Nguyễn Thùy Trân</t>
  </si>
  <si>
    <t>Nguyễn Thị Việt Hòa</t>
  </si>
  <si>
    <t>Trần Văn Giáp</t>
  </si>
  <si>
    <t>Nguyễn Thị Thanh Nhàn</t>
  </si>
  <si>
    <t>12N</t>
  </si>
  <si>
    <t>12D</t>
  </si>
  <si>
    <t>1O</t>
  </si>
  <si>
    <t>N14</t>
  </si>
  <si>
    <t>O</t>
  </si>
  <si>
    <t>10N</t>
  </si>
  <si>
    <t>11N</t>
  </si>
  <si>
    <t>9N</t>
  </si>
  <si>
    <t>11D</t>
  </si>
  <si>
    <t>Ro</t>
  </si>
  <si>
    <t>P2</t>
  </si>
  <si>
    <t>p</t>
  </si>
  <si>
    <r>
      <rPr>
        <b/>
        <u/>
        <sz val="11"/>
        <rFont val="Times New Roman"/>
        <family val="1"/>
      </rPr>
      <t>Quy định:</t>
    </r>
    <r>
      <rPr>
        <b/>
        <sz val="11"/>
        <rFont val="Times New Roman"/>
        <family val="1"/>
      </rPr>
      <t xml:space="preserve"> </t>
    </r>
  </si>
  <si>
    <r>
      <t>N: làm việc trọn ngày;</t>
    </r>
    <r>
      <rPr>
        <b/>
        <sz val="10"/>
        <color theme="5" tint="-0.249977111117893"/>
        <rFont val="Times New Roman"/>
        <family val="1"/>
      </rPr>
      <t xml:space="preserve"> N+ký tự số: làm việc không trọn ngày</t>
    </r>
    <r>
      <rPr>
        <b/>
        <sz val="10"/>
        <rFont val="Times New Roman"/>
        <family val="1"/>
      </rPr>
      <t xml:space="preserve">; C: đi công tác; </t>
    </r>
    <r>
      <rPr>
        <b/>
        <sz val="10"/>
        <color theme="5" tint="-0.249977111117893"/>
        <rFont val="Times New Roman"/>
        <family val="1"/>
      </rPr>
      <t>C+ ký tự số: Công tác không trọn ngày</t>
    </r>
    <r>
      <rPr>
        <b/>
        <sz val="10"/>
        <rFont val="Times New Roman"/>
        <family val="1"/>
      </rPr>
      <t>;</t>
    </r>
  </si>
  <si>
    <r>
      <t xml:space="preserve">K: Nghỉ không hưởng lương, không phép; </t>
    </r>
    <r>
      <rPr>
        <b/>
        <sz val="10"/>
        <color theme="5" tint="-0.249977111117893"/>
        <rFont val="Times New Roman"/>
        <family val="1"/>
      </rPr>
      <t>Ro: Nghỉ không hưởng lương, có phép;</t>
    </r>
    <r>
      <rPr>
        <b/>
        <sz val="10"/>
        <rFont val="Times New Roman"/>
        <family val="1"/>
      </rPr>
      <t xml:space="preserve"> P: Nghỉ phép năm, có hưởng lương; </t>
    </r>
    <r>
      <rPr>
        <b/>
        <sz val="10"/>
        <color theme="5" tint="-0.249977111117893"/>
        <rFont val="Times New Roman"/>
        <family val="1"/>
      </rPr>
      <t>P1: Nghỉ phép năm 1/2 ngày, nghỉ không lương 1/2 ngày</t>
    </r>
    <r>
      <rPr>
        <b/>
        <sz val="10"/>
        <rFont val="Times New Roman"/>
        <family val="1"/>
      </rPr>
      <t xml:space="preserve">; P2: Nghỉ phép năm 1/2 ngày, làm việc 1/2 ngày; </t>
    </r>
  </si>
  <si>
    <r>
      <t xml:space="preserve">L: Nghỉ lễ; </t>
    </r>
    <r>
      <rPr>
        <b/>
        <sz val="10"/>
        <color theme="5" tint="-0.249977111117893"/>
        <rFont val="Times New Roman"/>
        <family val="1"/>
      </rPr>
      <t>NC: chế độ cưới hỏi</t>
    </r>
    <r>
      <rPr>
        <b/>
        <sz val="10"/>
        <rFont val="Times New Roman"/>
        <family val="1"/>
      </rPr>
      <t xml:space="preserve">; NT: Nghỉ tang; </t>
    </r>
    <r>
      <rPr>
        <b/>
        <sz val="10"/>
        <color theme="5" tint="-0.249977111117893"/>
        <rFont val="Times New Roman"/>
        <family val="1"/>
      </rPr>
      <t>O: Nghỉ ốm, hưởng trợ cấp ngày nghỉ do BHXH chi trả (nếu chứng từ hợp lệ)</t>
    </r>
    <r>
      <rPr>
        <b/>
        <sz val="10"/>
        <rFont val="Times New Roman"/>
        <family val="1"/>
      </rPr>
      <t xml:space="preserve">; TN: Tai nạn; Bu: Nghỉ bù trọn ngày; </t>
    </r>
    <r>
      <rPr>
        <b/>
        <sz val="10"/>
        <color theme="5" tint="-0.249977111117893"/>
        <rFont val="Times New Roman"/>
        <family val="1"/>
      </rPr>
      <t>Bu+ký tự số: Nghỉ bù không trọn ngày</t>
    </r>
  </si>
  <si>
    <t>Ngày làm việc trong tháng</t>
  </si>
  <si>
    <t>Công chuẩn</t>
  </si>
  <si>
    <t>GIỜ CÔNG CHUẨN</t>
  </si>
  <si>
    <t>Nghỉ không phép</t>
  </si>
  <si>
    <t>Tăng ca NT (h)</t>
  </si>
  <si>
    <t>Tăng ca CN (h)</t>
  </si>
  <si>
    <t>Tăng ca CN(h)</t>
  </si>
  <si>
    <t>Tăng ca  Lễ (h)</t>
  </si>
  <si>
    <t>Ngày</t>
  </si>
  <si>
    <t>Đêm</t>
  </si>
  <si>
    <t>Lễ 2/9</t>
  </si>
  <si>
    <t>BAN TỔNG GIÁM ĐỐC</t>
  </si>
  <si>
    <t>NV 001</t>
  </si>
  <si>
    <t>NV0901</t>
  </si>
  <si>
    <t>Nguyễn Trung Kiên</t>
  </si>
  <si>
    <t>NV1057</t>
  </si>
  <si>
    <t>Lê Thành Nhân</t>
  </si>
  <si>
    <t>Tháng nghỉ 02 ngày Thứ 7 bất kỳ</t>
  </si>
  <si>
    <t>Nguyễn Công Uẩn</t>
  </si>
  <si>
    <t>NV0002</t>
  </si>
  <si>
    <t>Nguyễn Thị Châu Linh</t>
  </si>
  <si>
    <t xml:space="preserve">HÀNH CHÍNH NHÂN SỰ </t>
  </si>
  <si>
    <t>Phòng Kinh doanh</t>
  </si>
  <si>
    <t>NV0011</t>
  </si>
  <si>
    <t>Lê Thành Danh</t>
  </si>
  <si>
    <t>NV1347</t>
  </si>
  <si>
    <t>Kim Thanh Tuấn</t>
  </si>
  <si>
    <t>NV0009</t>
  </si>
  <si>
    <t>Nguyễn Thị Liên</t>
  </si>
  <si>
    <t>NV0958</t>
  </si>
  <si>
    <t>Nguyễn Thị Hà</t>
  </si>
  <si>
    <t>NV1583</t>
  </si>
  <si>
    <t>Nguyễn Công Hậu</t>
  </si>
  <si>
    <t>NV1528</t>
  </si>
  <si>
    <t>Bùi Minh Vương</t>
  </si>
  <si>
    <t>Bùi Lê Hòa</t>
  </si>
  <si>
    <t>NV1591</t>
  </si>
  <si>
    <t>Nguyễn Thị Thanh Lam</t>
  </si>
  <si>
    <t>NV1678</t>
  </si>
  <si>
    <t>Nguyễn Khánh Hưng</t>
  </si>
  <si>
    <t>NV1737</t>
  </si>
  <si>
    <t>Liêu Bảo Thông</t>
  </si>
  <si>
    <t>CÔNG NGHỆ THÔNG TIN</t>
  </si>
  <si>
    <t>NV1458</t>
  </si>
  <si>
    <t>Ngô Vương Tuấn Kiệt</t>
  </si>
  <si>
    <t>Lê Trần Long Qui</t>
  </si>
  <si>
    <t>NV0010</t>
  </si>
  <si>
    <t>Nguyễn Trường Trung</t>
  </si>
  <si>
    <t>NV1345</t>
  </si>
  <si>
    <t>Trần Duy Luân</t>
  </si>
  <si>
    <t>NV1492</t>
  </si>
  <si>
    <t>Nguyễn Mỹ Cảnh</t>
  </si>
  <si>
    <t>NV1735</t>
  </si>
  <si>
    <t>Phan Thị Nguyên</t>
  </si>
  <si>
    <t>TTS1644</t>
  </si>
  <si>
    <t>Đặng Minh Chí</t>
  </si>
  <si>
    <t>KẾ TOÁN</t>
  </si>
  <si>
    <t>NV1241</t>
  </si>
  <si>
    <t>Tô Thị Mỹ Duyên</t>
  </si>
  <si>
    <t>NV1309</t>
  </si>
  <si>
    <t>Trần Anh Duy</t>
  </si>
  <si>
    <t>NV1159</t>
  </si>
  <si>
    <t>Trần Thị Thanh Chương</t>
  </si>
  <si>
    <t>NV1378</t>
  </si>
  <si>
    <t>Đào Khánh Duy</t>
  </si>
  <si>
    <t>KINH DOANH QUỐC TẾ</t>
  </si>
  <si>
    <t>NV1288</t>
  </si>
  <si>
    <t>Lee Yi Nuo</t>
  </si>
  <si>
    <t>NV0419</t>
  </si>
  <si>
    <t>Đỗ Thị Ngàn Thương</t>
  </si>
  <si>
    <t>NV0720</t>
  </si>
  <si>
    <t>Phạm Vũ Nhã Trúc</t>
  </si>
  <si>
    <t>NV1595</t>
  </si>
  <si>
    <t>Dương Nguyễn Thanh Trúc</t>
  </si>
  <si>
    <t>Nguyễn Đức Quang Minh</t>
  </si>
  <si>
    <t>NV1615</t>
  </si>
  <si>
    <t>Ngô Việt Thi</t>
  </si>
  <si>
    <t>NV0699</t>
  </si>
  <si>
    <t>NV1627</t>
  </si>
  <si>
    <t>Chu Thị Kim Nga</t>
  </si>
  <si>
    <t>KINH DOANH NỘI ĐỊA</t>
  </si>
  <si>
    <t>NV0904</t>
  </si>
  <si>
    <t>Trần Quang Dương</t>
  </si>
  <si>
    <t>NV0792</t>
  </si>
  <si>
    <t>Hà Thảo Vy</t>
  </si>
  <si>
    <t>NV0639</t>
  </si>
  <si>
    <t>Hồ Nguyễn Bảo Trâm</t>
  </si>
  <si>
    <t xml:space="preserve">Hồ Nguyễn Bảo Trâm </t>
  </si>
  <si>
    <t>NV0961</t>
  </si>
  <si>
    <t>Đoàn Văn Mạnh</t>
  </si>
  <si>
    <t>NV1318</t>
  </si>
  <si>
    <t xml:space="preserve">Vũ Thị Phương Loan </t>
  </si>
  <si>
    <t>PHÒNG CUNG ỨNG</t>
  </si>
  <si>
    <t>NV1165</t>
  </si>
  <si>
    <t>Y Nghe Knul</t>
  </si>
  <si>
    <t>NV0017</t>
  </si>
  <si>
    <t>Trương Thị Thảo Sương</t>
  </si>
  <si>
    <t>NV0963</t>
  </si>
  <si>
    <t>Nguyễn Thị Thu Hiền</t>
  </si>
  <si>
    <t>Nguyển Thị Thu Hiền</t>
  </si>
  <si>
    <t>NV0624</t>
  </si>
  <si>
    <t>Từ Thanh Hậu</t>
  </si>
  <si>
    <t>NV0043</t>
  </si>
  <si>
    <t>Hồ Thị Ngọc Trang</t>
  </si>
  <si>
    <t>NV1172</t>
  </si>
  <si>
    <t>Huỳnh Ngọc Tuấn</t>
  </si>
  <si>
    <t>NV0005</t>
  </si>
  <si>
    <t>Phạm Văn Trọng</t>
  </si>
  <si>
    <t>NV1270</t>
  </si>
  <si>
    <t>Nguyễn Thị Trúc Huy</t>
  </si>
  <si>
    <t>NV1462</t>
  </si>
  <si>
    <t>Nguyễn Cẩm Trúc</t>
  </si>
  <si>
    <t>PHÒNG KẾ HOẠCH</t>
  </si>
  <si>
    <t>NV0028</t>
  </si>
  <si>
    <t>Hồ Trọng Hùng</t>
  </si>
  <si>
    <t>NV1122</t>
  </si>
  <si>
    <t>Bùi Võ Thanh Ngân</t>
  </si>
  <si>
    <t>NV1672</t>
  </si>
  <si>
    <t>Võ Văn Lợi</t>
  </si>
  <si>
    <t>NV1673</t>
  </si>
  <si>
    <t>Lê Thị Bạch Tuyết</t>
  </si>
  <si>
    <t>NV1635</t>
  </si>
  <si>
    <t>Lê Thị Hồng Quyến</t>
  </si>
  <si>
    <t>Nguyễn Hoa Kim Chương</t>
  </si>
  <si>
    <t>VĂN PHÒNG SẢN XUẤT</t>
  </si>
  <si>
    <t>NV0916</t>
  </si>
  <si>
    <t>Nguyễn Thị Nẩn</t>
  </si>
  <si>
    <t>Nguyển Thị Nẩn</t>
  </si>
  <si>
    <t>NV1768</t>
  </si>
  <si>
    <t>Nguyễn Thị Kim Hoanh</t>
  </si>
  <si>
    <t>Phạm Văn Doãn</t>
  </si>
  <si>
    <t>NV0019</t>
  </si>
  <si>
    <t>NV1062</t>
  </si>
  <si>
    <t>Lê Thông</t>
  </si>
  <si>
    <t>NV0738</t>
  </si>
  <si>
    <t>Phạm Thành Luân</t>
  </si>
  <si>
    <t>NV0027</t>
  </si>
  <si>
    <t>NV0771</t>
  </si>
  <si>
    <t>Nguyễn Thị Yến Nhi</t>
  </si>
  <si>
    <t>NV1291</t>
  </si>
  <si>
    <t>Lê Văn Phụ</t>
  </si>
  <si>
    <t>NV1497</t>
  </si>
  <si>
    <t>Nguyễn Minh Tài</t>
  </si>
  <si>
    <t>NV1524</t>
  </si>
  <si>
    <t>Phạm Minh Nhựt</t>
  </si>
  <si>
    <t>NV1620</t>
  </si>
  <si>
    <t>Trần Lan Anh</t>
  </si>
  <si>
    <t>NV1677</t>
  </si>
  <si>
    <t>Nguyễn Viết Thanh Tùng</t>
  </si>
  <si>
    <t>NV1680</t>
  </si>
  <si>
    <t>Nguyễn Trọng Hoàng</t>
  </si>
  <si>
    <t>NV1736</t>
  </si>
  <si>
    <t>Trần Hồng Thủy</t>
  </si>
  <si>
    <t>NV1738</t>
  </si>
  <si>
    <t>Nguyễn Thành Trung</t>
  </si>
  <si>
    <t>PHÒNG QA - QC &amp; RD</t>
  </si>
  <si>
    <t>NV1160</t>
  </si>
  <si>
    <t>Anurag Sarin</t>
  </si>
  <si>
    <t>Anurag SaRin</t>
  </si>
  <si>
    <t>NV1272</t>
  </si>
  <si>
    <t>Nguyễn Thị Quyên</t>
  </si>
  <si>
    <t>NV0020</t>
  </si>
  <si>
    <t>Trịnh Văn Dũng</t>
  </si>
  <si>
    <t>Off thứ 7 full lương</t>
  </si>
  <si>
    <t>NV1679</t>
  </si>
  <si>
    <t>Trần Thị Ngọc Hân</t>
  </si>
  <si>
    <t>Nguyễn Thanh Sang</t>
  </si>
  <si>
    <t>NV0024</t>
  </si>
  <si>
    <t>NV0957</t>
  </si>
  <si>
    <t>Trần Thị Xuân Thùy</t>
  </si>
  <si>
    <t>NV0933</t>
  </si>
  <si>
    <t>Phùng Thị Thúy Quỳnh</t>
  </si>
  <si>
    <t>NV0863</t>
  </si>
  <si>
    <t>Đỗ Thị Kim Phượng</t>
  </si>
  <si>
    <t>CEO đã duyệt tăng ca thêm mỗi ngày 1 tiếng, theo tháng</t>
  </si>
  <si>
    <t>NV1357</t>
  </si>
  <si>
    <t>Phan Thúy Quyên</t>
  </si>
  <si>
    <t>NV1596</t>
  </si>
  <si>
    <t>Nguyễn Hoàng Hà</t>
  </si>
  <si>
    <t>CN1771</t>
  </si>
  <si>
    <t>Nguyễn Hữu Lộc</t>
  </si>
  <si>
    <t>PHÒNG CƠ ĐIỆN</t>
  </si>
  <si>
    <t>NV1049</t>
  </si>
  <si>
    <t>Nguyễn Tuấn Hiệp</t>
  </si>
  <si>
    <t>NV0032</t>
  </si>
  <si>
    <t>Huỳnh Ngọc Đến</t>
  </si>
  <si>
    <t>NV0034</t>
  </si>
  <si>
    <t>Huỳnh Ngọc Khánh</t>
  </si>
  <si>
    <t>NV0036</t>
  </si>
  <si>
    <t>Phạm Quốc Tuấn</t>
  </si>
  <si>
    <t>NV0038</t>
  </si>
  <si>
    <t>Lê Hoàng Việt</t>
  </si>
  <si>
    <t>NV0584</t>
  </si>
  <si>
    <t>Phùng Văn Quyền</t>
  </si>
  <si>
    <t>NV0603</t>
  </si>
  <si>
    <t>Hoàng Phi Hải</t>
  </si>
  <si>
    <t xml:space="preserve">Hoàng Phi Hải </t>
  </si>
  <si>
    <t>NV0643</t>
  </si>
  <si>
    <t>Nguyễn Văn Trắng</t>
  </si>
  <si>
    <t xml:space="preserve">Nguyễn Văn Trắng </t>
  </si>
  <si>
    <t>NV0917</t>
  </si>
  <si>
    <t>Hà Công Hậu</t>
  </si>
  <si>
    <t>NV1028</t>
  </si>
  <si>
    <t>Nguyễn Văn Doãn</t>
  </si>
  <si>
    <t>NV1145</t>
  </si>
  <si>
    <t>Trương Quang Phơn</t>
  </si>
  <si>
    <t>NV1306</t>
  </si>
  <si>
    <t>Bùi Minh Toàn</t>
  </si>
  <si>
    <t>NV1326</t>
  </si>
  <si>
    <t>Võ Thị Thùy Linh</t>
  </si>
  <si>
    <t>NV1580</t>
  </si>
  <si>
    <t>Huỳnh Minh Đồng</t>
  </si>
  <si>
    <t>NV1636</t>
  </si>
  <si>
    <t>Đặng Văn Bình</t>
  </si>
  <si>
    <t>NV1729</t>
  </si>
  <si>
    <t>Trần Minh Khoa</t>
  </si>
  <si>
    <t>Người lập</t>
  </si>
  <si>
    <t>Giám đốc Nhân sự</t>
  </si>
  <si>
    <t>Tổng giám đốc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</si>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</sst>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"/>
    <numFmt numFmtId="167" formatCode="dd"/>
    <numFmt numFmtId="168" formatCode="0.0"/>
    <numFmt numFmtId="169" formatCode="_(* #,##0.0_);_(* \(#,##0.0\);_(* &quot;-&quot;??_);_(@_)"/>
    <numFmt numFmtId="170" formatCode="_-* #,##0.0\ _₫_-;\-* #,##0.0\ _₫_-;_-* &quot;-&quot;??\ _₫_-;_-@_-"/>
    <numFmt numFmtId="171" formatCode="_(* #,##0.0_);_(* \(#,##0.0\);_(* &quot;-&quot;?_);_(@_)"/>
    <numFmt numFmtId="172" formatCode="_(* #,##0_);_(* \(#,##0\);_(* &quot;-&quot;??_);_(@_)"/>
  </numFmts>
  <fonts count="5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6"/>
      <color rgb="FF002060"/>
      <name val="Arial"/>
      <family val="2"/>
    </font>
    <font>
      <sz val="16"/>
      <color rgb="FF002060"/>
      <name val="Arial"/>
      <family val="2"/>
      <charset val="163"/>
    </font>
    <font>
      <sz val="11"/>
      <color indexed="8"/>
      <name val="Aptos Narrow"/>
      <family val="2"/>
      <scheme val="minor"/>
    </font>
    <font>
      <b/>
      <sz val="20"/>
      <name val="Times New Roman"/>
      <family val="1"/>
    </font>
    <font>
      <b/>
      <sz val="20"/>
      <color theme="0"/>
      <name val="Times New Roman"/>
      <family val="1"/>
    </font>
    <font>
      <sz val="15"/>
      <name val="Arial"/>
      <family val="2"/>
    </font>
    <font>
      <sz val="15"/>
      <name val="Arial"/>
      <family val="2"/>
      <charset val="163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5"/>
      <name val="Arial"/>
      <family val="2"/>
    </font>
    <font>
      <sz val="11"/>
      <color rgb="FFFF0000"/>
      <name val="Times New Roman"/>
      <family val="1"/>
      <charset val="163"/>
    </font>
    <font>
      <sz val="11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5"/>
      <color rgb="FFFF0000"/>
      <name val="Arial"/>
      <family val="2"/>
      <charset val="163"/>
    </font>
    <font>
      <b/>
      <sz val="11"/>
      <color theme="0"/>
      <name val="Cambria"/>
      <family val="1"/>
    </font>
    <font>
      <b/>
      <sz val="11"/>
      <color rgb="FFFFFF00"/>
      <name val="Cambria"/>
      <family val="1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name val="Arial"/>
      <family val="2"/>
      <charset val="163"/>
    </font>
    <font>
      <b/>
      <sz val="16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1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sz val="10"/>
      <color theme="0"/>
      <name val="Arial"/>
      <family val="2"/>
    </font>
    <font>
      <b/>
      <i/>
      <sz val="11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6"/>
      <color rgb="FFFF0000"/>
      <name val="Arial"/>
      <family val="2"/>
    </font>
    <font>
      <b/>
      <sz val="10"/>
      <name val="Arial"/>
      <family val="1"/>
    </font>
    <font>
      <b/>
      <u/>
      <sz val="11"/>
      <name val="Times New Roman"/>
      <family val="1"/>
    </font>
    <font>
      <b/>
      <sz val="10"/>
      <color theme="5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0"/>
      <color rgb="FFFF0000"/>
      <name val="Times New Roman"/>
      <family val="1"/>
      <charset val="163"/>
    </font>
    <font>
      <sz val="11"/>
      <color theme="0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</fills>
  <borders count="38">
    <border>
      <left/>
      <right/>
      <top/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2060"/>
      </right>
      <top style="medium">
        <color auto="1"/>
      </top>
      <bottom/>
      <diagonal/>
    </border>
    <border>
      <left style="medium">
        <color rgb="FF00206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auto="1"/>
      </right>
      <top/>
      <bottom style="medium">
        <color rgb="FF002060"/>
      </bottom>
      <diagonal/>
    </border>
    <border>
      <left style="thin">
        <color auto="1"/>
      </left>
      <right/>
      <top/>
      <bottom/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1" fillId="17" borderId="0" applyNumberFormat="0" applyBorder="0" applyAlignment="0" applyProtection="0"/>
  </cellStyleXfs>
  <cellXfs count="398">
    <xf numFmtId="0" fontId="0" fillId="0" borderId="0" xfId="0"/>
    <xf numFmtId="0" fontId="5" fillId="0" borderId="0" xfId="2" applyFont="1" applyAlignment="1">
      <alignment horizontal="center" vertical="center" wrapText="1"/>
    </xf>
    <xf numFmtId="165" fontId="5" fillId="0" borderId="0" xfId="3" applyNumberFormat="1" applyFont="1" applyBorder="1" applyAlignment="1">
      <alignment horizontal="center" vertical="center" wrapText="1"/>
    </xf>
    <xf numFmtId="0" fontId="2" fillId="0" borderId="0" xfId="2" applyFont="1" applyAlignment="1">
      <alignment vertical="center"/>
    </xf>
    <xf numFmtId="166" fontId="7" fillId="0" borderId="0" xfId="4" applyNumberFormat="1" applyFont="1" applyAlignment="1" applyProtection="1">
      <alignment vertical="center" wrapText="1"/>
      <protection locked="0"/>
    </xf>
    <xf numFmtId="14" fontId="8" fillId="0" borderId="0" xfId="4" applyNumberFormat="1" applyFont="1" applyAlignment="1" applyProtection="1">
      <alignment vertical="center" wrapText="1"/>
      <protection locked="0"/>
    </xf>
    <xf numFmtId="1" fontId="7" fillId="0" borderId="0" xfId="4" applyNumberFormat="1" applyFont="1" applyAlignment="1" applyProtection="1">
      <alignment vertical="center" wrapText="1"/>
      <protection locked="0"/>
    </xf>
    <xf numFmtId="2" fontId="9" fillId="0" borderId="0" xfId="5" applyNumberFormat="1" applyFont="1" applyFill="1" applyBorder="1" applyAlignment="1" applyProtection="1">
      <alignment vertical="center"/>
      <protection locked="0"/>
    </xf>
    <xf numFmtId="2" fontId="10" fillId="0" borderId="0" xfId="5" applyNumberFormat="1" applyFont="1" applyFill="1" applyBorder="1" applyAlignment="1" applyProtection="1">
      <alignment vertical="center"/>
      <protection locked="0"/>
    </xf>
    <xf numFmtId="165" fontId="10" fillId="0" borderId="0" xfId="3" applyNumberFormat="1" applyFont="1" applyFill="1" applyBorder="1" applyAlignment="1" applyProtection="1">
      <alignment horizontal="center" vertical="center"/>
      <protection locked="0"/>
    </xf>
    <xf numFmtId="0" fontId="9" fillId="0" borderId="0" xfId="4" applyFont="1" applyAlignment="1" applyProtection="1">
      <alignment vertical="center"/>
      <protection locked="0"/>
    </xf>
    <xf numFmtId="1" fontId="11" fillId="0" borderId="0" xfId="4" applyNumberFormat="1" applyFont="1" applyAlignment="1" applyProtection="1">
      <alignment vertical="center"/>
      <protection locked="0"/>
    </xf>
    <xf numFmtId="1" fontId="11" fillId="0" borderId="0" xfId="4" applyNumberFormat="1" applyFont="1" applyAlignment="1" applyProtection="1">
      <alignment horizontal="center" vertical="center"/>
      <protection locked="0"/>
    </xf>
    <xf numFmtId="1" fontId="12" fillId="0" borderId="0" xfId="4" applyNumberFormat="1" applyFont="1" applyAlignment="1" applyProtection="1">
      <alignment vertical="center"/>
      <protection locked="0"/>
    </xf>
    <xf numFmtId="1" fontId="13" fillId="0" borderId="0" xfId="4" applyNumberFormat="1" applyFont="1" applyAlignment="1" applyProtection="1">
      <alignment vertical="center"/>
      <protection locked="0"/>
    </xf>
    <xf numFmtId="1" fontId="14" fillId="0" borderId="0" xfId="4" applyNumberFormat="1" applyFont="1" applyAlignment="1" applyProtection="1">
      <alignment horizontal="center" vertical="center"/>
      <protection locked="0"/>
    </xf>
    <xf numFmtId="166" fontId="15" fillId="0" borderId="0" xfId="4" applyNumberFormat="1" applyFont="1" applyAlignment="1" applyProtection="1">
      <alignment horizontal="center" vertical="center"/>
      <protection locked="0"/>
    </xf>
    <xf numFmtId="2" fontId="9" fillId="0" borderId="0" xfId="5" applyNumberFormat="1" applyFont="1" applyFill="1" applyBorder="1" applyAlignment="1" applyProtection="1">
      <alignment vertical="center"/>
    </xf>
    <xf numFmtId="1" fontId="9" fillId="0" borderId="0" xfId="5" applyNumberFormat="1" applyFont="1" applyFill="1" applyBorder="1" applyAlignment="1" applyProtection="1">
      <alignment vertical="center"/>
    </xf>
    <xf numFmtId="43" fontId="9" fillId="0" borderId="0" xfId="5" applyFont="1" applyFill="1" applyBorder="1" applyAlignment="1" applyProtection="1">
      <alignment vertical="center"/>
    </xf>
    <xf numFmtId="1" fontId="16" fillId="0" borderId="0" xfId="4" applyNumberFormat="1" applyFont="1" applyAlignment="1" applyProtection="1">
      <alignment horizontal="center" vertical="center"/>
      <protection locked="0"/>
    </xf>
    <xf numFmtId="1" fontId="17" fillId="0" borderId="0" xfId="4" applyNumberFormat="1" applyFont="1" applyAlignment="1" applyProtection="1">
      <alignment horizontal="center" vertical="center"/>
      <protection locked="0"/>
    </xf>
    <xf numFmtId="165" fontId="16" fillId="0" borderId="0" xfId="3" applyNumberFormat="1" applyFont="1" applyBorder="1" applyAlignment="1" applyProtection="1">
      <alignment horizontal="center" vertical="center"/>
      <protection locked="0"/>
    </xf>
    <xf numFmtId="1" fontId="18" fillId="0" borderId="0" xfId="4" applyNumberFormat="1" applyFont="1" applyAlignment="1" applyProtection="1">
      <alignment horizontal="center" vertical="center"/>
      <protection locked="0"/>
    </xf>
    <xf numFmtId="0" fontId="19" fillId="0" borderId="0" xfId="4" applyFont="1" applyAlignment="1" applyProtection="1">
      <alignment horizontal="center" vertical="center"/>
      <protection locked="0"/>
    </xf>
    <xf numFmtId="0" fontId="20" fillId="2" borderId="16" xfId="4" applyFont="1" applyFill="1" applyBorder="1" applyAlignment="1" applyProtection="1">
      <alignment horizontal="center" vertical="center" wrapText="1"/>
      <protection locked="0"/>
    </xf>
    <xf numFmtId="0" fontId="20" fillId="2" borderId="16" xfId="4" applyFont="1" applyFill="1" applyBorder="1" applyAlignment="1">
      <alignment horizontal="center" vertical="center" wrapText="1"/>
    </xf>
    <xf numFmtId="0" fontId="3" fillId="0" borderId="0" xfId="4" applyAlignment="1" applyProtection="1">
      <alignment vertical="center"/>
      <protection locked="0"/>
    </xf>
    <xf numFmtId="167" fontId="20" fillId="2" borderId="7" xfId="4" applyNumberFormat="1" applyFont="1" applyFill="1" applyBorder="1" applyAlignment="1" applyProtection="1">
      <alignment horizontal="center" vertical="center" wrapText="1"/>
      <protection locked="0"/>
    </xf>
    <xf numFmtId="167" fontId="22" fillId="2" borderId="19" xfId="4" applyNumberFormat="1" applyFont="1" applyFill="1" applyBorder="1" applyAlignment="1" applyProtection="1">
      <alignment horizontal="center" vertical="center" wrapText="1"/>
      <protection locked="0"/>
    </xf>
    <xf numFmtId="0" fontId="20" fillId="2" borderId="7" xfId="4" applyFont="1" applyFill="1" applyBorder="1" applyAlignment="1" applyProtection="1">
      <alignment horizontal="center" vertical="center" textRotation="90" wrapText="1"/>
      <protection locked="0"/>
    </xf>
    <xf numFmtId="0" fontId="3" fillId="0" borderId="0" xfId="4" applyAlignment="1" applyProtection="1">
      <alignment vertical="center" wrapText="1"/>
      <protection locked="0"/>
    </xf>
    <xf numFmtId="1" fontId="3" fillId="0" borderId="6" xfId="4" applyNumberFormat="1" applyBorder="1" applyAlignment="1" applyProtection="1">
      <alignment horizontal="center" vertical="center"/>
      <protection locked="0"/>
    </xf>
    <xf numFmtId="1" fontId="3" fillId="0" borderId="7" xfId="4" applyNumberFormat="1" applyBorder="1" applyAlignment="1" applyProtection="1">
      <alignment horizontal="center" vertical="center"/>
      <protection locked="0"/>
    </xf>
    <xf numFmtId="1" fontId="23" fillId="0" borderId="7" xfId="4" applyNumberFormat="1" applyFont="1" applyBorder="1" applyAlignment="1" applyProtection="1">
      <alignment horizontal="center" vertical="center"/>
      <protection locked="0"/>
    </xf>
    <xf numFmtId="1" fontId="3" fillId="0" borderId="20" xfId="4" applyNumberFormat="1" applyBorder="1" applyAlignment="1" applyProtection="1">
      <alignment horizontal="center" vertical="center"/>
      <protection locked="0"/>
    </xf>
    <xf numFmtId="1" fontId="3" fillId="0" borderId="20" xfId="4" applyNumberFormat="1" applyBorder="1" applyAlignment="1">
      <alignment horizontal="center" vertical="center"/>
    </xf>
    <xf numFmtId="1" fontId="24" fillId="0" borderId="0" xfId="4" applyNumberFormat="1" applyFont="1" applyAlignment="1" applyProtection="1">
      <alignment horizontal="center" vertical="center"/>
      <protection locked="0"/>
    </xf>
    <xf numFmtId="165" fontId="24" fillId="0" borderId="0" xfId="3" applyNumberFormat="1" applyFont="1" applyBorder="1" applyAlignment="1" applyProtection="1">
      <alignment horizontal="center" vertical="center"/>
      <protection locked="0"/>
    </xf>
    <xf numFmtId="0" fontId="14" fillId="6" borderId="7" xfId="4" applyFont="1" applyFill="1" applyBorder="1" applyAlignment="1" applyProtection="1">
      <alignment horizontal="left" vertical="center" wrapText="1"/>
      <protection locked="0"/>
    </xf>
    <xf numFmtId="166" fontId="14" fillId="6" borderId="7" xfId="4" applyNumberFormat="1" applyFont="1" applyFill="1" applyBorder="1" applyAlignment="1" applyProtection="1">
      <alignment horizontal="left" vertical="center" wrapText="1"/>
      <protection locked="0"/>
    </xf>
    <xf numFmtId="43" fontId="14" fillId="6" borderId="7" xfId="5" applyFont="1" applyFill="1" applyBorder="1" applyAlignment="1" applyProtection="1">
      <alignment horizontal="left" vertical="center" wrapText="1"/>
      <protection locked="0"/>
    </xf>
    <xf numFmtId="166" fontId="14" fillId="6" borderId="20" xfId="4" applyNumberFormat="1" applyFont="1" applyFill="1" applyBorder="1" applyAlignment="1" applyProtection="1">
      <alignment horizontal="left" vertical="center" wrapText="1"/>
      <protection locked="0"/>
    </xf>
    <xf numFmtId="166" fontId="14" fillId="6" borderId="20" xfId="4" applyNumberFormat="1" applyFont="1" applyFill="1" applyBorder="1" applyAlignment="1">
      <alignment horizontal="left" vertical="center" wrapText="1"/>
    </xf>
    <xf numFmtId="166" fontId="24" fillId="6" borderId="0" xfId="4" applyNumberFormat="1" applyFont="1" applyFill="1" applyAlignment="1" applyProtection="1">
      <alignment horizontal="left" vertical="center" wrapText="1"/>
      <protection locked="0"/>
    </xf>
    <xf numFmtId="165" fontId="24" fillId="6" borderId="0" xfId="3" applyNumberFormat="1" applyFont="1" applyFill="1" applyBorder="1" applyAlignment="1" applyProtection="1">
      <alignment horizontal="center" vertical="center" wrapText="1"/>
      <protection locked="0"/>
    </xf>
    <xf numFmtId="0" fontId="14" fillId="7" borderId="7" xfId="4" applyFont="1" applyFill="1" applyBorder="1" applyAlignment="1" applyProtection="1">
      <alignment horizontal="left" vertical="center" wrapText="1"/>
      <protection locked="0"/>
    </xf>
    <xf numFmtId="166" fontId="14" fillId="7" borderId="7" xfId="4" applyNumberFormat="1" applyFont="1" applyFill="1" applyBorder="1" applyAlignment="1" applyProtection="1">
      <alignment horizontal="left" vertical="center" wrapText="1"/>
      <protection locked="0"/>
    </xf>
    <xf numFmtId="166" fontId="14" fillId="7" borderId="20" xfId="4" applyNumberFormat="1" applyFont="1" applyFill="1" applyBorder="1" applyAlignment="1" applyProtection="1">
      <alignment horizontal="left" vertical="center" wrapText="1"/>
      <protection locked="0"/>
    </xf>
    <xf numFmtId="166" fontId="14" fillId="7" borderId="20" xfId="4" applyNumberFormat="1" applyFont="1" applyFill="1" applyBorder="1" applyAlignment="1">
      <alignment horizontal="left" vertical="center" wrapText="1"/>
    </xf>
    <xf numFmtId="166" fontId="24" fillId="7" borderId="0" xfId="4" applyNumberFormat="1" applyFont="1" applyFill="1" applyAlignment="1" applyProtection="1">
      <alignment horizontal="left" vertical="center" wrapText="1"/>
      <protection locked="0"/>
    </xf>
    <xf numFmtId="165" fontId="24" fillId="7" borderId="0" xfId="3" applyNumberFormat="1" applyFont="1" applyFill="1" applyBorder="1" applyAlignment="1" applyProtection="1">
      <alignment horizontal="center" vertical="center" wrapText="1"/>
      <protection locked="0"/>
    </xf>
    <xf numFmtId="1" fontId="3" fillId="7" borderId="0" xfId="4" applyNumberFormat="1" applyFill="1" applyAlignment="1" applyProtection="1">
      <alignment vertical="center"/>
      <protection locked="0"/>
    </xf>
    <xf numFmtId="0" fontId="3" fillId="7" borderId="0" xfId="4" applyFill="1" applyAlignment="1" applyProtection="1">
      <alignment vertical="center"/>
      <protection locked="0"/>
    </xf>
    <xf numFmtId="14" fontId="3" fillId="7" borderId="0" xfId="4" applyNumberFormat="1" applyFill="1" applyAlignment="1" applyProtection="1">
      <alignment vertical="center"/>
      <protection locked="0"/>
    </xf>
    <xf numFmtId="0" fontId="3" fillId="8" borderId="7" xfId="4" applyFill="1" applyBorder="1" applyAlignment="1">
      <alignment vertical="center"/>
    </xf>
    <xf numFmtId="14" fontId="3" fillId="0" borderId="7" xfId="4" applyNumberFormat="1" applyBorder="1" applyAlignment="1">
      <alignment horizontal="left" vertical="center"/>
    </xf>
    <xf numFmtId="0" fontId="14" fillId="9" borderId="7" xfId="4" quotePrefix="1" applyFont="1" applyFill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169" fontId="3" fillId="0" borderId="7" xfId="5" applyNumberFormat="1" applyFont="1" applyFill="1" applyBorder="1" applyAlignment="1" applyProtection="1">
      <alignment horizontal="center" vertical="center"/>
      <protection locked="0"/>
    </xf>
    <xf numFmtId="166" fontId="14" fillId="0" borderId="7" xfId="5" applyNumberFormat="1" applyFont="1" applyFill="1" applyBorder="1" applyAlignment="1" applyProtection="1">
      <alignment horizontal="center" vertical="center"/>
    </xf>
    <xf numFmtId="169" fontId="14" fillId="0" borderId="7" xfId="5" applyNumberFormat="1" applyFont="1" applyFill="1" applyBorder="1" applyAlignment="1" applyProtection="1">
      <alignment horizontal="center" vertical="center"/>
      <protection locked="0"/>
    </xf>
    <xf numFmtId="170" fontId="14" fillId="0" borderId="7" xfId="6" applyNumberFormat="1" applyFont="1" applyFill="1" applyBorder="1" applyAlignment="1" applyProtection="1">
      <alignment vertical="center"/>
    </xf>
    <xf numFmtId="43" fontId="14" fillId="0" borderId="7" xfId="1" applyFont="1" applyFill="1" applyBorder="1" applyAlignment="1" applyProtection="1">
      <alignment vertical="center"/>
    </xf>
    <xf numFmtId="171" fontId="14" fillId="0" borderId="7" xfId="5" applyNumberFormat="1" applyFont="1" applyFill="1" applyBorder="1" applyAlignment="1" applyProtection="1">
      <alignment horizontal="center" vertical="center"/>
    </xf>
    <xf numFmtId="169" fontId="14" fillId="9" borderId="7" xfId="5" applyNumberFormat="1" applyFont="1" applyFill="1" applyBorder="1" applyAlignment="1" applyProtection="1">
      <alignment horizontal="center" vertical="center"/>
    </xf>
    <xf numFmtId="169" fontId="14" fillId="0" borderId="7" xfId="4" applyNumberFormat="1" applyFont="1" applyBorder="1" applyAlignment="1" applyProtection="1">
      <alignment vertical="center"/>
      <protection locked="0"/>
    </xf>
    <xf numFmtId="172" fontId="3" fillId="0" borderId="20" xfId="4" applyNumberFormat="1" applyBorder="1" applyAlignment="1" applyProtection="1">
      <alignment vertical="center"/>
      <protection locked="0"/>
    </xf>
    <xf numFmtId="172" fontId="25" fillId="0" borderId="20" xfId="4" applyNumberFormat="1" applyFont="1" applyBorder="1" applyAlignment="1" applyProtection="1">
      <alignment vertical="center"/>
      <protection locked="0"/>
    </xf>
    <xf numFmtId="169" fontId="14" fillId="10" borderId="19" xfId="7" applyNumberFormat="1" applyFont="1" applyFill="1" applyBorder="1" applyAlignment="1" applyProtection="1">
      <alignment horizontal="center" vertical="center"/>
    </xf>
    <xf numFmtId="172" fontId="3" fillId="11" borderId="20" xfId="4" applyNumberFormat="1" applyFill="1" applyBorder="1" applyAlignment="1" applyProtection="1">
      <alignment vertical="center"/>
      <protection locked="0"/>
    </xf>
    <xf numFmtId="0" fontId="2" fillId="9" borderId="0" xfId="4" quotePrefix="1" applyFont="1" applyFill="1" applyAlignment="1">
      <alignment horizontal="center" vertical="center"/>
    </xf>
    <xf numFmtId="165" fontId="2" fillId="9" borderId="0" xfId="3" quotePrefix="1" applyNumberFormat="1" applyFont="1" applyFill="1" applyBorder="1" applyAlignment="1">
      <alignment horizontal="center" vertical="center"/>
    </xf>
    <xf numFmtId="1" fontId="2" fillId="7" borderId="0" xfId="4" applyNumberFormat="1" applyFont="1" applyFill="1" applyAlignment="1" applyProtection="1">
      <alignment vertical="center"/>
      <protection locked="0"/>
    </xf>
    <xf numFmtId="1" fontId="2" fillId="0" borderId="0" xfId="4" applyNumberFormat="1" applyFont="1" applyAlignment="1" applyProtection="1">
      <alignment vertical="center"/>
      <protection locked="0"/>
    </xf>
    <xf numFmtId="166" fontId="2" fillId="0" borderId="0" xfId="4" applyNumberFormat="1" applyFont="1" applyAlignment="1" applyProtection="1">
      <alignment vertical="center"/>
      <protection locked="0"/>
    </xf>
    <xf numFmtId="0" fontId="2" fillId="0" borderId="0" xfId="4" applyFont="1" applyAlignment="1" applyProtection="1">
      <alignment vertical="center"/>
      <protection locked="0"/>
    </xf>
    <xf numFmtId="172" fontId="2" fillId="0" borderId="19" xfId="1" applyNumberFormat="1" applyFont="1" applyBorder="1" applyAlignment="1" applyProtection="1">
      <alignment vertical="center"/>
      <protection locked="0"/>
    </xf>
    <xf numFmtId="1" fontId="3" fillId="9" borderId="7" xfId="4" applyNumberFormat="1" applyFill="1" applyBorder="1" applyAlignment="1" applyProtection="1">
      <alignment horizontal="center" vertical="center"/>
      <protection locked="0"/>
    </xf>
    <xf numFmtId="14" fontId="3" fillId="9" borderId="7" xfId="4" applyNumberFormat="1" applyFill="1" applyBorder="1" applyAlignment="1">
      <alignment horizontal="left" vertical="center"/>
    </xf>
    <xf numFmtId="169" fontId="14" fillId="0" borderId="7" xfId="5" applyNumberFormat="1" applyFont="1" applyFill="1" applyBorder="1" applyAlignment="1" applyProtection="1">
      <alignment vertical="center"/>
    </xf>
    <xf numFmtId="43" fontId="14" fillId="7" borderId="7" xfId="1" applyFont="1" applyFill="1" applyBorder="1" applyAlignment="1" applyProtection="1">
      <alignment horizontal="left" vertical="center" wrapText="1"/>
      <protection locked="0"/>
    </xf>
    <xf numFmtId="0" fontId="14" fillId="7" borderId="7" xfId="4" applyFont="1" applyFill="1" applyBorder="1" applyAlignment="1">
      <alignment horizontal="left" vertical="center" wrapText="1"/>
    </xf>
    <xf numFmtId="0" fontId="2" fillId="7" borderId="0" xfId="4" applyFont="1" applyFill="1" applyAlignment="1" applyProtection="1">
      <alignment horizontal="left" vertical="center" wrapText="1"/>
      <protection locked="0"/>
    </xf>
    <xf numFmtId="0" fontId="2" fillId="7" borderId="0" xfId="4" applyFont="1" applyFill="1" applyAlignment="1" applyProtection="1">
      <alignment vertical="center"/>
      <protection locked="0"/>
    </xf>
    <xf numFmtId="0" fontId="14" fillId="0" borderId="7" xfId="4" quotePrefix="1" applyFont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43" fontId="25" fillId="0" borderId="20" xfId="1" applyFont="1" applyFill="1" applyBorder="1" applyAlignment="1" applyProtection="1">
      <alignment vertical="center"/>
      <protection locked="0"/>
    </xf>
    <xf numFmtId="1" fontId="3" fillId="0" borderId="19" xfId="4" applyNumberFormat="1" applyBorder="1" applyAlignment="1" applyProtection="1">
      <alignment horizontal="center" vertical="center"/>
      <protection locked="0"/>
    </xf>
    <xf numFmtId="0" fontId="3" fillId="8" borderId="19" xfId="4" applyFill="1" applyBorder="1" applyAlignment="1">
      <alignment vertical="center"/>
    </xf>
    <xf numFmtId="14" fontId="3" fillId="0" borderId="19" xfId="4" quotePrefix="1" applyNumberFormat="1" applyBorder="1" applyAlignment="1">
      <alignment horizontal="left" vertical="center"/>
    </xf>
    <xf numFmtId="0" fontId="14" fillId="9" borderId="21" xfId="4" quotePrefix="1" applyFont="1" applyFill="1" applyBorder="1" applyAlignment="1">
      <alignment horizontal="center" vertical="center"/>
    </xf>
    <xf numFmtId="0" fontId="2" fillId="7" borderId="0" xfId="4" applyFont="1" applyFill="1" applyAlignment="1" applyProtection="1">
      <alignment horizontal="center" vertical="center" wrapText="1"/>
      <protection locked="0"/>
    </xf>
    <xf numFmtId="43" fontId="14" fillId="0" borderId="7" xfId="5" applyFont="1" applyFill="1" applyBorder="1" applyAlignment="1" applyProtection="1">
      <alignment horizontal="center" vertical="center"/>
    </xf>
    <xf numFmtId="169" fontId="25" fillId="0" borderId="20" xfId="4" applyNumberFormat="1" applyFont="1" applyBorder="1" applyAlignment="1" applyProtection="1">
      <alignment vertical="center"/>
      <protection locked="0"/>
    </xf>
    <xf numFmtId="0" fontId="3" fillId="9" borderId="7" xfId="2" applyFont="1" applyFill="1" applyBorder="1" applyAlignment="1">
      <alignment horizontal="center" vertical="center"/>
    </xf>
    <xf numFmtId="0" fontId="26" fillId="7" borderId="0" xfId="4" applyFont="1" applyFill="1" applyAlignment="1" applyProtection="1">
      <alignment horizontal="left" vertical="center" wrapText="1"/>
      <protection locked="0"/>
    </xf>
    <xf numFmtId="0" fontId="26" fillId="9" borderId="19" xfId="4" quotePrefix="1" applyFont="1" applyFill="1" applyBorder="1" applyAlignment="1">
      <alignment horizontal="center" vertical="center"/>
    </xf>
    <xf numFmtId="0" fontId="27" fillId="9" borderId="19" xfId="4" quotePrefix="1" applyFont="1" applyFill="1" applyBorder="1" applyAlignment="1">
      <alignment horizontal="center" vertical="center"/>
    </xf>
    <xf numFmtId="172" fontId="28" fillId="0" borderId="20" xfId="4" applyNumberFormat="1" applyFont="1" applyBorder="1" applyAlignment="1" applyProtection="1">
      <alignment vertical="center"/>
      <protection locked="0"/>
    </xf>
    <xf numFmtId="0" fontId="14" fillId="9" borderId="19" xfId="4" quotePrefix="1" applyFont="1" applyFill="1" applyBorder="1" applyAlignment="1">
      <alignment horizontal="center" vertical="center"/>
    </xf>
    <xf numFmtId="171" fontId="14" fillId="13" borderId="7" xfId="5" applyNumberFormat="1" applyFont="1" applyFill="1" applyBorder="1" applyAlignment="1" applyProtection="1">
      <alignment horizontal="center" vertical="center"/>
    </xf>
    <xf numFmtId="0" fontId="14" fillId="9" borderId="16" xfId="4" quotePrefix="1" applyFont="1" applyFill="1" applyBorder="1" applyAlignment="1">
      <alignment horizontal="center" vertical="center"/>
    </xf>
    <xf numFmtId="0" fontId="14" fillId="0" borderId="19" xfId="4" quotePrefix="1" applyFont="1" applyBorder="1" applyAlignment="1">
      <alignment horizontal="center" vertical="center"/>
    </xf>
    <xf numFmtId="171" fontId="14" fillId="14" borderId="7" xfId="5" applyNumberFormat="1" applyFont="1" applyFill="1" applyBorder="1" applyAlignment="1" applyProtection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8" borderId="7" xfId="2" applyFont="1" applyFill="1" applyBorder="1" applyAlignment="1">
      <alignment vertical="center"/>
    </xf>
    <xf numFmtId="14" fontId="3" fillId="0" borderId="7" xfId="4" applyNumberFormat="1" applyBorder="1" applyAlignment="1" applyProtection="1">
      <alignment horizontal="center" vertical="center"/>
      <protection locked="0"/>
    </xf>
    <xf numFmtId="0" fontId="3" fillId="0" borderId="22" xfId="2" applyFont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0" fontId="3" fillId="8" borderId="23" xfId="2" applyFont="1" applyFill="1" applyBorder="1" applyAlignment="1">
      <alignment vertical="center"/>
    </xf>
    <xf numFmtId="0" fontId="3" fillId="8" borderId="7" xfId="4" applyFill="1" applyBorder="1" applyAlignment="1">
      <alignment horizontal="left" vertical="center"/>
    </xf>
    <xf numFmtId="0" fontId="14" fillId="9" borderId="7" xfId="4" applyFont="1" applyFill="1" applyBorder="1" applyAlignment="1" applyProtection="1">
      <alignment horizontal="center" vertical="center" wrapText="1"/>
      <protection locked="0"/>
    </xf>
    <xf numFmtId="0" fontId="14" fillId="9" borderId="7" xfId="4" applyFont="1" applyFill="1" applyBorder="1" applyAlignment="1">
      <alignment horizontal="left" vertical="center" wrapText="1"/>
    </xf>
    <xf numFmtId="0" fontId="2" fillId="9" borderId="0" xfId="4" applyFont="1" applyFill="1" applyAlignment="1" applyProtection="1">
      <alignment vertical="center"/>
      <protection locked="0"/>
    </xf>
    <xf numFmtId="1" fontId="3" fillId="9" borderId="19" xfId="4" applyNumberFormat="1" applyFill="1" applyBorder="1" applyAlignment="1" applyProtection="1">
      <alignment horizontal="center" vertical="center"/>
      <protection locked="0"/>
    </xf>
    <xf numFmtId="165" fontId="2" fillId="13" borderId="0" xfId="3" quotePrefix="1" applyNumberFormat="1" applyFont="1" applyFill="1" applyBorder="1" applyAlignment="1">
      <alignment horizontal="center" vertical="center"/>
    </xf>
    <xf numFmtId="1" fontId="2" fillId="13" borderId="0" xfId="4" applyNumberFormat="1" applyFont="1" applyFill="1" applyAlignment="1" applyProtection="1">
      <alignment vertical="center"/>
      <protection locked="0"/>
    </xf>
    <xf numFmtId="0" fontId="2" fillId="13" borderId="0" xfId="4" applyFont="1" applyFill="1" applyAlignment="1" applyProtection="1">
      <alignment vertical="center"/>
      <protection locked="0"/>
    </xf>
    <xf numFmtId="166" fontId="2" fillId="13" borderId="0" xfId="4" applyNumberFormat="1" applyFont="1" applyFill="1" applyAlignment="1" applyProtection="1">
      <alignment vertical="center"/>
      <protection locked="0"/>
    </xf>
    <xf numFmtId="14" fontId="3" fillId="0" borderId="7" xfId="4" quotePrefix="1" applyNumberFormat="1" applyBorder="1" applyAlignment="1">
      <alignment horizontal="left" vertical="center"/>
    </xf>
    <xf numFmtId="1" fontId="3" fillId="0" borderId="22" xfId="4" applyNumberFormat="1" applyBorder="1" applyAlignment="1" applyProtection="1">
      <alignment horizontal="center" vertical="center"/>
      <protection locked="0"/>
    </xf>
    <xf numFmtId="0" fontId="3" fillId="8" borderId="22" xfId="4" applyFill="1" applyBorder="1" applyAlignment="1">
      <alignment vertical="center"/>
    </xf>
    <xf numFmtId="14" fontId="3" fillId="0" borderId="22" xfId="4" quotePrefix="1" applyNumberFormat="1" applyBorder="1" applyAlignment="1">
      <alignment horizontal="left" vertical="center"/>
    </xf>
    <xf numFmtId="0" fontId="29" fillId="0" borderId="24" xfId="0" applyFont="1" applyBorder="1" applyAlignment="1">
      <alignment horizontal="center" vertical="center"/>
    </xf>
    <xf numFmtId="14" fontId="3" fillId="0" borderId="7" xfId="4" applyNumberFormat="1" applyBorder="1" applyAlignment="1">
      <alignment horizontal="center" vertical="center"/>
    </xf>
    <xf numFmtId="0" fontId="3" fillId="8" borderId="19" xfId="4" applyFill="1" applyBorder="1" applyAlignment="1">
      <alignment horizontal="left" vertical="center"/>
    </xf>
    <xf numFmtId="14" fontId="3" fillId="0" borderId="19" xfId="4" applyNumberFormat="1" applyBorder="1" applyAlignment="1">
      <alignment horizontal="left" vertical="center"/>
    </xf>
    <xf numFmtId="0" fontId="14" fillId="0" borderId="21" xfId="4" quotePrefix="1" applyFont="1" applyBorder="1" applyAlignment="1">
      <alignment horizontal="center" vertical="center"/>
    </xf>
    <xf numFmtId="14" fontId="3" fillId="9" borderId="19" xfId="4" applyNumberFormat="1" applyFill="1" applyBorder="1" applyAlignment="1">
      <alignment horizontal="left" vertical="center"/>
    </xf>
    <xf numFmtId="0" fontId="29" fillId="9" borderId="19" xfId="2" applyFont="1" applyFill="1" applyBorder="1" applyAlignment="1">
      <alignment horizontal="center" vertical="center"/>
    </xf>
    <xf numFmtId="0" fontId="29" fillId="8" borderId="19" xfId="2" applyFont="1" applyFill="1" applyBorder="1" applyAlignment="1">
      <alignment vertical="center"/>
    </xf>
    <xf numFmtId="14" fontId="29" fillId="9" borderId="19" xfId="2" applyNumberFormat="1" applyFont="1" applyFill="1" applyBorder="1" applyAlignment="1">
      <alignment horizontal="center" vertical="center"/>
    </xf>
    <xf numFmtId="0" fontId="3" fillId="9" borderId="19" xfId="2" applyFont="1" applyFill="1" applyBorder="1" applyAlignment="1">
      <alignment horizontal="center" vertical="center"/>
    </xf>
    <xf numFmtId="14" fontId="29" fillId="0" borderId="19" xfId="2" applyNumberFormat="1" applyFont="1" applyBorder="1" applyAlignment="1">
      <alignment horizontal="center" vertical="center"/>
    </xf>
    <xf numFmtId="0" fontId="26" fillId="0" borderId="19" xfId="4" quotePrefix="1" applyFont="1" applyBorder="1" applyAlignment="1">
      <alignment horizontal="center" vertical="center"/>
    </xf>
    <xf numFmtId="0" fontId="3" fillId="8" borderId="19" xfId="2" applyFont="1" applyFill="1" applyBorder="1" applyAlignment="1">
      <alignment horizontal="left" vertical="center"/>
    </xf>
    <xf numFmtId="0" fontId="3" fillId="8" borderId="19" xfId="2" applyFont="1" applyFill="1" applyBorder="1" applyAlignment="1">
      <alignment vertical="center"/>
    </xf>
    <xf numFmtId="14" fontId="3" fillId="0" borderId="19" xfId="2" applyNumberFormat="1" applyFont="1" applyBorder="1" applyAlignment="1">
      <alignment horizontal="center" vertical="center"/>
    </xf>
    <xf numFmtId="172" fontId="30" fillId="6" borderId="7" xfId="1" applyNumberFormat="1" applyFont="1" applyFill="1" applyBorder="1" applyAlignment="1" applyProtection="1">
      <alignment horizontal="left" vertical="center" wrapText="1"/>
      <protection locked="0"/>
    </xf>
    <xf numFmtId="43" fontId="30" fillId="6" borderId="20" xfId="1" applyFont="1" applyFill="1" applyBorder="1" applyAlignment="1" applyProtection="1">
      <alignment horizontal="left" vertical="center" wrapText="1"/>
      <protection locked="0"/>
    </xf>
    <xf numFmtId="172" fontId="31" fillId="0" borderId="0" xfId="1" applyNumberFormat="1" applyFont="1" applyBorder="1" applyAlignment="1" applyProtection="1">
      <alignment vertical="center"/>
      <protection locked="0"/>
    </xf>
    <xf numFmtId="172" fontId="31" fillId="0" borderId="0" xfId="1" applyNumberFormat="1" applyFont="1" applyBorder="1" applyAlignment="1" applyProtection="1">
      <alignment horizontal="center" vertical="center"/>
      <protection locked="0"/>
    </xf>
    <xf numFmtId="172" fontId="31" fillId="0" borderId="0" xfId="1" applyNumberFormat="1" applyFont="1" applyAlignment="1" applyProtection="1">
      <alignment vertical="center"/>
      <protection locked="0"/>
    </xf>
    <xf numFmtId="0" fontId="3" fillId="0" borderId="0" xfId="4" applyAlignment="1" applyProtection="1">
      <alignment horizontal="center" vertical="center"/>
      <protection locked="0"/>
    </xf>
    <xf numFmtId="0" fontId="23" fillId="0" borderId="0" xfId="4" applyFont="1" applyAlignment="1" applyProtection="1">
      <alignment vertical="center"/>
      <protection locked="0"/>
    </xf>
    <xf numFmtId="0" fontId="29" fillId="0" borderId="0" xfId="4" applyFont="1" applyAlignment="1" applyProtection="1">
      <alignment horizontal="center" vertical="center"/>
      <protection locked="0"/>
    </xf>
    <xf numFmtId="0" fontId="32" fillId="0" borderId="0" xfId="4" applyFont="1" applyAlignment="1" applyProtection="1">
      <alignment horizontal="center" vertical="center"/>
      <protection locked="0"/>
    </xf>
    <xf numFmtId="0" fontId="33" fillId="0" borderId="0" xfId="4" applyFont="1" applyAlignment="1" applyProtection="1">
      <alignment horizontal="center" vertical="center"/>
      <protection locked="0"/>
    </xf>
    <xf numFmtId="166" fontId="32" fillId="0" borderId="0" xfId="4" applyNumberFormat="1" applyFont="1" applyAlignment="1" applyProtection="1">
      <alignment horizontal="center" vertical="center"/>
      <protection locked="0"/>
    </xf>
    <xf numFmtId="0" fontId="30" fillId="0" borderId="0" xfId="4" applyFont="1" applyAlignment="1" applyProtection="1">
      <alignment vertical="center"/>
      <protection locked="0"/>
    </xf>
    <xf numFmtId="166" fontId="3" fillId="0" borderId="0" xfId="4" applyNumberFormat="1" applyAlignment="1" applyProtection="1">
      <alignment vertical="center"/>
      <protection locked="0"/>
    </xf>
    <xf numFmtId="1" fontId="3" fillId="0" borderId="0" xfId="4" applyNumberFormat="1" applyAlignment="1" applyProtection="1">
      <alignment horizontal="center" vertical="center"/>
      <protection locked="0"/>
    </xf>
    <xf numFmtId="43" fontId="32" fillId="0" borderId="0" xfId="4" applyNumberFormat="1" applyFont="1" applyAlignment="1" applyProtection="1">
      <alignment horizontal="center" vertical="center"/>
      <protection locked="0"/>
    </xf>
    <xf numFmtId="172" fontId="32" fillId="0" borderId="0" xfId="4" applyNumberFormat="1" applyFont="1" applyAlignment="1" applyProtection="1">
      <alignment horizontal="center" vertical="center"/>
      <protection locked="0"/>
    </xf>
    <xf numFmtId="1" fontId="34" fillId="0" borderId="0" xfId="4" applyNumberFormat="1" applyFont="1" applyAlignment="1" applyProtection="1">
      <alignment horizontal="center" vertical="center"/>
      <protection locked="0"/>
    </xf>
    <xf numFmtId="0" fontId="35" fillId="0" borderId="0" xfId="4" applyFont="1" applyAlignment="1">
      <alignment vertical="center"/>
    </xf>
    <xf numFmtId="0" fontId="35" fillId="0" borderId="0" xfId="4" applyFont="1" applyAlignment="1">
      <alignment horizontal="center" vertical="center"/>
    </xf>
    <xf numFmtId="14" fontId="3" fillId="0" borderId="0" xfId="4" applyNumberFormat="1" applyAlignment="1">
      <alignment horizontal="left" vertical="center"/>
    </xf>
    <xf numFmtId="169" fontId="29" fillId="0" borderId="0" xfId="5" applyNumberFormat="1" applyFont="1" applyFill="1" applyBorder="1" applyAlignment="1" applyProtection="1">
      <alignment horizontal="center" vertical="center"/>
      <protection locked="0"/>
    </xf>
    <xf numFmtId="169" fontId="14" fillId="0" borderId="0" xfId="5" applyNumberFormat="1" applyFont="1" applyFill="1" applyBorder="1" applyAlignment="1" applyProtection="1">
      <alignment vertical="center"/>
    </xf>
    <xf numFmtId="0" fontId="36" fillId="0" borderId="0" xfId="4" applyFont="1" applyAlignment="1">
      <alignment horizontal="center" vertical="center"/>
    </xf>
    <xf numFmtId="0" fontId="36" fillId="0" borderId="0" xfId="4" applyFont="1" applyAlignment="1" applyProtection="1">
      <alignment horizontal="center" vertical="center"/>
      <protection locked="0"/>
    </xf>
    <xf numFmtId="0" fontId="36" fillId="0" borderId="0" xfId="4" applyFont="1" applyAlignment="1" applyProtection="1">
      <alignment vertical="center"/>
      <protection locked="0"/>
    </xf>
    <xf numFmtId="1" fontId="36" fillId="0" borderId="0" xfId="4" applyNumberFormat="1" applyFont="1" applyAlignment="1" applyProtection="1">
      <alignment horizontal="center" vertical="center"/>
      <protection locked="0"/>
    </xf>
    <xf numFmtId="14" fontId="36" fillId="0" borderId="0" xfId="4" applyNumberFormat="1" applyFont="1" applyAlignment="1">
      <alignment horizontal="left" vertical="center"/>
    </xf>
    <xf numFmtId="0" fontId="37" fillId="0" borderId="0" xfId="4" applyFont="1" applyAlignment="1" applyProtection="1">
      <alignment horizontal="center" vertical="center"/>
      <protection locked="0"/>
    </xf>
    <xf numFmtId="169" fontId="36" fillId="0" borderId="0" xfId="5" applyNumberFormat="1" applyFont="1" applyFill="1" applyBorder="1" applyAlignment="1" applyProtection="1">
      <alignment horizontal="center" vertical="center"/>
      <protection locked="0"/>
    </xf>
    <xf numFmtId="169" fontId="36" fillId="0" borderId="0" xfId="5" applyNumberFormat="1" applyFont="1" applyFill="1" applyBorder="1" applyAlignment="1" applyProtection="1">
      <alignment vertical="center"/>
    </xf>
    <xf numFmtId="172" fontId="36" fillId="0" borderId="0" xfId="4" applyNumberFormat="1" applyFont="1" applyAlignment="1" applyProtection="1">
      <alignment horizontal="center" vertical="center"/>
      <protection locked="0"/>
    </xf>
    <xf numFmtId="1" fontId="37" fillId="0" borderId="0" xfId="4" applyNumberFormat="1" applyFont="1" applyAlignment="1" applyProtection="1">
      <alignment horizontal="center" vertical="center"/>
      <protection locked="0"/>
    </xf>
    <xf numFmtId="0" fontId="37" fillId="0" borderId="0" xfId="4" applyFont="1" applyAlignment="1">
      <alignment vertical="center"/>
    </xf>
    <xf numFmtId="14" fontId="37" fillId="0" borderId="0" xfId="4" applyNumberFormat="1" applyFont="1" applyAlignment="1">
      <alignment horizontal="left" vertical="center"/>
    </xf>
    <xf numFmtId="0" fontId="37" fillId="0" borderId="0" xfId="4" applyFont="1" applyAlignment="1" applyProtection="1">
      <alignment vertical="center"/>
      <protection locked="0"/>
    </xf>
    <xf numFmtId="169" fontId="37" fillId="0" borderId="0" xfId="5" applyNumberFormat="1" applyFont="1" applyFill="1" applyBorder="1" applyAlignment="1" applyProtection="1">
      <alignment horizontal="center" vertical="center"/>
      <protection locked="0"/>
    </xf>
    <xf numFmtId="169" fontId="37" fillId="0" borderId="0" xfId="5" applyNumberFormat="1" applyFont="1" applyFill="1" applyBorder="1" applyAlignment="1" applyProtection="1">
      <alignment vertical="center"/>
    </xf>
    <xf numFmtId="172" fontId="37" fillId="0" borderId="0" xfId="4" applyNumberFormat="1" applyFont="1" applyAlignment="1" applyProtection="1">
      <alignment horizontal="center" vertical="center"/>
      <protection locked="0"/>
    </xf>
    <xf numFmtId="166" fontId="36" fillId="0" borderId="0" xfId="4" applyNumberFormat="1" applyFont="1" applyAlignment="1" applyProtection="1">
      <alignment horizontal="center" vertical="center"/>
      <protection locked="0"/>
    </xf>
    <xf numFmtId="0" fontId="38" fillId="0" borderId="0" xfId="4" applyFont="1" applyAlignment="1" applyProtection="1">
      <alignment horizontal="center" vertical="center"/>
      <protection locked="0"/>
    </xf>
    <xf numFmtId="2" fontId="36" fillId="0" borderId="0" xfId="4" applyNumberFormat="1" applyFont="1" applyAlignment="1" applyProtection="1">
      <alignment horizontal="center" vertical="center"/>
      <protection locked="0"/>
    </xf>
    <xf numFmtId="2" fontId="37" fillId="0" borderId="0" xfId="5" applyNumberFormat="1" applyFont="1" applyFill="1" applyBorder="1" applyAlignment="1" applyProtection="1">
      <alignment vertical="center"/>
    </xf>
    <xf numFmtId="1" fontId="37" fillId="0" borderId="0" xfId="5" applyNumberFormat="1" applyFont="1" applyFill="1" applyBorder="1" applyAlignment="1" applyProtection="1">
      <alignment vertical="center"/>
    </xf>
    <xf numFmtId="43" fontId="37" fillId="0" borderId="0" xfId="5" applyFont="1" applyFill="1" applyBorder="1" applyAlignment="1" applyProtection="1">
      <alignment vertical="center"/>
    </xf>
    <xf numFmtId="2" fontId="37" fillId="0" borderId="0" xfId="5" applyNumberFormat="1" applyFont="1" applyFill="1" applyBorder="1" applyAlignment="1" applyProtection="1">
      <alignment vertical="center"/>
      <protection locked="0"/>
    </xf>
    <xf numFmtId="2" fontId="39" fillId="0" borderId="0" xfId="4" applyNumberFormat="1" applyFont="1" applyAlignment="1" applyProtection="1">
      <alignment horizontal="center" vertical="center"/>
      <protection locked="0"/>
    </xf>
    <xf numFmtId="0" fontId="39" fillId="0" borderId="0" xfId="4" applyFont="1" applyAlignment="1" applyProtection="1">
      <alignment horizontal="center" vertical="center"/>
      <protection locked="0"/>
    </xf>
    <xf numFmtId="0" fontId="38" fillId="0" borderId="0" xfId="4" applyFont="1" applyAlignment="1" applyProtection="1">
      <alignment vertical="center"/>
      <protection locked="0"/>
    </xf>
    <xf numFmtId="1" fontId="40" fillId="0" borderId="0" xfId="4" applyNumberFormat="1" applyFont="1" applyAlignment="1" applyProtection="1">
      <alignment horizontal="center" vertical="center"/>
      <protection locked="0"/>
    </xf>
    <xf numFmtId="43" fontId="3" fillId="0" borderId="0" xfId="5" applyFont="1" applyFill="1" applyBorder="1" applyAlignment="1" applyProtection="1">
      <alignment vertical="center"/>
    </xf>
    <xf numFmtId="2" fontId="3" fillId="0" borderId="0" xfId="5" applyNumberFormat="1" applyFont="1" applyFill="1" applyBorder="1" applyAlignment="1" applyProtection="1">
      <alignment vertical="center"/>
    </xf>
    <xf numFmtId="1" fontId="3" fillId="0" borderId="0" xfId="5" applyNumberFormat="1" applyFont="1" applyFill="1" applyBorder="1" applyAlignment="1" applyProtection="1">
      <alignment vertical="center"/>
    </xf>
    <xf numFmtId="2" fontId="3" fillId="0" borderId="0" xfId="5" applyNumberFormat="1" applyFont="1" applyFill="1" applyBorder="1" applyAlignment="1" applyProtection="1">
      <alignment vertical="center"/>
      <protection locked="0"/>
    </xf>
    <xf numFmtId="1" fontId="29" fillId="0" borderId="0" xfId="4" applyNumberFormat="1" applyFont="1" applyAlignment="1" applyProtection="1">
      <alignment horizontal="center" vertical="center"/>
      <protection locked="0"/>
    </xf>
    <xf numFmtId="1" fontId="3" fillId="15" borderId="0" xfId="5" applyNumberFormat="1" applyFont="1" applyFill="1" applyBorder="1" applyAlignment="1" applyProtection="1">
      <alignment vertical="center"/>
    </xf>
    <xf numFmtId="2" fontId="24" fillId="0" borderId="0" xfId="5" applyNumberFormat="1" applyFont="1" applyFill="1" applyBorder="1" applyAlignment="1" applyProtection="1">
      <alignment vertical="center"/>
      <protection locked="0"/>
    </xf>
    <xf numFmtId="165" fontId="24" fillId="0" borderId="0" xfId="3" applyNumberFormat="1" applyFont="1" applyFill="1" applyBorder="1" applyAlignment="1" applyProtection="1">
      <alignment horizontal="center" vertical="center"/>
      <protection locked="0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1" fontId="20" fillId="2" borderId="1" xfId="4" applyNumberFormat="1" applyFont="1" applyFill="1" applyBorder="1" applyAlignment="1" applyProtection="1">
      <alignment horizontal="center" vertical="center" wrapText="1"/>
      <protection locked="0"/>
    </xf>
    <xf numFmtId="1" fontId="20" fillId="2" borderId="6" xfId="4" applyNumberFormat="1" applyFont="1" applyFill="1" applyBorder="1" applyAlignment="1" applyProtection="1">
      <alignment horizontal="center" vertical="center" wrapText="1"/>
      <protection locked="0"/>
    </xf>
    <xf numFmtId="1" fontId="20" fillId="2" borderId="15" xfId="4" applyNumberFormat="1" applyFont="1" applyFill="1" applyBorder="1" applyAlignment="1" applyProtection="1">
      <alignment horizontal="center" vertical="center" wrapText="1"/>
      <protection locked="0"/>
    </xf>
    <xf numFmtId="1" fontId="20" fillId="2" borderId="18" xfId="4" applyNumberFormat="1" applyFont="1" applyFill="1" applyBorder="1" applyAlignment="1" applyProtection="1">
      <alignment horizontal="center" vertical="center" wrapText="1"/>
      <protection locked="0"/>
    </xf>
    <xf numFmtId="1" fontId="20" fillId="2" borderId="16" xfId="4" applyNumberFormat="1" applyFont="1" applyFill="1" applyBorder="1" applyAlignment="1" applyProtection="1">
      <alignment horizontal="center" vertical="center" wrapText="1"/>
      <protection locked="0"/>
    </xf>
    <xf numFmtId="0" fontId="20" fillId="2" borderId="15" xfId="4" applyFont="1" applyFill="1" applyBorder="1" applyAlignment="1" applyProtection="1">
      <alignment horizontal="center" vertical="center" wrapText="1"/>
      <protection locked="0"/>
    </xf>
    <xf numFmtId="0" fontId="20" fillId="2" borderId="18" xfId="4" applyFont="1" applyFill="1" applyBorder="1" applyAlignment="1" applyProtection="1">
      <alignment horizontal="center" vertical="center" wrapText="1"/>
      <protection locked="0"/>
    </xf>
    <xf numFmtId="0" fontId="20" fillId="2" borderId="16" xfId="4" applyFont="1" applyFill="1" applyBorder="1" applyAlignment="1" applyProtection="1">
      <alignment horizontal="center" vertical="center" wrapText="1"/>
      <protection locked="0"/>
    </xf>
    <xf numFmtId="0" fontId="20" fillId="2" borderId="2" xfId="4" applyFont="1" applyFill="1" applyBorder="1" applyAlignment="1" applyProtection="1">
      <alignment horizontal="center" vertical="center" wrapText="1"/>
      <protection locked="0"/>
    </xf>
    <xf numFmtId="0" fontId="20" fillId="2" borderId="7" xfId="4" applyFont="1" applyFill="1" applyBorder="1" applyAlignment="1" applyProtection="1">
      <alignment horizontal="center" vertical="center" wrapText="1"/>
      <protection locked="0"/>
    </xf>
    <xf numFmtId="166" fontId="21" fillId="2" borderId="2" xfId="4" applyNumberFormat="1" applyFont="1" applyFill="1" applyBorder="1" applyAlignment="1" applyProtection="1">
      <alignment horizontal="center" vertical="center" wrapText="1"/>
      <protection locked="0"/>
    </xf>
    <xf numFmtId="166" fontId="21" fillId="2" borderId="7" xfId="4" applyNumberFormat="1" applyFont="1" applyFill="1" applyBorder="1" applyAlignment="1" applyProtection="1">
      <alignment horizontal="center" vertical="center" wrapText="1"/>
      <protection locked="0"/>
    </xf>
    <xf numFmtId="166" fontId="20" fillId="2" borderId="2" xfId="4" applyNumberFormat="1" applyFont="1" applyFill="1" applyBorder="1" applyAlignment="1" applyProtection="1">
      <alignment horizontal="center" vertical="center" wrapText="1"/>
      <protection locked="0"/>
    </xf>
    <xf numFmtId="166" fontId="20" fillId="2" borderId="7" xfId="4" applyNumberFormat="1" applyFont="1" applyFill="1" applyBorder="1" applyAlignment="1" applyProtection="1">
      <alignment horizontal="center" vertical="center" wrapText="1"/>
      <protection locked="0"/>
    </xf>
    <xf numFmtId="0" fontId="20" fillId="2" borderId="17" xfId="4" applyFont="1" applyFill="1" applyBorder="1" applyAlignment="1" applyProtection="1">
      <alignment horizontal="center" vertical="center" wrapText="1"/>
      <protection locked="0"/>
    </xf>
    <xf numFmtId="0" fontId="20" fillId="2" borderId="20" xfId="4" applyFont="1" applyFill="1" applyBorder="1" applyAlignment="1" applyProtection="1">
      <alignment horizontal="center" vertical="center" wrapText="1"/>
      <protection locked="0"/>
    </xf>
    <xf numFmtId="1" fontId="20" fillId="2" borderId="7" xfId="4" applyNumberFormat="1" applyFont="1" applyFill="1" applyBorder="1" applyAlignment="1">
      <alignment horizontal="center" vertical="center" wrapText="1"/>
    </xf>
    <xf numFmtId="168" fontId="20" fillId="5" borderId="7" xfId="4" applyNumberFormat="1" applyFont="1" applyFill="1" applyBorder="1" applyAlignment="1">
      <alignment horizontal="center" vertical="center" wrapText="1"/>
    </xf>
    <xf numFmtId="0" fontId="20" fillId="2" borderId="0" xfId="4" applyFont="1" applyFill="1" applyAlignment="1" applyProtection="1">
      <alignment horizontal="center" vertical="center" wrapText="1"/>
      <protection locked="0"/>
    </xf>
    <xf numFmtId="165" fontId="20" fillId="2" borderId="0" xfId="3" applyNumberFormat="1" applyFont="1" applyFill="1" applyBorder="1" applyAlignment="1" applyProtection="1">
      <alignment horizontal="center" vertical="center" wrapText="1"/>
      <protection locked="0"/>
    </xf>
    <xf numFmtId="0" fontId="20" fillId="2" borderId="7" xfId="4" applyFont="1" applyFill="1" applyBorder="1" applyAlignment="1">
      <alignment horizontal="center" vertical="center" wrapText="1"/>
    </xf>
    <xf numFmtId="1" fontId="20" fillId="3" borderId="7" xfId="4" applyNumberFormat="1" applyFont="1" applyFill="1" applyBorder="1" applyAlignment="1">
      <alignment horizontal="center" vertical="center" wrapText="1"/>
    </xf>
    <xf numFmtId="0" fontId="20" fillId="2" borderId="16" xfId="4" applyFont="1" applyFill="1" applyBorder="1" applyAlignment="1">
      <alignment horizontal="center" vertical="center" wrapText="1"/>
    </xf>
    <xf numFmtId="0" fontId="20" fillId="2" borderId="17" xfId="4" applyFont="1" applyFill="1" applyBorder="1" applyAlignment="1">
      <alignment horizontal="center" vertical="center" wrapText="1"/>
    </xf>
    <xf numFmtId="0" fontId="20" fillId="2" borderId="20" xfId="4" applyFont="1" applyFill="1" applyBorder="1" applyAlignment="1">
      <alignment horizontal="center" vertical="center" wrapText="1"/>
    </xf>
    <xf numFmtId="0" fontId="36" fillId="0" borderId="0" xfId="4" applyFont="1" applyAlignment="1">
      <alignment horizontal="center" vertical="center"/>
    </xf>
    <xf numFmtId="2" fontId="36" fillId="0" borderId="0" xfId="4" applyNumberFormat="1" applyFont="1" applyAlignment="1" applyProtection="1">
      <alignment horizontal="center" vertical="center"/>
      <protection locked="0"/>
    </xf>
    <xf numFmtId="168" fontId="20" fillId="4" borderId="7" xfId="4" applyNumberFormat="1" applyFont="1" applyFill="1" applyBorder="1" applyAlignment="1">
      <alignment horizontal="center" vertical="center" wrapText="1"/>
    </xf>
    <xf numFmtId="1" fontId="23" fillId="0" borderId="19" xfId="4" applyNumberFormat="1" applyFont="1" applyBorder="1" applyAlignment="1" applyProtection="1">
      <alignment horizontal="center" vertical="center"/>
      <protection locked="0"/>
    </xf>
    <xf numFmtId="0" fontId="23" fillId="8" borderId="19" xfId="4" applyFont="1" applyFill="1" applyBorder="1" applyAlignment="1">
      <alignment vertical="center"/>
    </xf>
    <xf numFmtId="14" fontId="23" fillId="0" borderId="19" xfId="4" quotePrefix="1" applyNumberFormat="1" applyFont="1" applyBorder="1" applyAlignment="1">
      <alignment horizontal="left" vertical="center"/>
    </xf>
    <xf numFmtId="0" fontId="43" fillId="9" borderId="7" xfId="4" quotePrefix="1" applyFont="1" applyFill="1" applyBorder="1" applyAlignment="1">
      <alignment horizontal="center" vertical="center"/>
    </xf>
    <xf numFmtId="0" fontId="43" fillId="0" borderId="7" xfId="4" applyFont="1" applyBorder="1" applyAlignment="1">
      <alignment horizontal="center" vertical="center"/>
    </xf>
    <xf numFmtId="169" fontId="23" fillId="0" borderId="7" xfId="5" applyNumberFormat="1" applyFont="1" applyFill="1" applyBorder="1" applyAlignment="1" applyProtection="1">
      <alignment horizontal="center" vertical="center"/>
      <protection locked="0"/>
    </xf>
    <xf numFmtId="166" fontId="43" fillId="0" borderId="7" xfId="5" applyNumberFormat="1" applyFont="1" applyFill="1" applyBorder="1" applyAlignment="1" applyProtection="1">
      <alignment horizontal="center" vertical="center"/>
    </xf>
    <xf numFmtId="169" fontId="43" fillId="0" borderId="7" xfId="5" applyNumberFormat="1" applyFont="1" applyFill="1" applyBorder="1" applyAlignment="1" applyProtection="1">
      <alignment horizontal="center" vertical="center"/>
      <protection locked="0"/>
    </xf>
    <xf numFmtId="170" fontId="43" fillId="0" borderId="7" xfId="6" applyNumberFormat="1" applyFont="1" applyFill="1" applyBorder="1" applyAlignment="1" applyProtection="1">
      <alignment vertical="center"/>
    </xf>
    <xf numFmtId="43" fontId="43" fillId="0" borderId="7" xfId="1" applyFont="1" applyFill="1" applyBorder="1" applyAlignment="1" applyProtection="1">
      <alignment vertical="center"/>
    </xf>
    <xf numFmtId="171" fontId="43" fillId="0" borderId="7" xfId="5" applyNumberFormat="1" applyFont="1" applyFill="1" applyBorder="1" applyAlignment="1" applyProtection="1">
      <alignment horizontal="center" vertical="center"/>
    </xf>
    <xf numFmtId="169" fontId="43" fillId="9" borderId="7" xfId="5" applyNumberFormat="1" applyFont="1" applyFill="1" applyBorder="1" applyAlignment="1" applyProtection="1">
      <alignment horizontal="center" vertical="center"/>
    </xf>
    <xf numFmtId="169" fontId="43" fillId="0" borderId="7" xfId="5" applyNumberFormat="1" applyFont="1" applyFill="1" applyBorder="1" applyAlignment="1" applyProtection="1">
      <alignment vertical="center"/>
    </xf>
    <xf numFmtId="169" fontId="43" fillId="0" borderId="7" xfId="4" applyNumberFormat="1" applyFont="1" applyBorder="1" applyAlignment="1" applyProtection="1">
      <alignment vertical="center"/>
      <protection locked="0"/>
    </xf>
    <xf numFmtId="172" fontId="23" fillId="0" borderId="20" xfId="4" applyNumberFormat="1" applyFont="1" applyBorder="1" applyAlignment="1" applyProtection="1">
      <alignment vertical="center"/>
      <protection locked="0"/>
    </xf>
    <xf numFmtId="172" fontId="44" fillId="0" borderId="20" xfId="4" applyNumberFormat="1" applyFont="1" applyBorder="1" applyAlignment="1" applyProtection="1">
      <alignment vertical="center"/>
      <protection locked="0"/>
    </xf>
    <xf numFmtId="169" fontId="43" fillId="10" borderId="19" xfId="7" applyNumberFormat="1" applyFont="1" applyFill="1" applyBorder="1" applyAlignment="1" applyProtection="1">
      <alignment horizontal="center" vertical="center"/>
    </xf>
    <xf numFmtId="172" fontId="23" fillId="11" borderId="20" xfId="4" applyNumberFormat="1" applyFont="1" applyFill="1" applyBorder="1" applyAlignment="1" applyProtection="1">
      <alignment vertical="center"/>
      <protection locked="0"/>
    </xf>
    <xf numFmtId="0" fontId="23" fillId="9" borderId="0" xfId="4" quotePrefix="1" applyFont="1" applyFill="1" applyAlignment="1">
      <alignment horizontal="center" vertical="center"/>
    </xf>
    <xf numFmtId="165" fontId="23" fillId="9" borderId="0" xfId="3" quotePrefix="1" applyNumberFormat="1" applyFont="1" applyFill="1" applyBorder="1" applyAlignment="1">
      <alignment horizontal="center" vertical="center"/>
    </xf>
    <xf numFmtId="1" fontId="23" fillId="7" borderId="0" xfId="4" applyNumberFormat="1" applyFont="1" applyFill="1" applyAlignment="1" applyProtection="1">
      <alignment vertical="center"/>
      <protection locked="0"/>
    </xf>
    <xf numFmtId="1" fontId="23" fillId="0" borderId="0" xfId="4" applyNumberFormat="1" applyFont="1" applyAlignment="1" applyProtection="1">
      <alignment vertical="center"/>
      <protection locked="0"/>
    </xf>
    <xf numFmtId="166" fontId="23" fillId="0" borderId="0" xfId="4" applyNumberFormat="1" applyFont="1" applyAlignment="1" applyProtection="1">
      <alignment vertical="center"/>
      <protection locked="0"/>
    </xf>
    <xf numFmtId="172" fontId="23" fillId="0" borderId="19" xfId="1" applyNumberFormat="1" applyFont="1" applyBorder="1" applyAlignment="1" applyProtection="1">
      <alignment vertical="center"/>
      <protection locked="0"/>
    </xf>
    <xf numFmtId="0" fontId="45" fillId="9" borderId="7" xfId="4" quotePrefix="1" applyFont="1" applyFill="1" applyBorder="1" applyAlignment="1">
      <alignment horizontal="center" vertical="center"/>
    </xf>
    <xf numFmtId="0" fontId="23" fillId="0" borderId="7" xfId="2" applyFont="1" applyBorder="1" applyAlignment="1">
      <alignment horizontal="center" vertical="center"/>
    </xf>
    <xf numFmtId="0" fontId="23" fillId="8" borderId="7" xfId="4" applyFont="1" applyFill="1" applyBorder="1" applyAlignment="1">
      <alignment vertical="center"/>
    </xf>
    <xf numFmtId="14" fontId="23" fillId="0" borderId="7" xfId="4" applyNumberFormat="1" applyFont="1" applyBorder="1" applyAlignment="1">
      <alignment horizontal="left" vertical="center"/>
    </xf>
    <xf numFmtId="0" fontId="43" fillId="9" borderId="21" xfId="4" quotePrefix="1" applyFont="1" applyFill="1" applyBorder="1" applyAlignment="1">
      <alignment horizontal="center" vertical="center"/>
    </xf>
    <xf numFmtId="0" fontId="2" fillId="0" borderId="25" xfId="2" applyFont="1" applyBorder="1" applyAlignment="1">
      <alignment horizontal="center" vertical="center" wrapText="1"/>
    </xf>
    <xf numFmtId="0" fontId="2" fillId="0" borderId="26" xfId="2" applyFont="1" applyBorder="1" applyAlignment="1">
      <alignment horizontal="center" vertical="center" wrapText="1"/>
    </xf>
    <xf numFmtId="0" fontId="2" fillId="0" borderId="27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26" xfId="2" applyFont="1" applyBorder="1" applyAlignment="1">
      <alignment horizontal="center" vertical="center" wrapText="1"/>
    </xf>
    <xf numFmtId="0" fontId="4" fillId="0" borderId="29" xfId="2" applyFont="1" applyBorder="1" applyAlignment="1">
      <alignment horizontal="center" vertical="center" wrapText="1"/>
    </xf>
    <xf numFmtId="0" fontId="2" fillId="0" borderId="30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2" fillId="0" borderId="33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14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166" fontId="7" fillId="0" borderId="30" xfId="4" applyNumberFormat="1" applyFont="1" applyBorder="1" applyAlignment="1" applyProtection="1">
      <alignment horizontal="center" vertical="center" wrapText="1"/>
      <protection locked="0"/>
    </xf>
    <xf numFmtId="166" fontId="7" fillId="0" borderId="0" xfId="4" applyNumberFormat="1" applyFont="1" applyAlignment="1" applyProtection="1">
      <alignment horizontal="center" vertical="center" wrapText="1"/>
      <protection locked="0"/>
    </xf>
    <xf numFmtId="166" fontId="7" fillId="0" borderId="0" xfId="4" applyNumberFormat="1" applyFont="1" applyAlignment="1" applyProtection="1">
      <alignment horizontal="center" vertical="center" wrapText="1"/>
      <protection locked="0"/>
    </xf>
    <xf numFmtId="0" fontId="9" fillId="0" borderId="32" xfId="4" applyFont="1" applyBorder="1" applyAlignment="1" applyProtection="1">
      <alignment vertical="center"/>
      <protection locked="0"/>
    </xf>
    <xf numFmtId="1" fontId="11" fillId="0" borderId="30" xfId="4" applyNumberFormat="1" applyFont="1" applyBorder="1" applyAlignment="1" applyProtection="1">
      <alignment vertical="center"/>
      <protection locked="0"/>
    </xf>
    <xf numFmtId="1" fontId="11" fillId="0" borderId="0" xfId="4" applyNumberFormat="1" applyFont="1" applyAlignment="1" applyProtection="1">
      <alignment horizontal="left" vertical="center"/>
      <protection locked="0"/>
    </xf>
    <xf numFmtId="0" fontId="14" fillId="0" borderId="0" xfId="4" applyFont="1" applyAlignment="1" applyProtection="1">
      <alignment horizontal="center" vertical="center"/>
      <protection locked="0"/>
    </xf>
    <xf numFmtId="0" fontId="9" fillId="0" borderId="0" xfId="4" applyFont="1" applyAlignment="1">
      <alignment vertical="center"/>
    </xf>
    <xf numFmtId="14" fontId="48" fillId="0" borderId="0" xfId="4" quotePrefix="1" applyNumberFormat="1" applyFont="1" applyAlignment="1" applyProtection="1">
      <alignment horizontal="left" vertical="center"/>
      <protection locked="0"/>
    </xf>
    <xf numFmtId="1" fontId="49" fillId="0" borderId="30" xfId="4" applyNumberFormat="1" applyFont="1" applyBorder="1" applyAlignment="1" applyProtection="1">
      <alignment vertical="center"/>
      <protection locked="0"/>
    </xf>
    <xf numFmtId="1" fontId="49" fillId="0" borderId="0" xfId="4" applyNumberFormat="1" applyFont="1" applyAlignment="1" applyProtection="1">
      <alignment horizontal="center" vertical="center"/>
      <protection locked="0"/>
    </xf>
    <xf numFmtId="1" fontId="50" fillId="0" borderId="0" xfId="4" applyNumberFormat="1" applyFont="1" applyAlignment="1" applyProtection="1">
      <alignment vertical="center"/>
      <protection locked="0"/>
    </xf>
    <xf numFmtId="0" fontId="19" fillId="0" borderId="0" xfId="4" applyFont="1" applyAlignment="1" applyProtection="1">
      <alignment vertical="center"/>
      <protection locked="0"/>
    </xf>
    <xf numFmtId="1" fontId="22" fillId="2" borderId="19" xfId="4" applyNumberFormat="1" applyFont="1" applyFill="1" applyBorder="1" applyAlignment="1" applyProtection="1">
      <alignment horizontal="center" vertical="center" wrapText="1"/>
      <protection locked="0"/>
    </xf>
    <xf numFmtId="0" fontId="22" fillId="2" borderId="19" xfId="4" applyFont="1" applyFill="1" applyBorder="1" applyAlignment="1" applyProtection="1">
      <alignment horizontal="center" vertical="center" wrapText="1"/>
      <protection locked="0"/>
    </xf>
    <xf numFmtId="166" fontId="22" fillId="2" borderId="19" xfId="4" applyNumberFormat="1" applyFont="1" applyFill="1" applyBorder="1" applyAlignment="1" applyProtection="1">
      <alignment horizontal="center" vertical="center" wrapText="1"/>
      <protection locked="0"/>
    </xf>
    <xf numFmtId="0" fontId="22" fillId="2" borderId="19" xfId="4" applyFont="1" applyFill="1" applyBorder="1" applyAlignment="1">
      <alignment horizontal="center" vertical="center" wrapText="1"/>
    </xf>
    <xf numFmtId="0" fontId="22" fillId="2" borderId="19" xfId="4" applyFont="1" applyFill="1" applyBorder="1" applyAlignment="1" applyProtection="1">
      <alignment horizontal="center" vertical="center"/>
      <protection locked="0"/>
    </xf>
    <xf numFmtId="0" fontId="3" fillId="0" borderId="36" xfId="4" applyBorder="1" applyAlignment="1" applyProtection="1">
      <alignment horizontal="center" vertical="center" wrapText="1"/>
      <protection locked="0"/>
    </xf>
    <xf numFmtId="0" fontId="22" fillId="16" borderId="19" xfId="4" applyFont="1" applyFill="1" applyBorder="1" applyAlignment="1">
      <alignment horizontal="center" vertical="center" wrapText="1"/>
    </xf>
    <xf numFmtId="0" fontId="22" fillId="2" borderId="19" xfId="4" applyFont="1" applyFill="1" applyBorder="1" applyAlignment="1">
      <alignment horizontal="center" vertical="center" wrapText="1"/>
    </xf>
    <xf numFmtId="0" fontId="22" fillId="16" borderId="19" xfId="4" applyFont="1" applyFill="1" applyBorder="1" applyAlignment="1">
      <alignment vertical="center" wrapText="1"/>
    </xf>
    <xf numFmtId="0" fontId="26" fillId="2" borderId="19" xfId="4" applyFont="1" applyFill="1" applyBorder="1" applyAlignment="1" applyProtection="1">
      <alignment horizontal="center" vertical="center" textRotation="90" wrapText="1"/>
      <protection locked="0"/>
    </xf>
    <xf numFmtId="1" fontId="22" fillId="2" borderId="19" xfId="4" applyNumberFormat="1" applyFont="1" applyFill="1" applyBorder="1" applyAlignment="1" applyProtection="1">
      <alignment horizontal="center" vertical="center" wrapText="1"/>
      <protection locked="0"/>
    </xf>
    <xf numFmtId="1" fontId="22" fillId="2" borderId="19" xfId="4" applyNumberFormat="1" applyFont="1" applyFill="1" applyBorder="1" applyAlignment="1" applyProtection="1">
      <alignment horizontal="left" vertical="center" wrapText="1"/>
      <protection locked="0"/>
    </xf>
    <xf numFmtId="0" fontId="22" fillId="2" borderId="19" xfId="4" applyFont="1" applyFill="1" applyBorder="1" applyAlignment="1" applyProtection="1">
      <alignment horizontal="center" vertical="center" wrapText="1"/>
      <protection locked="0"/>
    </xf>
    <xf numFmtId="1" fontId="52" fillId="18" borderId="37" xfId="8" applyNumberFormat="1" applyFont="1" applyFill="1" applyBorder="1" applyAlignment="1">
      <alignment horizontal="center" vertical="center" wrapText="1"/>
    </xf>
    <xf numFmtId="166" fontId="22" fillId="2" borderId="19" xfId="4" applyNumberFormat="1" applyFont="1" applyFill="1" applyBorder="1" applyAlignment="1" applyProtection="1">
      <alignment horizontal="center" vertical="center" wrapText="1"/>
      <protection locked="0"/>
    </xf>
    <xf numFmtId="0" fontId="22" fillId="2" borderId="19" xfId="4" applyFont="1" applyFill="1" applyBorder="1" applyAlignment="1">
      <alignment vertical="center" wrapText="1"/>
    </xf>
    <xf numFmtId="0" fontId="22" fillId="2" borderId="19" xfId="4" applyFont="1" applyFill="1" applyBorder="1" applyAlignment="1" applyProtection="1">
      <alignment horizontal="center" vertical="center"/>
      <protection locked="0"/>
    </xf>
    <xf numFmtId="0" fontId="14" fillId="6" borderId="19" xfId="4" applyFont="1" applyFill="1" applyBorder="1" applyAlignment="1" applyProtection="1">
      <alignment horizontal="left" vertical="center" wrapText="1"/>
      <protection locked="0"/>
    </xf>
    <xf numFmtId="0" fontId="14" fillId="6" borderId="19" xfId="4" applyFont="1" applyFill="1" applyBorder="1" applyAlignment="1">
      <alignment horizontal="left" vertical="center" wrapText="1"/>
    </xf>
    <xf numFmtId="0" fontId="14" fillId="6" borderId="19" xfId="4" applyFont="1" applyFill="1" applyBorder="1" applyAlignment="1" applyProtection="1">
      <alignment horizontal="center" vertical="center" wrapText="1"/>
      <protection locked="0"/>
    </xf>
    <xf numFmtId="1" fontId="2" fillId="0" borderId="19" xfId="4" applyNumberFormat="1" applyFont="1" applyBorder="1" applyAlignment="1" applyProtection="1">
      <alignment horizontal="left" vertical="center"/>
      <protection locked="0"/>
    </xf>
    <xf numFmtId="0" fontId="3" fillId="0" borderId="19" xfId="4" applyBorder="1" applyAlignment="1">
      <alignment vertical="center"/>
    </xf>
    <xf numFmtId="14" fontId="2" fillId="0" borderId="19" xfId="4" applyNumberFormat="1" applyFont="1" applyBorder="1" applyAlignment="1">
      <alignment horizontal="left" vertical="center"/>
    </xf>
    <xf numFmtId="0" fontId="45" fillId="0" borderId="19" xfId="4" applyFont="1" applyBorder="1" applyAlignment="1">
      <alignment horizontal="center" vertical="center"/>
    </xf>
    <xf numFmtId="169" fontId="14" fillId="10" borderId="19" xfId="5" applyNumberFormat="1" applyFont="1" applyFill="1" applyBorder="1" applyAlignment="1" applyProtection="1">
      <alignment horizontal="center" vertical="center"/>
    </xf>
    <xf numFmtId="169" fontId="3" fillId="0" borderId="19" xfId="5" applyNumberFormat="1" applyFont="1" applyFill="1" applyBorder="1" applyAlignment="1" applyProtection="1">
      <alignment horizontal="center" vertical="center"/>
      <protection locked="0"/>
    </xf>
    <xf numFmtId="169" fontId="3" fillId="11" borderId="19" xfId="5" applyNumberFormat="1" applyFont="1" applyFill="1" applyBorder="1" applyAlignment="1" applyProtection="1">
      <alignment horizontal="center" vertical="center"/>
      <protection locked="0"/>
    </xf>
    <xf numFmtId="169" fontId="3" fillId="0" borderId="19" xfId="5" applyNumberFormat="1" applyFont="1" applyFill="1" applyBorder="1" applyAlignment="1" applyProtection="1">
      <alignment vertical="center"/>
    </xf>
    <xf numFmtId="169" fontId="3" fillId="0" borderId="19" xfId="4" applyNumberFormat="1" applyBorder="1" applyAlignment="1" applyProtection="1">
      <alignment horizontal="center" vertical="center"/>
      <protection locked="0"/>
    </xf>
    <xf numFmtId="43" fontId="3" fillId="0" borderId="0" xfId="1" applyFont="1" applyAlignment="1" applyProtection="1">
      <alignment vertical="center"/>
      <protection locked="0"/>
    </xf>
    <xf numFmtId="0" fontId="14" fillId="13" borderId="0" xfId="4" applyFont="1" applyFill="1" applyAlignment="1" applyProtection="1">
      <alignment vertical="center"/>
      <protection locked="0"/>
    </xf>
    <xf numFmtId="172" fontId="3" fillId="0" borderId="19" xfId="4" applyNumberFormat="1" applyBorder="1" applyAlignment="1" applyProtection="1">
      <alignment horizontal="center" vertical="center"/>
      <protection locked="0"/>
    </xf>
    <xf numFmtId="172" fontId="3" fillId="0" borderId="0" xfId="1" applyNumberFormat="1" applyFont="1" applyAlignment="1" applyProtection="1">
      <alignment vertical="center"/>
      <protection locked="0"/>
    </xf>
    <xf numFmtId="0" fontId="3" fillId="0" borderId="19" xfId="4" applyBorder="1" applyAlignment="1" applyProtection="1">
      <alignment horizontal="left" vertical="center" wrapText="1"/>
      <protection locked="0"/>
    </xf>
    <xf numFmtId="14" fontId="2" fillId="0" borderId="19" xfId="4" applyNumberFormat="1" applyFont="1" applyBorder="1" applyAlignment="1">
      <alignment horizontal="center" vertical="center"/>
    </xf>
    <xf numFmtId="0" fontId="2" fillId="0" borderId="19" xfId="5" applyNumberFormat="1" applyFont="1" applyFill="1" applyBorder="1" applyAlignment="1" applyProtection="1">
      <alignment horizontal="center" vertical="center"/>
      <protection locked="0"/>
    </xf>
    <xf numFmtId="0" fontId="14" fillId="6" borderId="19" xfId="4" applyFont="1" applyFill="1" applyBorder="1" applyAlignment="1" applyProtection="1">
      <alignment horizontal="left" vertical="center"/>
      <protection locked="0"/>
    </xf>
    <xf numFmtId="43" fontId="14" fillId="13" borderId="0" xfId="1" applyFont="1" applyFill="1" applyAlignment="1" applyProtection="1">
      <alignment vertical="center"/>
      <protection locked="0"/>
    </xf>
    <xf numFmtId="169" fontId="23" fillId="0" borderId="19" xfId="5" applyNumberFormat="1" applyFont="1" applyFill="1" applyBorder="1" applyAlignment="1" applyProtection="1">
      <alignment vertical="center"/>
    </xf>
    <xf numFmtId="172" fontId="2" fillId="13" borderId="19" xfId="4" applyNumberFormat="1" applyFont="1" applyFill="1" applyBorder="1" applyAlignment="1" applyProtection="1">
      <alignment horizontal="center" vertical="center"/>
      <protection locked="0"/>
    </xf>
    <xf numFmtId="172" fontId="2" fillId="13" borderId="19" xfId="4" applyNumberFormat="1" applyFont="1" applyFill="1" applyBorder="1" applyAlignment="1" applyProtection="1">
      <alignment horizontal="center" vertical="center" wrapText="1"/>
      <protection locked="0"/>
    </xf>
    <xf numFmtId="172" fontId="2" fillId="0" borderId="19" xfId="4" applyNumberFormat="1" applyFont="1" applyBorder="1" applyAlignment="1" applyProtection="1">
      <alignment horizontal="center" vertical="center"/>
      <protection locked="0"/>
    </xf>
    <xf numFmtId="0" fontId="3" fillId="0" borderId="19" xfId="4" applyBorder="1" applyAlignment="1">
      <alignment horizontal="center" vertical="center"/>
    </xf>
    <xf numFmtId="14" fontId="2" fillId="0" borderId="19" xfId="2" applyNumberFormat="1" applyFont="1" applyBorder="1" applyAlignment="1">
      <alignment horizontal="center" vertical="center"/>
    </xf>
    <xf numFmtId="169" fontId="3" fillId="0" borderId="19" xfId="5" applyNumberFormat="1" applyFont="1" applyFill="1" applyBorder="1" applyAlignment="1" applyProtection="1">
      <alignment horizontal="left" vertical="center"/>
    </xf>
    <xf numFmtId="172" fontId="3" fillId="13" borderId="19" xfId="4" applyNumberFormat="1" applyFill="1" applyBorder="1" applyAlignment="1" applyProtection="1">
      <alignment horizontal="center" vertical="center" wrapText="1"/>
      <protection locked="0"/>
    </xf>
    <xf numFmtId="172" fontId="3" fillId="0" borderId="19" xfId="4" applyNumberFormat="1" applyBorder="1" applyAlignment="1" applyProtection="1">
      <alignment horizontal="center" vertical="center" wrapText="1"/>
      <protection locked="0"/>
    </xf>
    <xf numFmtId="172" fontId="23" fillId="0" borderId="19" xfId="4" applyNumberFormat="1" applyFont="1" applyBorder="1" applyAlignment="1" applyProtection="1">
      <alignment horizontal="center" vertical="center"/>
      <protection locked="0"/>
    </xf>
    <xf numFmtId="14" fontId="3" fillId="0" borderId="19" xfId="4" applyNumberFormat="1" applyBorder="1" applyAlignment="1">
      <alignment horizontal="center" vertical="center"/>
    </xf>
    <xf numFmtId="172" fontId="3" fillId="0" borderId="0" xfId="1" applyNumberFormat="1" applyFont="1" applyFill="1" applyAlignment="1" applyProtection="1">
      <alignment vertical="center"/>
      <protection locked="0"/>
    </xf>
    <xf numFmtId="0" fontId="14" fillId="0" borderId="0" xfId="4" applyFont="1" applyAlignment="1" applyProtection="1">
      <alignment vertical="center"/>
      <protection locked="0"/>
    </xf>
    <xf numFmtId="169" fontId="3" fillId="9" borderId="19" xfId="5" applyNumberFormat="1" applyFont="1" applyFill="1" applyBorder="1" applyAlignment="1" applyProtection="1">
      <alignment horizontal="center" vertical="center"/>
      <protection locked="0"/>
    </xf>
    <xf numFmtId="172" fontId="23" fillId="13" borderId="19" xfId="4" applyNumberFormat="1" applyFont="1" applyFill="1" applyBorder="1" applyAlignment="1" applyProtection="1">
      <alignment horizontal="center" vertical="center" wrapText="1"/>
      <protection locked="0"/>
    </xf>
    <xf numFmtId="172" fontId="3" fillId="0" borderId="19" xfId="4" applyNumberFormat="1" applyBorder="1" applyAlignment="1" applyProtection="1">
      <alignment horizontal="left" vertical="center" wrapText="1"/>
      <protection locked="0"/>
    </xf>
    <xf numFmtId="169" fontId="3" fillId="0" borderId="19" xfId="7" applyNumberFormat="1" applyFont="1" applyFill="1" applyBorder="1" applyAlignment="1" applyProtection="1">
      <alignment vertical="center"/>
    </xf>
    <xf numFmtId="169" fontId="2" fillId="0" borderId="19" xfId="5" applyNumberFormat="1" applyFont="1" applyFill="1" applyBorder="1" applyAlignment="1" applyProtection="1">
      <alignment vertical="center"/>
    </xf>
    <xf numFmtId="172" fontId="23" fillId="0" borderId="19" xfId="4" applyNumberFormat="1" applyFont="1" applyBorder="1" applyAlignment="1" applyProtection="1">
      <alignment horizontal="center" vertical="center" wrapText="1"/>
      <protection locked="0"/>
    </xf>
    <xf numFmtId="0" fontId="2" fillId="0" borderId="19" xfId="2" applyFont="1" applyBorder="1" applyAlignment="1">
      <alignment horizontal="left" vertical="center"/>
    </xf>
    <xf numFmtId="0" fontId="3" fillId="0" borderId="19" xfId="2" applyFont="1" applyBorder="1" applyAlignment="1">
      <alignment vertical="center"/>
    </xf>
    <xf numFmtId="43" fontId="3" fillId="0" borderId="0" xfId="1" applyFont="1" applyFill="1" applyAlignment="1" applyProtection="1">
      <alignment vertical="center"/>
      <protection locked="0"/>
    </xf>
    <xf numFmtId="0" fontId="22" fillId="0" borderId="19" xfId="5" applyNumberFormat="1" applyFont="1" applyFill="1" applyBorder="1" applyAlignment="1" applyProtection="1">
      <alignment horizontal="center" vertical="center"/>
      <protection locked="0"/>
    </xf>
    <xf numFmtId="172" fontId="53" fillId="2" borderId="19" xfId="1" applyNumberFormat="1" applyFont="1" applyFill="1" applyBorder="1" applyAlignment="1" applyProtection="1">
      <alignment horizontal="left" vertical="center" wrapText="1"/>
      <protection locked="0"/>
    </xf>
    <xf numFmtId="172" fontId="53" fillId="2" borderId="19" xfId="1" applyNumberFormat="1" applyFont="1" applyFill="1" applyBorder="1" applyAlignment="1" applyProtection="1">
      <alignment horizontal="left" vertical="center" wrapText="1"/>
    </xf>
    <xf numFmtId="43" fontId="53" fillId="2" borderId="19" xfId="1" applyFont="1" applyFill="1" applyBorder="1" applyAlignment="1" applyProtection="1">
      <alignment horizontal="left" vertical="center" wrapText="1"/>
      <protection locked="0"/>
    </xf>
    <xf numFmtId="1" fontId="3" fillId="0" borderId="0" xfId="4" applyNumberFormat="1" applyAlignment="1" applyProtection="1">
      <alignment horizontal="left" vertical="center"/>
      <protection locked="0"/>
    </xf>
    <xf numFmtId="0" fontId="54" fillId="9" borderId="0" xfId="4" applyFont="1" applyFill="1" applyAlignment="1">
      <alignment vertical="center"/>
    </xf>
    <xf numFmtId="14" fontId="3" fillId="9" borderId="0" xfId="4" applyNumberFormat="1" applyFill="1" applyAlignment="1">
      <alignment horizontal="left" vertical="center"/>
    </xf>
    <xf numFmtId="0" fontId="29" fillId="9" borderId="0" xfId="4" applyFont="1" applyFill="1" applyAlignment="1" applyProtection="1">
      <alignment horizontal="center" vertical="center"/>
      <protection locked="0"/>
    </xf>
    <xf numFmtId="169" fontId="29" fillId="9" borderId="0" xfId="5" applyNumberFormat="1" applyFont="1" applyFill="1" applyBorder="1" applyAlignment="1" applyProtection="1">
      <alignment horizontal="center" vertical="center"/>
      <protection hidden="1"/>
    </xf>
    <xf numFmtId="169" fontId="29" fillId="9" borderId="0" xfId="5" applyNumberFormat="1" applyFont="1" applyFill="1" applyBorder="1" applyAlignment="1" applyProtection="1">
      <alignment horizontal="center" vertical="center"/>
      <protection locked="0"/>
    </xf>
    <xf numFmtId="169" fontId="55" fillId="9" borderId="0" xfId="5" applyNumberFormat="1" applyFont="1" applyFill="1" applyBorder="1" applyAlignment="1" applyProtection="1">
      <alignment vertical="center"/>
    </xf>
    <xf numFmtId="0" fontId="56" fillId="0" borderId="0" xfId="4" applyFont="1" applyAlignment="1">
      <alignment horizontal="left" vertical="center"/>
    </xf>
    <xf numFmtId="0" fontId="56" fillId="0" borderId="0" xfId="4" applyFont="1" applyAlignment="1">
      <alignment horizontal="center" vertical="center"/>
    </xf>
    <xf numFmtId="169" fontId="29" fillId="0" borderId="0" xfId="5" applyNumberFormat="1" applyFont="1" applyFill="1" applyBorder="1" applyAlignment="1" applyProtection="1">
      <alignment horizontal="center" vertical="center"/>
      <protection hidden="1"/>
    </xf>
    <xf numFmtId="0" fontId="56" fillId="0" borderId="0" xfId="4" applyFont="1" applyAlignment="1">
      <alignment vertical="center"/>
    </xf>
    <xf numFmtId="0" fontId="57" fillId="0" borderId="0" xfId="4" applyFont="1" applyAlignment="1">
      <alignment horizontal="center" vertical="center"/>
    </xf>
    <xf numFmtId="0" fontId="30" fillId="0" borderId="0" xfId="4" applyFont="1" applyAlignment="1" applyProtection="1">
      <alignment horizontal="center" vertical="center"/>
      <protection locked="0"/>
    </xf>
    <xf numFmtId="0" fontId="30" fillId="0" borderId="0" xfId="4" applyFont="1" applyAlignment="1" applyProtection="1">
      <alignment horizontal="center" vertical="center"/>
      <protection locked="0"/>
    </xf>
    <xf numFmtId="169" fontId="30" fillId="0" borderId="0" xfId="5" applyNumberFormat="1" applyFont="1" applyFill="1" applyBorder="1" applyAlignment="1" applyProtection="1">
      <alignment horizontal="center" vertical="center"/>
      <protection hidden="1"/>
    </xf>
    <xf numFmtId="169" fontId="30" fillId="0" borderId="0" xfId="5" applyNumberFormat="1" applyFont="1" applyFill="1" applyBorder="1" applyAlignment="1" applyProtection="1">
      <alignment horizontal="center" vertical="center"/>
      <protection locked="0"/>
    </xf>
    <xf numFmtId="1" fontId="30" fillId="0" borderId="0" xfId="4" applyNumberFormat="1" applyFont="1" applyAlignment="1" applyProtection="1">
      <alignment horizontal="center" vertical="center"/>
      <protection locked="0"/>
    </xf>
    <xf numFmtId="0" fontId="57" fillId="0" borderId="0" xfId="4" applyFont="1" applyAlignment="1">
      <alignment horizontal="center" vertical="center"/>
    </xf>
    <xf numFmtId="14" fontId="30" fillId="0" borderId="0" xfId="4" applyNumberFormat="1" applyFont="1" applyAlignment="1">
      <alignment horizontal="left" vertical="center"/>
    </xf>
    <xf numFmtId="0" fontId="31" fillId="0" borderId="0" xfId="4" applyFont="1" applyAlignment="1" applyProtection="1">
      <alignment horizontal="center" vertical="center"/>
      <protection locked="0"/>
    </xf>
    <xf numFmtId="169" fontId="30" fillId="0" borderId="0" xfId="5" applyNumberFormat="1" applyFont="1" applyFill="1" applyBorder="1" applyAlignment="1" applyProtection="1">
      <alignment vertical="center"/>
    </xf>
    <xf numFmtId="172" fontId="30" fillId="0" borderId="0" xfId="4" applyNumberFormat="1" applyFont="1" applyAlignment="1" applyProtection="1">
      <alignment horizontal="center" vertical="center"/>
      <protection locked="0"/>
    </xf>
    <xf numFmtId="1" fontId="31" fillId="0" borderId="0" xfId="4" applyNumberFormat="1" applyFont="1" applyAlignment="1" applyProtection="1">
      <alignment horizontal="center" vertical="center"/>
      <protection locked="0"/>
    </xf>
    <xf numFmtId="0" fontId="54" fillId="0" borderId="0" xfId="4" applyFont="1" applyAlignment="1">
      <alignment vertical="center"/>
    </xf>
    <xf numFmtId="14" fontId="31" fillId="0" borderId="0" xfId="4" applyNumberFormat="1" applyFont="1" applyAlignment="1">
      <alignment horizontal="left" vertical="center"/>
    </xf>
    <xf numFmtId="0" fontId="31" fillId="0" borderId="0" xfId="4" applyFont="1" applyAlignment="1" applyProtection="1">
      <alignment vertical="center"/>
      <protection locked="0"/>
    </xf>
    <xf numFmtId="169" fontId="31" fillId="0" borderId="0" xfId="5" applyNumberFormat="1" applyFont="1" applyFill="1" applyBorder="1" applyAlignment="1" applyProtection="1">
      <alignment horizontal="center" vertical="center"/>
      <protection hidden="1"/>
    </xf>
    <xf numFmtId="169" fontId="31" fillId="0" borderId="0" xfId="5" applyNumberFormat="1" applyFont="1" applyFill="1" applyBorder="1" applyAlignment="1" applyProtection="1">
      <alignment horizontal="center" vertical="center"/>
      <protection locked="0"/>
    </xf>
    <xf numFmtId="169" fontId="31" fillId="0" borderId="0" xfId="5" applyNumberFormat="1" applyFont="1" applyFill="1" applyBorder="1" applyAlignment="1" applyProtection="1">
      <alignment vertical="center"/>
    </xf>
    <xf numFmtId="172" fontId="31" fillId="0" borderId="0" xfId="4" applyNumberFormat="1" applyFont="1" applyAlignment="1" applyProtection="1">
      <alignment horizontal="center" vertical="center"/>
      <protection locked="0"/>
    </xf>
    <xf numFmtId="166" fontId="58" fillId="0" borderId="0" xfId="4" applyNumberFormat="1" applyFont="1" applyAlignment="1" applyProtection="1">
      <alignment horizontal="center" vertical="center"/>
      <protection hidden="1"/>
    </xf>
    <xf numFmtId="166" fontId="58" fillId="0" borderId="0" xfId="4" applyNumberFormat="1" applyFont="1" applyAlignment="1" applyProtection="1">
      <alignment horizontal="center" vertical="center"/>
      <protection locked="0"/>
    </xf>
    <xf numFmtId="166" fontId="32" fillId="0" borderId="0" xfId="4" applyNumberFormat="1" applyFont="1" applyAlignment="1" applyProtection="1">
      <alignment horizontal="center" vertical="center"/>
      <protection hidden="1"/>
    </xf>
    <xf numFmtId="0" fontId="3" fillId="0" borderId="0" xfId="4" applyAlignment="1">
      <alignment vertical="center"/>
    </xf>
  </cellXfs>
  <cellStyles count="9">
    <cellStyle name="Accent1 2" xfId="8" xr:uid="{1201F7AE-1C7E-4FC7-823B-C496D96051B9}"/>
    <cellStyle name="Comma" xfId="1" builtinId="3"/>
    <cellStyle name="Comma 2" xfId="5" xr:uid="{0B9C07D9-8C2F-474B-89B4-BF6D5810D9EE}"/>
    <cellStyle name="Comma 2 15" xfId="7" xr:uid="{C527FDAB-A22D-4352-A06E-D99C6DBB4F4F}"/>
    <cellStyle name="Comma 2 2 2" xfId="6" xr:uid="{BB89704F-020C-4A0C-B4DA-E9E1BCAD462C}"/>
    <cellStyle name="Comma 76" xfId="3" xr:uid="{5F6AC45B-2C6F-40D5-AABC-9BF9547AC067}"/>
    <cellStyle name="Normal" xfId="0" builtinId="0"/>
    <cellStyle name="Normal 11" xfId="4" xr:uid="{E81ADACE-CA01-44A0-B278-9675A9480BF3}"/>
    <cellStyle name="Normal 2 17" xfId="2" xr:uid="{CCC12BE4-1CFA-4EA8-ADD5-C61EB738BA0E}"/>
  </cellStyles>
  <dxfs count="41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b/>
        <i val="0"/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solid">
          <bgColor theme="8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theme="6" tint="0.39991454817346722"/>
        </patternFill>
      </fill>
    </dxf>
    <dxf>
      <font>
        <b/>
        <i/>
        <color rgb="FF0070C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FF0000"/>
        <name val="Cambria"/>
        <scheme val="none"/>
      </font>
      <fill>
        <patternFill patternType="none"/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 patternType="solid">
          <fgColor rgb="FFFFC000"/>
          <bgColor rgb="FFFFC000"/>
        </patternFill>
      </fill>
    </dxf>
    <dxf>
      <font>
        <color rgb="FFFF0000"/>
        <name val="Cambria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  <name val="Cambria"/>
        <scheme val="none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</xdr:colOff>
      <xdr:row>0</xdr:row>
      <xdr:rowOff>107156</xdr:rowOff>
    </xdr:from>
    <xdr:to>
      <xdr:col>2</xdr:col>
      <xdr:colOff>666838</xdr:colOff>
      <xdr:row>2</xdr:row>
      <xdr:rowOff>170910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1A103-9ECF-4A96-8997-4456A70A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" y="107156"/>
          <a:ext cx="1366926" cy="444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55411</xdr:colOff>
      <xdr:row>0</xdr:row>
      <xdr:rowOff>15114</xdr:rowOff>
    </xdr:from>
    <xdr:to>
      <xdr:col>2</xdr:col>
      <xdr:colOff>599198</xdr:colOff>
      <xdr:row>2</xdr:row>
      <xdr:rowOff>31679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A6A11-9CC8-412A-AEDF-0F712AB8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986" y="15114"/>
          <a:ext cx="1162912" cy="3975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2.%20QUAN%20TRI%20NHAN%20SU\3.%20LUONG\14.%20N&#259;m%202026\PH&#201;P%20N&#258;M%202026_New.xlsx" TargetMode="External"/><Relationship Id="rId1" Type="http://schemas.openxmlformats.org/officeDocument/2006/relationships/externalLinkPath" Target="file:///L:\2.%20QUAN%20TRI%20NHAN%20SU\3.%20LUONG\14.%20N&#259;m%202026\PH&#201;P%20N&#258;M%202026_Ne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2.%20QUAN%20TRI%20NHAN%20SU\3.%20LUONG\14.%20N&#259;m%202026\L&#432;&#417;ng%20T06\1.%20L&#431;&#416;NG%20TH&#193;NG%2006\ADC_2026_Luong_Thang%2006_Bang%20luong%20CBCNV_.xlsx" TargetMode="External"/><Relationship Id="rId1" Type="http://schemas.openxmlformats.org/officeDocument/2006/relationships/externalLinkPath" Target="file:///L:\2.%20QUAN%20TRI%20NHAN%20SU\3.%20LUONG\14.%20N&#259;m%202026\L&#432;&#417;ng%20T06\1.%20L&#431;&#416;NG%20TH&#193;NG%2006\ADC_2026_Luong_Thang%2006_Bang%20luong%20CBCNV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V"/>
      <sheetName val="CN"/>
      <sheetName val="P_06-07"/>
      <sheetName val="Nghỉ việc_07"/>
    </sheetNames>
    <sheetDataSet>
      <sheetData sheetId="0">
        <row r="9">
          <cell r="B9" t="str">
            <v>NV0901</v>
          </cell>
          <cell r="C9" t="str">
            <v>Văn Phòng</v>
          </cell>
          <cell r="D9" t="str">
            <v>Nguyễn Trung Kiên</v>
          </cell>
          <cell r="E9" t="str">
            <v>VP</v>
          </cell>
          <cell r="F9">
            <v>44902</v>
          </cell>
          <cell r="G9"/>
          <cell r="H9">
            <v>21</v>
          </cell>
          <cell r="I9">
            <v>0</v>
          </cell>
          <cell r="J9">
            <v>1</v>
          </cell>
          <cell r="K9">
            <v>5</v>
          </cell>
          <cell r="L9"/>
          <cell r="M9">
            <v>2.5</v>
          </cell>
          <cell r="N9">
            <v>19</v>
          </cell>
          <cell r="O9">
            <v>0</v>
          </cell>
          <cell r="P9">
            <v>1</v>
          </cell>
          <cell r="Q9">
            <v>3</v>
          </cell>
          <cell r="R9"/>
          <cell r="S9">
            <v>0.5</v>
          </cell>
          <cell r="T9" t="e">
            <v>#REF!</v>
          </cell>
          <cell r="U9">
            <v>0</v>
          </cell>
          <cell r="V9" t="e">
            <v>#REF!</v>
          </cell>
          <cell r="W9" t="e">
            <v>#REF!</v>
          </cell>
          <cell r="X9"/>
          <cell r="Y9">
            <v>1.5</v>
          </cell>
          <cell r="Z9">
            <v>26</v>
          </cell>
          <cell r="AA9">
            <v>0</v>
          </cell>
          <cell r="AB9">
            <v>1</v>
          </cell>
          <cell r="AC9">
            <v>0</v>
          </cell>
          <cell r="AD9"/>
          <cell r="AE9">
            <v>2.5</v>
          </cell>
          <cell r="AF9">
            <v>24</v>
          </cell>
          <cell r="AG9">
            <v>0</v>
          </cell>
          <cell r="AH9">
            <v>1</v>
          </cell>
          <cell r="AI9">
            <v>0</v>
          </cell>
          <cell r="AJ9"/>
          <cell r="AK9">
            <v>3.5</v>
          </cell>
          <cell r="AL9">
            <v>26</v>
          </cell>
          <cell r="AM9">
            <v>0</v>
          </cell>
          <cell r="AN9">
            <v>1</v>
          </cell>
          <cell r="AO9">
            <v>0</v>
          </cell>
          <cell r="AP9"/>
          <cell r="AQ9">
            <v>4.5</v>
          </cell>
          <cell r="AR9">
            <v>24</v>
          </cell>
          <cell r="AS9">
            <v>0</v>
          </cell>
          <cell r="AT9">
            <v>1</v>
          </cell>
          <cell r="AU9">
            <v>1</v>
          </cell>
          <cell r="AV9"/>
          <cell r="AW9">
            <v>4.5</v>
          </cell>
          <cell r="AX9">
            <v>27</v>
          </cell>
          <cell r="AY9">
            <v>0</v>
          </cell>
          <cell r="AZ9">
            <v>1</v>
          </cell>
          <cell r="BA9">
            <v>0</v>
          </cell>
          <cell r="BB9"/>
          <cell r="BC9">
            <v>5.5</v>
          </cell>
          <cell r="BD9">
            <v>24</v>
          </cell>
          <cell r="BE9">
            <v>0</v>
          </cell>
          <cell r="BF9">
            <v>1</v>
          </cell>
          <cell r="BG9">
            <v>2</v>
          </cell>
          <cell r="BH9"/>
          <cell r="BI9">
            <v>4.5</v>
          </cell>
          <cell r="BJ9">
            <v>22</v>
          </cell>
          <cell r="BK9">
            <v>0</v>
          </cell>
          <cell r="BL9">
            <v>1</v>
          </cell>
          <cell r="BM9">
            <v>2</v>
          </cell>
          <cell r="BN9"/>
          <cell r="BO9">
            <v>3.5</v>
          </cell>
          <cell r="BP9">
            <v>27</v>
          </cell>
          <cell r="BQ9">
            <v>0</v>
          </cell>
          <cell r="BR9">
            <v>1</v>
          </cell>
          <cell r="BS9">
            <v>0</v>
          </cell>
          <cell r="BT9"/>
          <cell r="BU9">
            <v>4.5</v>
          </cell>
          <cell r="BV9">
            <v>25</v>
          </cell>
          <cell r="BW9">
            <v>0</v>
          </cell>
          <cell r="BX9">
            <v>1</v>
          </cell>
          <cell r="BY9">
            <v>0</v>
          </cell>
          <cell r="BZ9"/>
          <cell r="CA9">
            <v>5.5</v>
          </cell>
          <cell r="CB9">
            <v>27</v>
          </cell>
          <cell r="CC9">
            <v>0</v>
          </cell>
          <cell r="CD9">
            <v>1</v>
          </cell>
          <cell r="CE9">
            <v>0</v>
          </cell>
          <cell r="CF9"/>
          <cell r="CG9">
            <v>6.5</v>
          </cell>
          <cell r="CH9">
            <v>23</v>
          </cell>
          <cell r="CI9">
            <v>0</v>
          </cell>
          <cell r="CJ9">
            <v>1</v>
          </cell>
          <cell r="CK9">
            <v>3</v>
          </cell>
          <cell r="CL9"/>
          <cell r="CM9">
            <v>4.5</v>
          </cell>
          <cell r="CN9">
            <v>15.5</v>
          </cell>
          <cell r="CO9">
            <v>0</v>
          </cell>
          <cell r="CP9">
            <v>1</v>
          </cell>
          <cell r="CQ9">
            <v>3.5</v>
          </cell>
          <cell r="CR9"/>
          <cell r="CS9">
            <v>2</v>
          </cell>
          <cell r="CT9">
            <v>26</v>
          </cell>
          <cell r="CU9">
            <v>0</v>
          </cell>
          <cell r="CV9">
            <v>1</v>
          </cell>
          <cell r="CW9">
            <v>0</v>
          </cell>
          <cell r="CX9"/>
          <cell r="CY9">
            <v>3</v>
          </cell>
          <cell r="CZ9">
            <v>24</v>
          </cell>
          <cell r="DA9">
            <v>0</v>
          </cell>
          <cell r="DB9">
            <v>1</v>
          </cell>
          <cell r="DC9">
            <v>0</v>
          </cell>
          <cell r="DD9"/>
          <cell r="DE9">
            <v>4</v>
          </cell>
          <cell r="DF9">
            <v>22</v>
          </cell>
          <cell r="DG9">
            <v>0</v>
          </cell>
          <cell r="DH9">
            <v>1</v>
          </cell>
          <cell r="DI9">
            <v>3</v>
          </cell>
          <cell r="DJ9"/>
          <cell r="DK9">
            <v>2</v>
          </cell>
          <cell r="DL9">
            <v>3.4833333333333334</v>
          </cell>
        </row>
        <row r="10">
          <cell r="B10" t="str">
            <v>NV1288</v>
          </cell>
          <cell r="C10" t="str">
            <v>Văn Phòng</v>
          </cell>
          <cell r="D10" t="str">
            <v>Lee Yi Nuo</v>
          </cell>
          <cell r="E10" t="str">
            <v>VP</v>
          </cell>
          <cell r="F10" t="str">
            <v>20/09/2024</v>
          </cell>
          <cell r="G10"/>
          <cell r="H10">
            <v>26</v>
          </cell>
          <cell r="I10">
            <v>0</v>
          </cell>
          <cell r="J10">
            <v>1</v>
          </cell>
          <cell r="K10">
            <v>0</v>
          </cell>
          <cell r="L10"/>
          <cell r="M10">
            <v>0</v>
          </cell>
          <cell r="N10">
            <v>22</v>
          </cell>
          <cell r="O10">
            <v>0</v>
          </cell>
          <cell r="P10">
            <v>1</v>
          </cell>
          <cell r="Q10">
            <v>0</v>
          </cell>
          <cell r="R10"/>
          <cell r="S10">
            <v>0</v>
          </cell>
          <cell r="T10" t="e">
            <v>#REF!</v>
          </cell>
          <cell r="U10">
            <v>0</v>
          </cell>
          <cell r="V10" t="e">
            <v>#REF!</v>
          </cell>
          <cell r="W10" t="e">
            <v>#REF!</v>
          </cell>
          <cell r="X10"/>
          <cell r="Y10">
            <v>0</v>
          </cell>
          <cell r="Z10">
            <v>26</v>
          </cell>
          <cell r="AA10">
            <v>0</v>
          </cell>
          <cell r="AB10">
            <v>1</v>
          </cell>
          <cell r="AC10">
            <v>0</v>
          </cell>
          <cell r="AD10"/>
          <cell r="AE10">
            <v>1</v>
          </cell>
          <cell r="AF10">
            <v>24</v>
          </cell>
          <cell r="AG10">
            <v>0</v>
          </cell>
          <cell r="AH10">
            <v>1</v>
          </cell>
          <cell r="AI10">
            <v>0</v>
          </cell>
          <cell r="AJ10"/>
          <cell r="AK10">
            <v>2</v>
          </cell>
          <cell r="AL10">
            <v>24</v>
          </cell>
          <cell r="AM10">
            <v>0</v>
          </cell>
          <cell r="AN10">
            <v>1</v>
          </cell>
          <cell r="AO10">
            <v>0</v>
          </cell>
          <cell r="AP10"/>
          <cell r="AQ10">
            <v>3</v>
          </cell>
          <cell r="AR10">
            <v>25</v>
          </cell>
          <cell r="AS10">
            <v>0</v>
          </cell>
          <cell r="AT10">
            <v>1</v>
          </cell>
          <cell r="AU10">
            <v>0</v>
          </cell>
          <cell r="AV10"/>
          <cell r="AW10">
            <v>4</v>
          </cell>
          <cell r="AX10">
            <v>27</v>
          </cell>
          <cell r="AY10">
            <v>0</v>
          </cell>
          <cell r="AZ10">
            <v>1</v>
          </cell>
          <cell r="BA10">
            <v>0</v>
          </cell>
          <cell r="BB10"/>
          <cell r="BC10">
            <v>5</v>
          </cell>
          <cell r="BD10">
            <v>26</v>
          </cell>
          <cell r="BE10">
            <v>0</v>
          </cell>
          <cell r="BF10">
            <v>1</v>
          </cell>
          <cell r="BG10">
            <v>0</v>
          </cell>
          <cell r="BH10"/>
          <cell r="BI10">
            <v>6</v>
          </cell>
          <cell r="BJ10">
            <v>23</v>
          </cell>
          <cell r="BK10">
            <v>0</v>
          </cell>
          <cell r="BL10">
            <v>1</v>
          </cell>
          <cell r="BM10">
            <v>1</v>
          </cell>
          <cell r="BN10"/>
          <cell r="BO10">
            <v>6</v>
          </cell>
          <cell r="BP10">
            <v>27</v>
          </cell>
          <cell r="BQ10">
            <v>0</v>
          </cell>
          <cell r="BR10">
            <v>1</v>
          </cell>
          <cell r="BS10">
            <v>0</v>
          </cell>
          <cell r="BT10"/>
          <cell r="BU10">
            <v>7</v>
          </cell>
          <cell r="BV10">
            <v>25</v>
          </cell>
          <cell r="BW10">
            <v>0</v>
          </cell>
          <cell r="BX10">
            <v>1</v>
          </cell>
          <cell r="BY10">
            <v>0</v>
          </cell>
          <cell r="BZ10"/>
          <cell r="CA10">
            <v>8</v>
          </cell>
          <cell r="CB10">
            <v>27</v>
          </cell>
          <cell r="CC10">
            <v>0</v>
          </cell>
          <cell r="CD10">
            <v>1</v>
          </cell>
          <cell r="CE10">
            <v>0</v>
          </cell>
          <cell r="CF10"/>
          <cell r="CG10">
            <v>9</v>
          </cell>
          <cell r="CH10">
            <v>26</v>
          </cell>
          <cell r="CI10">
            <v>0</v>
          </cell>
          <cell r="CJ10">
            <v>1</v>
          </cell>
          <cell r="CK10">
            <v>0</v>
          </cell>
          <cell r="CL10"/>
          <cell r="CM10">
            <v>10</v>
          </cell>
          <cell r="CN10">
            <v>19</v>
          </cell>
          <cell r="CO10">
            <v>0</v>
          </cell>
          <cell r="CP10">
            <v>1</v>
          </cell>
          <cell r="CQ10">
            <v>0</v>
          </cell>
          <cell r="CR10"/>
          <cell r="CS10">
            <v>11</v>
          </cell>
          <cell r="CT10">
            <v>26</v>
          </cell>
          <cell r="CU10">
            <v>0</v>
          </cell>
          <cell r="CV10">
            <v>1</v>
          </cell>
          <cell r="CW10">
            <v>0</v>
          </cell>
          <cell r="CX10"/>
          <cell r="CY10">
            <v>3</v>
          </cell>
          <cell r="CZ10">
            <v>24</v>
          </cell>
          <cell r="DA10">
            <v>0</v>
          </cell>
          <cell r="DB10">
            <v>1</v>
          </cell>
          <cell r="DC10">
            <v>0</v>
          </cell>
          <cell r="DD10"/>
          <cell r="DE10">
            <v>4</v>
          </cell>
          <cell r="DF10">
            <v>25</v>
          </cell>
          <cell r="DG10">
            <v>0</v>
          </cell>
          <cell r="DH10">
            <v>1</v>
          </cell>
          <cell r="DI10">
            <v>0</v>
          </cell>
          <cell r="DJ10"/>
          <cell r="DK10">
            <v>5</v>
          </cell>
          <cell r="DL10">
            <v>1.6972222222222222</v>
          </cell>
        </row>
        <row r="11">
          <cell r="B11" t="str">
            <v>NV0011</v>
          </cell>
          <cell r="C11" t="str">
            <v>Văn Phòng</v>
          </cell>
          <cell r="D11" t="str">
            <v>Lê Thành Danh</v>
          </cell>
          <cell r="E11" t="str">
            <v>VP</v>
          </cell>
          <cell r="F11">
            <v>39609</v>
          </cell>
          <cell r="G11"/>
          <cell r="H11">
            <v>24</v>
          </cell>
          <cell r="I11">
            <v>0</v>
          </cell>
          <cell r="J11">
            <v>1</v>
          </cell>
          <cell r="K11">
            <v>2</v>
          </cell>
          <cell r="L11"/>
          <cell r="M11">
            <v>5</v>
          </cell>
          <cell r="N11">
            <v>22</v>
          </cell>
          <cell r="O11">
            <v>0</v>
          </cell>
          <cell r="P11">
            <v>1</v>
          </cell>
          <cell r="Q11">
            <v>0</v>
          </cell>
          <cell r="R11"/>
          <cell r="S11">
            <v>6</v>
          </cell>
          <cell r="T11" t="e">
            <v>#REF!</v>
          </cell>
          <cell r="U11">
            <v>0</v>
          </cell>
          <cell r="V11" t="e">
            <v>#REF!</v>
          </cell>
          <cell r="W11" t="e">
            <v>#REF!</v>
          </cell>
          <cell r="X11"/>
          <cell r="Y11">
            <v>2</v>
          </cell>
          <cell r="Z11">
            <v>26</v>
          </cell>
          <cell r="AA11">
            <v>0</v>
          </cell>
          <cell r="AB11">
            <v>1</v>
          </cell>
          <cell r="AC11">
            <v>0</v>
          </cell>
          <cell r="AD11"/>
          <cell r="AE11">
            <v>3</v>
          </cell>
          <cell r="AF11">
            <v>24</v>
          </cell>
          <cell r="AG11">
            <v>0</v>
          </cell>
          <cell r="AH11">
            <v>1</v>
          </cell>
          <cell r="AI11">
            <v>0</v>
          </cell>
          <cell r="AJ11"/>
          <cell r="AK11">
            <v>4</v>
          </cell>
          <cell r="AL11">
            <v>26</v>
          </cell>
          <cell r="AM11">
            <v>0</v>
          </cell>
          <cell r="AN11">
            <v>1</v>
          </cell>
          <cell r="AO11">
            <v>0</v>
          </cell>
          <cell r="AP11"/>
          <cell r="AQ11">
            <v>5</v>
          </cell>
          <cell r="AR11">
            <v>25</v>
          </cell>
          <cell r="AS11">
            <v>0</v>
          </cell>
          <cell r="AT11">
            <v>1</v>
          </cell>
          <cell r="AU11">
            <v>0</v>
          </cell>
          <cell r="AV11"/>
          <cell r="AW11">
            <v>9</v>
          </cell>
          <cell r="AX11">
            <v>27</v>
          </cell>
          <cell r="AY11">
            <v>0</v>
          </cell>
          <cell r="AZ11">
            <v>1</v>
          </cell>
          <cell r="BA11">
            <v>0</v>
          </cell>
          <cell r="BB11"/>
          <cell r="BC11">
            <v>10</v>
          </cell>
          <cell r="BD11">
            <v>26</v>
          </cell>
          <cell r="BE11">
            <v>0</v>
          </cell>
          <cell r="BF11">
            <v>1</v>
          </cell>
          <cell r="BG11">
            <v>0</v>
          </cell>
          <cell r="BH11"/>
          <cell r="BI11">
            <v>11</v>
          </cell>
          <cell r="BJ11">
            <v>18</v>
          </cell>
          <cell r="BK11">
            <v>0</v>
          </cell>
          <cell r="BL11">
            <v>1</v>
          </cell>
          <cell r="BM11">
            <v>6</v>
          </cell>
          <cell r="BN11"/>
          <cell r="BO11">
            <v>6</v>
          </cell>
          <cell r="BP11">
            <v>27</v>
          </cell>
          <cell r="BQ11">
            <v>0</v>
          </cell>
          <cell r="BR11">
            <v>1</v>
          </cell>
          <cell r="BS11">
            <v>0</v>
          </cell>
          <cell r="BT11"/>
          <cell r="BU11">
            <v>7</v>
          </cell>
          <cell r="BV11">
            <v>25</v>
          </cell>
          <cell r="BW11">
            <v>0</v>
          </cell>
          <cell r="BX11">
            <v>1</v>
          </cell>
          <cell r="BY11">
            <v>0</v>
          </cell>
          <cell r="BZ11"/>
          <cell r="CA11">
            <v>8</v>
          </cell>
          <cell r="CB11">
            <v>27</v>
          </cell>
          <cell r="CC11">
            <v>0</v>
          </cell>
          <cell r="CD11">
            <v>1</v>
          </cell>
          <cell r="CE11">
            <v>0</v>
          </cell>
          <cell r="CF11"/>
          <cell r="CG11">
            <v>9</v>
          </cell>
          <cell r="CH11">
            <v>26</v>
          </cell>
          <cell r="CI11">
            <v>0</v>
          </cell>
          <cell r="CJ11">
            <v>1</v>
          </cell>
          <cell r="CK11">
            <v>0</v>
          </cell>
          <cell r="CL11"/>
          <cell r="CM11">
            <v>10</v>
          </cell>
          <cell r="CN11">
            <v>19</v>
          </cell>
          <cell r="CO11">
            <v>0</v>
          </cell>
          <cell r="CP11">
            <v>1</v>
          </cell>
          <cell r="CQ11">
            <v>0</v>
          </cell>
          <cell r="CR11"/>
          <cell r="CS11">
            <v>11</v>
          </cell>
          <cell r="CT11">
            <v>26</v>
          </cell>
          <cell r="CU11">
            <v>0</v>
          </cell>
          <cell r="CV11">
            <v>1</v>
          </cell>
          <cell r="CW11">
            <v>0</v>
          </cell>
          <cell r="CX11"/>
          <cell r="CY11">
            <v>3</v>
          </cell>
          <cell r="CZ11">
            <v>24</v>
          </cell>
          <cell r="DA11">
            <v>0</v>
          </cell>
          <cell r="DB11">
            <v>1</v>
          </cell>
          <cell r="DC11">
            <v>0</v>
          </cell>
          <cell r="DD11"/>
          <cell r="DE11">
            <v>4</v>
          </cell>
          <cell r="DF11">
            <v>25</v>
          </cell>
          <cell r="DG11">
            <v>0</v>
          </cell>
          <cell r="DH11">
            <v>1</v>
          </cell>
          <cell r="DI11">
            <v>0</v>
          </cell>
          <cell r="DJ11"/>
          <cell r="DK11">
            <v>5</v>
          </cell>
          <cell r="DL11">
            <v>17.975000000000001</v>
          </cell>
        </row>
        <row r="12">
          <cell r="B12" t="str">
            <v>NV0009</v>
          </cell>
          <cell r="C12" t="str">
            <v>Văn Phòng</v>
          </cell>
          <cell r="D12" t="str">
            <v>Nguyễn Thị Liên</v>
          </cell>
          <cell r="E12" t="str">
            <v>VP</v>
          </cell>
          <cell r="F12">
            <v>41548</v>
          </cell>
          <cell r="G12"/>
          <cell r="H12">
            <v>24</v>
          </cell>
          <cell r="I12">
            <v>0</v>
          </cell>
          <cell r="J12">
            <v>1</v>
          </cell>
          <cell r="K12">
            <v>2</v>
          </cell>
          <cell r="L12"/>
          <cell r="M12">
            <v>0.5</v>
          </cell>
          <cell r="N12">
            <v>21</v>
          </cell>
          <cell r="O12">
            <v>0</v>
          </cell>
          <cell r="P12">
            <v>1</v>
          </cell>
          <cell r="Q12">
            <v>1</v>
          </cell>
          <cell r="R12"/>
          <cell r="S12">
            <v>0.5</v>
          </cell>
          <cell r="T12" t="e">
            <v>#REF!</v>
          </cell>
          <cell r="U12">
            <v>0</v>
          </cell>
          <cell r="V12" t="e">
            <v>#REF!</v>
          </cell>
          <cell r="W12" t="e">
            <v>#REF!</v>
          </cell>
          <cell r="X12"/>
          <cell r="Y12">
            <v>0.5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/>
          <cell r="AE12">
            <v>0.5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/>
          <cell r="AK12">
            <v>0.5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/>
          <cell r="AQ12">
            <v>0.5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/>
          <cell r="AW12">
            <v>2.5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/>
          <cell r="BC12">
            <v>2.5</v>
          </cell>
          <cell r="BD12">
            <v>23.5</v>
          </cell>
          <cell r="BE12">
            <v>0</v>
          </cell>
          <cell r="BF12">
            <v>1</v>
          </cell>
          <cell r="BG12">
            <v>0.5</v>
          </cell>
          <cell r="BH12"/>
          <cell r="BI12">
            <v>3</v>
          </cell>
          <cell r="BJ12">
            <v>23</v>
          </cell>
          <cell r="BK12">
            <v>0</v>
          </cell>
          <cell r="BL12">
            <v>1</v>
          </cell>
          <cell r="BM12">
            <v>1</v>
          </cell>
          <cell r="BN12"/>
          <cell r="BO12">
            <v>3</v>
          </cell>
          <cell r="BP12">
            <v>27</v>
          </cell>
          <cell r="BQ12">
            <v>0</v>
          </cell>
          <cell r="BR12">
            <v>1</v>
          </cell>
          <cell r="BS12">
            <v>0</v>
          </cell>
          <cell r="BT12"/>
          <cell r="BU12">
            <v>4</v>
          </cell>
          <cell r="BV12">
            <v>25</v>
          </cell>
          <cell r="BW12">
            <v>0</v>
          </cell>
          <cell r="BX12">
            <v>1</v>
          </cell>
          <cell r="BY12">
            <v>0</v>
          </cell>
          <cell r="BZ12"/>
          <cell r="CA12">
            <v>5</v>
          </cell>
          <cell r="CB12">
            <v>25</v>
          </cell>
          <cell r="CC12">
            <v>0</v>
          </cell>
          <cell r="CD12">
            <v>1</v>
          </cell>
          <cell r="CE12">
            <v>2</v>
          </cell>
          <cell r="CF12"/>
          <cell r="CG12">
            <v>4</v>
          </cell>
          <cell r="CH12">
            <v>26</v>
          </cell>
          <cell r="CI12">
            <v>0</v>
          </cell>
          <cell r="CJ12">
            <v>1</v>
          </cell>
          <cell r="CK12">
            <v>0</v>
          </cell>
          <cell r="CL12"/>
          <cell r="CM12">
            <v>5</v>
          </cell>
          <cell r="CN12">
            <v>18</v>
          </cell>
          <cell r="CO12">
            <v>0</v>
          </cell>
          <cell r="CP12">
            <v>1</v>
          </cell>
          <cell r="CQ12">
            <v>1</v>
          </cell>
          <cell r="CR12"/>
          <cell r="CS12">
            <v>5</v>
          </cell>
          <cell r="CT12">
            <v>23</v>
          </cell>
          <cell r="CU12">
            <v>0</v>
          </cell>
          <cell r="CV12">
            <v>1</v>
          </cell>
          <cell r="CW12">
            <v>3</v>
          </cell>
          <cell r="CX12"/>
          <cell r="CY12">
            <v>3</v>
          </cell>
          <cell r="CZ12">
            <v>24</v>
          </cell>
          <cell r="DA12">
            <v>0</v>
          </cell>
          <cell r="DB12">
            <v>1</v>
          </cell>
          <cell r="DC12">
            <v>0</v>
          </cell>
          <cell r="DD12"/>
          <cell r="DE12">
            <v>4</v>
          </cell>
          <cell r="DF12">
            <v>25</v>
          </cell>
          <cell r="DG12">
            <v>0</v>
          </cell>
          <cell r="DH12">
            <v>1</v>
          </cell>
          <cell r="DI12">
            <v>0</v>
          </cell>
          <cell r="DJ12"/>
          <cell r="DK12">
            <v>5</v>
          </cell>
          <cell r="DL12">
            <v>12.666666666666666</v>
          </cell>
        </row>
        <row r="13">
          <cell r="B13" t="str">
            <v>NV0958</v>
          </cell>
          <cell r="C13" t="str">
            <v>Văn Phòng</v>
          </cell>
          <cell r="D13" t="str">
            <v>Nguyễn Thị Hà</v>
          </cell>
          <cell r="E13" t="str">
            <v>VP</v>
          </cell>
          <cell r="F13">
            <v>45017</v>
          </cell>
          <cell r="G13"/>
          <cell r="H13">
            <v>26</v>
          </cell>
          <cell r="I13">
            <v>0</v>
          </cell>
          <cell r="J13">
            <v>1</v>
          </cell>
          <cell r="K13">
            <v>0</v>
          </cell>
          <cell r="L13"/>
          <cell r="M13">
            <v>0</v>
          </cell>
          <cell r="N13">
            <v>22</v>
          </cell>
          <cell r="O13">
            <v>0</v>
          </cell>
          <cell r="P13">
            <v>1</v>
          </cell>
          <cell r="Q13">
            <v>0</v>
          </cell>
          <cell r="R13"/>
          <cell r="S13">
            <v>0</v>
          </cell>
          <cell r="T13" t="e">
            <v>#REF!</v>
          </cell>
          <cell r="U13">
            <v>0</v>
          </cell>
          <cell r="V13" t="e">
            <v>#REF!</v>
          </cell>
          <cell r="W13" t="e">
            <v>#REF!</v>
          </cell>
          <cell r="X13"/>
          <cell r="Y13">
            <v>0</v>
          </cell>
          <cell r="Z13">
            <v>26</v>
          </cell>
          <cell r="AA13">
            <v>0</v>
          </cell>
          <cell r="AB13">
            <v>1</v>
          </cell>
          <cell r="AC13">
            <v>0</v>
          </cell>
          <cell r="AD13"/>
          <cell r="AE13">
            <v>1</v>
          </cell>
          <cell r="AF13">
            <v>24</v>
          </cell>
          <cell r="AG13">
            <v>0</v>
          </cell>
          <cell r="AH13">
            <v>1</v>
          </cell>
          <cell r="AI13">
            <v>0</v>
          </cell>
          <cell r="AJ13"/>
          <cell r="AK13">
            <v>2</v>
          </cell>
          <cell r="AL13">
            <v>26</v>
          </cell>
          <cell r="AM13">
            <v>0</v>
          </cell>
          <cell r="AN13">
            <v>1</v>
          </cell>
          <cell r="AO13">
            <v>0</v>
          </cell>
          <cell r="AP13"/>
          <cell r="AQ13">
            <v>3</v>
          </cell>
          <cell r="AR13">
            <v>25</v>
          </cell>
          <cell r="AS13">
            <v>0</v>
          </cell>
          <cell r="AT13">
            <v>1</v>
          </cell>
          <cell r="AU13">
            <v>0</v>
          </cell>
          <cell r="AV13"/>
          <cell r="AW13">
            <v>4</v>
          </cell>
          <cell r="AX13">
            <v>27</v>
          </cell>
          <cell r="AY13">
            <v>0</v>
          </cell>
          <cell r="AZ13">
            <v>1</v>
          </cell>
          <cell r="BA13">
            <v>0</v>
          </cell>
          <cell r="BB13"/>
          <cell r="BC13">
            <v>5</v>
          </cell>
          <cell r="BD13">
            <v>26</v>
          </cell>
          <cell r="BE13">
            <v>0</v>
          </cell>
          <cell r="BF13">
            <v>1</v>
          </cell>
          <cell r="BG13">
            <v>0</v>
          </cell>
          <cell r="BH13"/>
          <cell r="BI13">
            <v>6</v>
          </cell>
          <cell r="BJ13">
            <v>24</v>
          </cell>
          <cell r="BK13">
            <v>0</v>
          </cell>
          <cell r="BL13">
            <v>1</v>
          </cell>
          <cell r="BM13">
            <v>0</v>
          </cell>
          <cell r="BN13"/>
          <cell r="BO13">
            <v>7</v>
          </cell>
          <cell r="BP13">
            <v>27</v>
          </cell>
          <cell r="BQ13">
            <v>0</v>
          </cell>
          <cell r="BR13">
            <v>1</v>
          </cell>
          <cell r="BS13">
            <v>0</v>
          </cell>
          <cell r="BT13"/>
          <cell r="BU13">
            <v>8</v>
          </cell>
          <cell r="BV13">
            <v>25</v>
          </cell>
          <cell r="BW13">
            <v>0</v>
          </cell>
          <cell r="BX13">
            <v>1</v>
          </cell>
          <cell r="BY13">
            <v>0</v>
          </cell>
          <cell r="BZ13"/>
          <cell r="CA13">
            <v>9</v>
          </cell>
          <cell r="CB13">
            <v>27</v>
          </cell>
          <cell r="CC13">
            <v>0</v>
          </cell>
          <cell r="CD13">
            <v>1</v>
          </cell>
          <cell r="CE13">
            <v>0</v>
          </cell>
          <cell r="CF13"/>
          <cell r="CG13">
            <v>10</v>
          </cell>
          <cell r="CH13">
            <v>26</v>
          </cell>
          <cell r="CI13">
            <v>0</v>
          </cell>
          <cell r="CJ13">
            <v>1</v>
          </cell>
          <cell r="CK13">
            <v>0</v>
          </cell>
          <cell r="CL13"/>
          <cell r="CM13">
            <v>11</v>
          </cell>
          <cell r="CN13">
            <v>19</v>
          </cell>
          <cell r="CO13">
            <v>0</v>
          </cell>
          <cell r="CP13">
            <v>1</v>
          </cell>
          <cell r="CQ13">
            <v>0</v>
          </cell>
          <cell r="CR13"/>
          <cell r="CS13">
            <v>12</v>
          </cell>
          <cell r="CT13">
            <v>26</v>
          </cell>
          <cell r="CU13">
            <v>0</v>
          </cell>
          <cell r="CV13">
            <v>1</v>
          </cell>
          <cell r="CW13">
            <v>0</v>
          </cell>
          <cell r="CX13"/>
          <cell r="CY13">
            <v>3</v>
          </cell>
          <cell r="CZ13">
            <v>24</v>
          </cell>
          <cell r="DA13">
            <v>0</v>
          </cell>
          <cell r="DB13">
            <v>1</v>
          </cell>
          <cell r="DC13">
            <v>0</v>
          </cell>
          <cell r="DD13"/>
          <cell r="DE13">
            <v>4</v>
          </cell>
          <cell r="DF13">
            <v>25</v>
          </cell>
          <cell r="DG13">
            <v>0</v>
          </cell>
          <cell r="DH13">
            <v>1</v>
          </cell>
          <cell r="DI13">
            <v>0</v>
          </cell>
          <cell r="DJ13"/>
          <cell r="DK13">
            <v>5</v>
          </cell>
          <cell r="DL13">
            <v>3.1666666666666665</v>
          </cell>
        </row>
        <row r="14">
          <cell r="B14" t="str">
            <v>NV1528</v>
          </cell>
          <cell r="C14" t="str">
            <v>Văn Phòng</v>
          </cell>
          <cell r="D14" t="str">
            <v>Bùi Minh Vương</v>
          </cell>
          <cell r="E14" t="str">
            <v>VP</v>
          </cell>
          <cell r="F14">
            <v>45793</v>
          </cell>
          <cell r="G14"/>
          <cell r="H14">
            <v>24</v>
          </cell>
          <cell r="I14" t="str">
            <v>x</v>
          </cell>
          <cell r="J14">
            <v>0</v>
          </cell>
          <cell r="K14">
            <v>0</v>
          </cell>
          <cell r="L14"/>
          <cell r="M14">
            <v>0</v>
          </cell>
          <cell r="N14">
            <v>0</v>
          </cell>
          <cell r="O14" t="str">
            <v>x</v>
          </cell>
          <cell r="P14">
            <v>0</v>
          </cell>
          <cell r="Q14">
            <v>0</v>
          </cell>
          <cell r="R14"/>
          <cell r="S14">
            <v>0</v>
          </cell>
          <cell r="T14">
            <v>0</v>
          </cell>
          <cell r="U14" t="str">
            <v>x</v>
          </cell>
          <cell r="V14">
            <v>0</v>
          </cell>
          <cell r="W14">
            <v>0</v>
          </cell>
          <cell r="X14"/>
          <cell r="Y14">
            <v>0</v>
          </cell>
          <cell r="Z14">
            <v>3</v>
          </cell>
          <cell r="AA14" t="str">
            <v>x</v>
          </cell>
          <cell r="AB14">
            <v>0</v>
          </cell>
          <cell r="AC14">
            <v>0</v>
          </cell>
          <cell r="AD14"/>
          <cell r="AE14">
            <v>0</v>
          </cell>
          <cell r="AF14"/>
          <cell r="AG14" t="str">
            <v>x</v>
          </cell>
          <cell r="AH14">
            <v>0</v>
          </cell>
          <cell r="AI14">
            <v>0</v>
          </cell>
          <cell r="AJ14"/>
          <cell r="AK14">
            <v>0</v>
          </cell>
          <cell r="AL14">
            <v>14</v>
          </cell>
          <cell r="AM14" t="str">
            <v>x</v>
          </cell>
          <cell r="AN14">
            <v>0</v>
          </cell>
          <cell r="AO14">
            <v>0</v>
          </cell>
          <cell r="AP14"/>
          <cell r="AQ14">
            <v>1</v>
          </cell>
          <cell r="AR14">
            <v>25</v>
          </cell>
          <cell r="AS14" t="str">
            <v>x</v>
          </cell>
          <cell r="AT14">
            <v>0</v>
          </cell>
          <cell r="AU14">
            <v>0</v>
          </cell>
          <cell r="AV14"/>
          <cell r="AW14">
            <v>2</v>
          </cell>
          <cell r="AX14">
            <v>25</v>
          </cell>
          <cell r="AY14">
            <v>0</v>
          </cell>
          <cell r="AZ14">
            <v>1</v>
          </cell>
          <cell r="BA14">
            <v>2</v>
          </cell>
          <cell r="BB14"/>
          <cell r="BC14">
            <v>4</v>
          </cell>
          <cell r="BD14">
            <v>25</v>
          </cell>
          <cell r="BE14">
            <v>0</v>
          </cell>
          <cell r="BF14">
            <v>1</v>
          </cell>
          <cell r="BG14">
            <v>1</v>
          </cell>
          <cell r="BH14"/>
          <cell r="BI14">
            <v>5</v>
          </cell>
          <cell r="BJ14">
            <v>22</v>
          </cell>
          <cell r="BK14">
            <v>0</v>
          </cell>
          <cell r="BL14">
            <v>1</v>
          </cell>
          <cell r="BM14">
            <v>2</v>
          </cell>
          <cell r="BN14"/>
          <cell r="BO14">
            <v>5</v>
          </cell>
          <cell r="BP14">
            <v>26.5</v>
          </cell>
          <cell r="BQ14">
            <v>0</v>
          </cell>
          <cell r="BR14">
            <v>1</v>
          </cell>
          <cell r="BS14">
            <v>0.5</v>
          </cell>
          <cell r="BT14"/>
          <cell r="BU14">
            <v>5.5</v>
          </cell>
          <cell r="BV14">
            <v>24.5</v>
          </cell>
          <cell r="BW14">
            <v>0</v>
          </cell>
          <cell r="BX14">
            <v>1</v>
          </cell>
          <cell r="BY14">
            <v>0.5</v>
          </cell>
          <cell r="BZ14"/>
          <cell r="CA14">
            <v>6</v>
          </cell>
          <cell r="CB14">
            <v>26</v>
          </cell>
          <cell r="CC14">
            <v>0</v>
          </cell>
          <cell r="CD14">
            <v>1</v>
          </cell>
          <cell r="CE14">
            <v>1</v>
          </cell>
          <cell r="CF14"/>
          <cell r="CG14">
            <v>6</v>
          </cell>
          <cell r="CH14">
            <v>23</v>
          </cell>
          <cell r="CI14">
            <v>0</v>
          </cell>
          <cell r="CJ14">
            <v>1</v>
          </cell>
          <cell r="CK14">
            <v>3</v>
          </cell>
          <cell r="CL14"/>
          <cell r="CM14">
            <v>4</v>
          </cell>
          <cell r="CN14">
            <v>17.5</v>
          </cell>
          <cell r="CO14">
            <v>0</v>
          </cell>
          <cell r="CP14">
            <v>1</v>
          </cell>
          <cell r="CQ14">
            <v>1.5</v>
          </cell>
          <cell r="CR14"/>
          <cell r="CS14">
            <v>3.5</v>
          </cell>
          <cell r="CT14">
            <v>24.5</v>
          </cell>
          <cell r="CU14">
            <v>0</v>
          </cell>
          <cell r="CV14">
            <v>1</v>
          </cell>
          <cell r="CW14">
            <v>1.5</v>
          </cell>
          <cell r="CX14"/>
          <cell r="CY14">
            <v>3</v>
          </cell>
          <cell r="CZ14">
            <v>23</v>
          </cell>
          <cell r="DA14">
            <v>0</v>
          </cell>
          <cell r="DB14">
            <v>1</v>
          </cell>
          <cell r="DC14">
            <v>1</v>
          </cell>
          <cell r="DD14"/>
          <cell r="DE14">
            <v>3</v>
          </cell>
          <cell r="DF14">
            <v>23</v>
          </cell>
          <cell r="DG14">
            <v>0</v>
          </cell>
          <cell r="DH14">
            <v>1</v>
          </cell>
          <cell r="DI14">
            <v>2</v>
          </cell>
          <cell r="DJ14"/>
          <cell r="DK14">
            <v>2</v>
          </cell>
          <cell r="DL14">
            <v>1.0416666666666667</v>
          </cell>
        </row>
        <row r="15">
          <cell r="B15" t="str">
            <v>NV1318</v>
          </cell>
          <cell r="C15" t="str">
            <v>Văn Phòng</v>
          </cell>
          <cell r="D15" t="str">
            <v xml:space="preserve">Vũ Thị Phương Loan </v>
          </cell>
          <cell r="E15" t="str">
            <v>VP</v>
          </cell>
          <cell r="F15">
            <v>45586</v>
          </cell>
          <cell r="G15"/>
          <cell r="H15">
            <v>26</v>
          </cell>
          <cell r="I15">
            <v>0</v>
          </cell>
          <cell r="J15">
            <v>1</v>
          </cell>
          <cell r="K15">
            <v>0</v>
          </cell>
          <cell r="L15"/>
          <cell r="M15">
            <v>1</v>
          </cell>
          <cell r="N15">
            <v>22</v>
          </cell>
          <cell r="O15">
            <v>0</v>
          </cell>
          <cell r="P15">
            <v>1</v>
          </cell>
          <cell r="Q15">
            <v>0</v>
          </cell>
          <cell r="R15"/>
          <cell r="S15">
            <v>2</v>
          </cell>
          <cell r="T15" t="e">
            <v>#REF!</v>
          </cell>
          <cell r="U15">
            <v>0</v>
          </cell>
          <cell r="V15" t="e">
            <v>#REF!</v>
          </cell>
          <cell r="W15" t="e">
            <v>#REF!</v>
          </cell>
          <cell r="X15"/>
          <cell r="Y15">
            <v>2</v>
          </cell>
          <cell r="Z15">
            <v>26</v>
          </cell>
          <cell r="AA15">
            <v>0</v>
          </cell>
          <cell r="AB15">
            <v>1</v>
          </cell>
          <cell r="AC15">
            <v>0</v>
          </cell>
          <cell r="AD15"/>
          <cell r="AE15">
            <v>3</v>
          </cell>
          <cell r="AF15">
            <v>24</v>
          </cell>
          <cell r="AG15">
            <v>0</v>
          </cell>
          <cell r="AH15">
            <v>1</v>
          </cell>
          <cell r="AI15">
            <v>0</v>
          </cell>
          <cell r="AJ15"/>
          <cell r="AK15">
            <v>4</v>
          </cell>
          <cell r="AL15">
            <v>26</v>
          </cell>
          <cell r="AM15">
            <v>0</v>
          </cell>
          <cell r="AN15">
            <v>1</v>
          </cell>
          <cell r="AO15">
            <v>0</v>
          </cell>
          <cell r="AP15"/>
          <cell r="AQ15">
            <v>5</v>
          </cell>
          <cell r="AR15">
            <v>25</v>
          </cell>
          <cell r="AS15">
            <v>0</v>
          </cell>
          <cell r="AT15">
            <v>1</v>
          </cell>
          <cell r="AU15">
            <v>0</v>
          </cell>
          <cell r="AV15"/>
          <cell r="AW15">
            <v>6</v>
          </cell>
          <cell r="AX15">
            <v>27</v>
          </cell>
          <cell r="AY15">
            <v>0</v>
          </cell>
          <cell r="AZ15">
            <v>1</v>
          </cell>
          <cell r="BA15">
            <v>0</v>
          </cell>
          <cell r="BB15"/>
          <cell r="BC15">
            <v>7</v>
          </cell>
          <cell r="BD15">
            <v>26</v>
          </cell>
          <cell r="BE15">
            <v>0</v>
          </cell>
          <cell r="BF15">
            <v>1</v>
          </cell>
          <cell r="BG15">
            <v>0</v>
          </cell>
          <cell r="BH15"/>
          <cell r="BI15">
            <v>8</v>
          </cell>
          <cell r="BJ15">
            <v>24</v>
          </cell>
          <cell r="BK15">
            <v>0</v>
          </cell>
          <cell r="BL15">
            <v>1</v>
          </cell>
          <cell r="BM15">
            <v>0</v>
          </cell>
          <cell r="BN15"/>
          <cell r="BO15">
            <v>9</v>
          </cell>
          <cell r="BP15">
            <v>27</v>
          </cell>
          <cell r="BQ15">
            <v>0</v>
          </cell>
          <cell r="BR15">
            <v>1</v>
          </cell>
          <cell r="BS15">
            <v>0</v>
          </cell>
          <cell r="BT15"/>
          <cell r="BU15">
            <v>10</v>
          </cell>
          <cell r="BV15">
            <v>25</v>
          </cell>
          <cell r="BW15">
            <v>0</v>
          </cell>
          <cell r="BX15">
            <v>1</v>
          </cell>
          <cell r="BY15">
            <v>0</v>
          </cell>
          <cell r="BZ15"/>
          <cell r="CA15">
            <v>11</v>
          </cell>
          <cell r="CB15">
            <v>27</v>
          </cell>
          <cell r="CC15">
            <v>0</v>
          </cell>
          <cell r="CD15">
            <v>1</v>
          </cell>
          <cell r="CE15">
            <v>0</v>
          </cell>
          <cell r="CF15"/>
          <cell r="CG15">
            <v>12</v>
          </cell>
          <cell r="CH15">
            <v>26</v>
          </cell>
          <cell r="CI15">
            <v>0</v>
          </cell>
          <cell r="CJ15">
            <v>1</v>
          </cell>
          <cell r="CK15">
            <v>0</v>
          </cell>
          <cell r="CL15"/>
          <cell r="CM15">
            <v>13</v>
          </cell>
          <cell r="CN15">
            <v>19</v>
          </cell>
          <cell r="CO15">
            <v>0</v>
          </cell>
          <cell r="CP15">
            <v>1</v>
          </cell>
          <cell r="CQ15">
            <v>0</v>
          </cell>
          <cell r="CR15"/>
          <cell r="CS15">
            <v>14</v>
          </cell>
          <cell r="CT15">
            <v>26</v>
          </cell>
          <cell r="CU15">
            <v>0</v>
          </cell>
          <cell r="CV15">
            <v>1</v>
          </cell>
          <cell r="CW15">
            <v>0</v>
          </cell>
          <cell r="CX15"/>
          <cell r="CY15">
            <v>0</v>
          </cell>
          <cell r="CZ15">
            <v>24</v>
          </cell>
          <cell r="DA15">
            <v>0</v>
          </cell>
          <cell r="DB15">
            <v>1</v>
          </cell>
          <cell r="DC15">
            <v>0</v>
          </cell>
          <cell r="DD15"/>
          <cell r="DE15">
            <v>1</v>
          </cell>
          <cell r="DF15">
            <v>25</v>
          </cell>
          <cell r="DG15">
            <v>0</v>
          </cell>
          <cell r="DH15">
            <v>1</v>
          </cell>
          <cell r="DI15">
            <v>0</v>
          </cell>
          <cell r="DJ15"/>
          <cell r="DK15">
            <v>2</v>
          </cell>
          <cell r="DL15">
            <v>1.6111111111111112</v>
          </cell>
        </row>
        <row r="16">
          <cell r="B16" t="str">
            <v>NV0010</v>
          </cell>
          <cell r="C16" t="str">
            <v>Văn Phòng</v>
          </cell>
          <cell r="D16" t="str">
            <v>Nguyễn Trường Trung</v>
          </cell>
          <cell r="E16" t="str">
            <v>VP</v>
          </cell>
          <cell r="F16">
            <v>41932</v>
          </cell>
          <cell r="G16"/>
          <cell r="H16">
            <v>23</v>
          </cell>
          <cell r="I16">
            <v>0</v>
          </cell>
          <cell r="J16">
            <v>1</v>
          </cell>
          <cell r="K16">
            <v>3</v>
          </cell>
          <cell r="L16"/>
          <cell r="M16">
            <v>3</v>
          </cell>
          <cell r="N16">
            <v>20</v>
          </cell>
          <cell r="O16">
            <v>0</v>
          </cell>
          <cell r="P16">
            <v>1</v>
          </cell>
          <cell r="Q16">
            <v>2</v>
          </cell>
          <cell r="R16"/>
          <cell r="S16">
            <v>2</v>
          </cell>
          <cell r="T16" t="e">
            <v>#REF!</v>
          </cell>
          <cell r="U16">
            <v>0</v>
          </cell>
          <cell r="V16" t="e">
            <v>#REF!</v>
          </cell>
          <cell r="W16" t="e">
            <v>#REF!</v>
          </cell>
          <cell r="X16"/>
          <cell r="Y16">
            <v>2</v>
          </cell>
          <cell r="Z16">
            <v>26</v>
          </cell>
          <cell r="AA16">
            <v>0</v>
          </cell>
          <cell r="AB16">
            <v>1</v>
          </cell>
          <cell r="AC16">
            <v>0</v>
          </cell>
          <cell r="AD16"/>
          <cell r="AE16">
            <v>3</v>
          </cell>
          <cell r="AF16">
            <v>24</v>
          </cell>
          <cell r="AG16">
            <v>0</v>
          </cell>
          <cell r="AH16">
            <v>1</v>
          </cell>
          <cell r="AI16">
            <v>0</v>
          </cell>
          <cell r="AJ16"/>
          <cell r="AK16">
            <v>4</v>
          </cell>
          <cell r="AL16">
            <v>25</v>
          </cell>
          <cell r="AM16">
            <v>0</v>
          </cell>
          <cell r="AN16">
            <v>1</v>
          </cell>
          <cell r="AO16">
            <v>1</v>
          </cell>
          <cell r="AP16"/>
          <cell r="AQ16">
            <v>4</v>
          </cell>
          <cell r="AR16">
            <v>25</v>
          </cell>
          <cell r="AS16">
            <v>0</v>
          </cell>
          <cell r="AT16">
            <v>1</v>
          </cell>
          <cell r="AU16">
            <v>0</v>
          </cell>
          <cell r="AV16"/>
          <cell r="AW16">
            <v>7</v>
          </cell>
          <cell r="AX16">
            <v>23</v>
          </cell>
          <cell r="AY16">
            <v>0</v>
          </cell>
          <cell r="AZ16">
            <v>1</v>
          </cell>
          <cell r="BA16">
            <v>4</v>
          </cell>
          <cell r="BB16"/>
          <cell r="BC16">
            <v>4</v>
          </cell>
          <cell r="BD16">
            <v>26</v>
          </cell>
          <cell r="BE16">
            <v>0</v>
          </cell>
          <cell r="BF16">
            <v>1</v>
          </cell>
          <cell r="BG16">
            <v>0</v>
          </cell>
          <cell r="BH16"/>
          <cell r="BI16">
            <v>5</v>
          </cell>
          <cell r="BJ16">
            <v>23</v>
          </cell>
          <cell r="BK16">
            <v>0</v>
          </cell>
          <cell r="BL16">
            <v>1</v>
          </cell>
          <cell r="BM16">
            <v>1</v>
          </cell>
          <cell r="BN16"/>
          <cell r="BO16">
            <v>5</v>
          </cell>
          <cell r="BP16">
            <v>27</v>
          </cell>
          <cell r="BQ16">
            <v>0</v>
          </cell>
          <cell r="BR16">
            <v>1</v>
          </cell>
          <cell r="BS16">
            <v>0</v>
          </cell>
          <cell r="BT16"/>
          <cell r="BU16">
            <v>6</v>
          </cell>
          <cell r="BV16">
            <v>25</v>
          </cell>
          <cell r="BW16">
            <v>0</v>
          </cell>
          <cell r="BX16">
            <v>1</v>
          </cell>
          <cell r="BY16">
            <v>0</v>
          </cell>
          <cell r="BZ16"/>
          <cell r="CA16">
            <v>7</v>
          </cell>
          <cell r="CB16">
            <v>27</v>
          </cell>
          <cell r="CC16">
            <v>0</v>
          </cell>
          <cell r="CD16">
            <v>1</v>
          </cell>
          <cell r="CE16">
            <v>0</v>
          </cell>
          <cell r="CF16"/>
          <cell r="CG16">
            <v>8</v>
          </cell>
          <cell r="CH16">
            <v>26</v>
          </cell>
          <cell r="CI16">
            <v>0</v>
          </cell>
          <cell r="CJ16">
            <v>1</v>
          </cell>
          <cell r="CK16">
            <v>0</v>
          </cell>
          <cell r="CL16"/>
          <cell r="CM16">
            <v>9</v>
          </cell>
          <cell r="CN16">
            <v>19</v>
          </cell>
          <cell r="CO16">
            <v>0</v>
          </cell>
          <cell r="CP16">
            <v>1</v>
          </cell>
          <cell r="CQ16">
            <v>0</v>
          </cell>
          <cell r="CR16"/>
          <cell r="CS16">
            <v>10</v>
          </cell>
          <cell r="CT16">
            <v>15</v>
          </cell>
          <cell r="CU16">
            <v>0</v>
          </cell>
          <cell r="CV16">
            <v>1</v>
          </cell>
          <cell r="CW16">
            <v>11</v>
          </cell>
          <cell r="CX16"/>
          <cell r="CY16">
            <v>0</v>
          </cell>
          <cell r="CZ16">
            <v>24</v>
          </cell>
          <cell r="DA16">
            <v>0</v>
          </cell>
          <cell r="DB16">
            <v>1</v>
          </cell>
          <cell r="DC16">
            <v>0</v>
          </cell>
          <cell r="DD16"/>
          <cell r="DE16">
            <v>1</v>
          </cell>
          <cell r="DF16">
            <v>25</v>
          </cell>
          <cell r="DG16">
            <v>0</v>
          </cell>
          <cell r="DH16">
            <v>1</v>
          </cell>
          <cell r="DI16">
            <v>0</v>
          </cell>
          <cell r="DJ16"/>
          <cell r="DK16">
            <v>2</v>
          </cell>
          <cell r="DL16">
            <v>11.613888888888889</v>
          </cell>
        </row>
        <row r="17">
          <cell r="B17" t="str">
            <v>NV1458</v>
          </cell>
          <cell r="C17" t="str">
            <v>Văn Phòng</v>
          </cell>
          <cell r="D17" t="str">
            <v>Ngô Vương Tấn Kiệt</v>
          </cell>
          <cell r="E17" t="str">
            <v>VP</v>
          </cell>
          <cell r="F17" t="str">
            <v>03/03/2025</v>
          </cell>
          <cell r="G17"/>
          <cell r="H17">
            <v>17.5</v>
          </cell>
          <cell r="I17" t="str">
            <v>x</v>
          </cell>
          <cell r="J17">
            <v>0</v>
          </cell>
          <cell r="K17">
            <v>2.5</v>
          </cell>
          <cell r="L17"/>
          <cell r="M17">
            <v>0</v>
          </cell>
          <cell r="N17">
            <v>0</v>
          </cell>
          <cell r="O17" t="str">
            <v>x</v>
          </cell>
          <cell r="P17">
            <v>0</v>
          </cell>
          <cell r="Q17">
            <v>0</v>
          </cell>
          <cell r="R17"/>
          <cell r="S17">
            <v>0</v>
          </cell>
          <cell r="T17">
            <v>0</v>
          </cell>
          <cell r="U17" t="str">
            <v>x</v>
          </cell>
          <cell r="V17">
            <v>0</v>
          </cell>
          <cell r="W17">
            <v>0</v>
          </cell>
          <cell r="X17"/>
          <cell r="Y17">
            <v>0</v>
          </cell>
          <cell r="Z17">
            <v>25</v>
          </cell>
          <cell r="AA17" t="str">
            <v>x</v>
          </cell>
          <cell r="AB17">
            <v>0</v>
          </cell>
          <cell r="AC17">
            <v>0</v>
          </cell>
          <cell r="AD17"/>
          <cell r="AE17">
            <v>0</v>
          </cell>
          <cell r="AF17">
            <v>24</v>
          </cell>
          <cell r="AG17" t="str">
            <v>x</v>
          </cell>
          <cell r="AH17">
            <v>0</v>
          </cell>
          <cell r="AI17">
            <v>0</v>
          </cell>
          <cell r="AJ17"/>
          <cell r="AK17">
            <v>2</v>
          </cell>
          <cell r="AL17">
            <v>23</v>
          </cell>
          <cell r="AM17">
            <v>0</v>
          </cell>
          <cell r="AN17">
            <v>1</v>
          </cell>
          <cell r="AO17">
            <v>3</v>
          </cell>
          <cell r="AP17"/>
          <cell r="AQ17">
            <v>0</v>
          </cell>
          <cell r="AR17">
            <v>25</v>
          </cell>
          <cell r="AS17">
            <v>0</v>
          </cell>
          <cell r="AT17">
            <v>1</v>
          </cell>
          <cell r="AU17">
            <v>0</v>
          </cell>
          <cell r="AV17"/>
          <cell r="AW17">
            <v>1</v>
          </cell>
          <cell r="AX17">
            <v>27</v>
          </cell>
          <cell r="AY17">
            <v>0</v>
          </cell>
          <cell r="AZ17">
            <v>1</v>
          </cell>
          <cell r="BA17">
            <v>0</v>
          </cell>
          <cell r="BB17"/>
          <cell r="BC17">
            <v>2</v>
          </cell>
          <cell r="BD17">
            <v>24</v>
          </cell>
          <cell r="BE17">
            <v>0</v>
          </cell>
          <cell r="BF17">
            <v>1</v>
          </cell>
          <cell r="BG17">
            <v>2</v>
          </cell>
          <cell r="BH17"/>
          <cell r="BI17">
            <v>1</v>
          </cell>
          <cell r="BJ17">
            <v>23</v>
          </cell>
          <cell r="BK17">
            <v>0</v>
          </cell>
          <cell r="BL17">
            <v>1</v>
          </cell>
          <cell r="BM17">
            <v>1</v>
          </cell>
          <cell r="BN17"/>
          <cell r="BO17">
            <v>1</v>
          </cell>
          <cell r="BP17">
            <v>27</v>
          </cell>
          <cell r="BQ17">
            <v>0</v>
          </cell>
          <cell r="BR17">
            <v>1</v>
          </cell>
          <cell r="BS17">
            <v>0</v>
          </cell>
          <cell r="BT17"/>
          <cell r="BU17">
            <v>2</v>
          </cell>
          <cell r="BV17">
            <v>25</v>
          </cell>
          <cell r="BW17">
            <v>0</v>
          </cell>
          <cell r="BX17">
            <v>1</v>
          </cell>
          <cell r="BY17">
            <v>0</v>
          </cell>
          <cell r="BZ17"/>
          <cell r="CA17">
            <v>3</v>
          </cell>
          <cell r="CB17">
            <v>26</v>
          </cell>
          <cell r="CC17">
            <v>0</v>
          </cell>
          <cell r="CD17">
            <v>1</v>
          </cell>
          <cell r="CE17">
            <v>1</v>
          </cell>
          <cell r="CF17"/>
          <cell r="CG17">
            <v>3</v>
          </cell>
          <cell r="CH17">
            <v>24</v>
          </cell>
          <cell r="CI17">
            <v>0</v>
          </cell>
          <cell r="CJ17">
            <v>1</v>
          </cell>
          <cell r="CK17">
            <v>2</v>
          </cell>
          <cell r="CL17"/>
          <cell r="CM17">
            <v>2</v>
          </cell>
          <cell r="CN17">
            <v>18</v>
          </cell>
          <cell r="CO17">
            <v>0</v>
          </cell>
          <cell r="CP17">
            <v>1</v>
          </cell>
          <cell r="CQ17">
            <v>1</v>
          </cell>
          <cell r="CR17"/>
          <cell r="CS17">
            <v>2</v>
          </cell>
          <cell r="CT17">
            <v>23</v>
          </cell>
          <cell r="CU17">
            <v>0</v>
          </cell>
          <cell r="CV17">
            <v>1</v>
          </cell>
          <cell r="CW17">
            <v>3</v>
          </cell>
          <cell r="CX17"/>
          <cell r="CY17">
            <v>0</v>
          </cell>
          <cell r="CZ17">
            <v>24</v>
          </cell>
          <cell r="DA17">
            <v>0</v>
          </cell>
          <cell r="DB17">
            <v>1</v>
          </cell>
          <cell r="DC17">
            <v>0</v>
          </cell>
          <cell r="DD17"/>
          <cell r="DE17">
            <v>1</v>
          </cell>
          <cell r="DF17">
            <v>24</v>
          </cell>
          <cell r="DG17">
            <v>0</v>
          </cell>
          <cell r="DH17">
            <v>1</v>
          </cell>
          <cell r="DI17">
            <v>1</v>
          </cell>
          <cell r="DJ17"/>
          <cell r="DK17">
            <v>1</v>
          </cell>
          <cell r="DL17">
            <v>1.2444444444444445</v>
          </cell>
        </row>
        <row r="18">
          <cell r="B18" t="str">
            <v>NV1345</v>
          </cell>
          <cell r="C18" t="str">
            <v>Văn Phòng</v>
          </cell>
          <cell r="D18" t="str">
            <v>Trần Duy Luân</v>
          </cell>
          <cell r="E18" t="str">
            <v>VP</v>
          </cell>
          <cell r="F18">
            <v>45607</v>
          </cell>
          <cell r="G18"/>
          <cell r="H18">
            <v>22</v>
          </cell>
          <cell r="I18" t="str">
            <v>x</v>
          </cell>
          <cell r="J18">
            <v>0</v>
          </cell>
          <cell r="K18">
            <v>0</v>
          </cell>
          <cell r="L18"/>
          <cell r="M18">
            <v>0</v>
          </cell>
          <cell r="N18">
            <v>20.625</v>
          </cell>
          <cell r="O18">
            <v>0</v>
          </cell>
          <cell r="P18">
            <v>1</v>
          </cell>
          <cell r="Q18">
            <v>0</v>
          </cell>
          <cell r="R18"/>
          <cell r="S18">
            <v>4</v>
          </cell>
          <cell r="T18" t="e">
            <v>#REF!</v>
          </cell>
          <cell r="U18">
            <v>0</v>
          </cell>
          <cell r="V18" t="e">
            <v>#REF!</v>
          </cell>
          <cell r="W18" t="e">
            <v>#REF!</v>
          </cell>
          <cell r="X18"/>
          <cell r="Y18">
            <v>5</v>
          </cell>
          <cell r="Z18">
            <v>24.5</v>
          </cell>
          <cell r="AA18">
            <v>0</v>
          </cell>
          <cell r="AB18">
            <v>1</v>
          </cell>
          <cell r="AC18">
            <v>1.5</v>
          </cell>
          <cell r="AD18"/>
          <cell r="AE18">
            <v>4.5</v>
          </cell>
          <cell r="AF18">
            <v>21.5</v>
          </cell>
          <cell r="AG18">
            <v>0</v>
          </cell>
          <cell r="AH18">
            <v>1</v>
          </cell>
          <cell r="AI18">
            <v>2.5</v>
          </cell>
          <cell r="AJ18"/>
          <cell r="AK18">
            <v>3</v>
          </cell>
          <cell r="AL18">
            <v>24</v>
          </cell>
          <cell r="AM18">
            <v>0</v>
          </cell>
          <cell r="AN18">
            <v>1</v>
          </cell>
          <cell r="AO18">
            <v>2</v>
          </cell>
          <cell r="AP18"/>
          <cell r="AQ18">
            <v>2</v>
          </cell>
          <cell r="AR18">
            <v>22</v>
          </cell>
          <cell r="AS18">
            <v>0</v>
          </cell>
          <cell r="AT18">
            <v>1</v>
          </cell>
          <cell r="AU18">
            <v>3</v>
          </cell>
          <cell r="AV18"/>
          <cell r="AW18">
            <v>0</v>
          </cell>
          <cell r="AX18">
            <v>27</v>
          </cell>
          <cell r="AY18">
            <v>0</v>
          </cell>
          <cell r="AZ18">
            <v>1</v>
          </cell>
          <cell r="BA18">
            <v>0</v>
          </cell>
          <cell r="BB18"/>
          <cell r="BC18">
            <v>1</v>
          </cell>
          <cell r="BD18">
            <v>26</v>
          </cell>
          <cell r="BE18">
            <v>0</v>
          </cell>
          <cell r="BF18">
            <v>1</v>
          </cell>
          <cell r="BG18">
            <v>0</v>
          </cell>
          <cell r="BH18"/>
          <cell r="BI18">
            <v>2</v>
          </cell>
          <cell r="BJ18">
            <v>22.5</v>
          </cell>
          <cell r="BK18">
            <v>0</v>
          </cell>
          <cell r="BL18">
            <v>1</v>
          </cell>
          <cell r="BM18">
            <v>1.5</v>
          </cell>
          <cell r="BN18"/>
          <cell r="BO18">
            <v>1.5</v>
          </cell>
          <cell r="BP18">
            <v>27</v>
          </cell>
          <cell r="BQ18">
            <v>0</v>
          </cell>
          <cell r="BR18">
            <v>1</v>
          </cell>
          <cell r="BS18">
            <v>0</v>
          </cell>
          <cell r="BT18"/>
          <cell r="BU18">
            <v>2.5</v>
          </cell>
          <cell r="BV18">
            <v>23</v>
          </cell>
          <cell r="BW18">
            <v>0</v>
          </cell>
          <cell r="BX18">
            <v>1</v>
          </cell>
          <cell r="BY18">
            <v>2</v>
          </cell>
          <cell r="BZ18"/>
          <cell r="CA18">
            <v>1.5</v>
          </cell>
          <cell r="CB18">
            <v>25.5</v>
          </cell>
          <cell r="CC18">
            <v>0</v>
          </cell>
          <cell r="CD18">
            <v>1</v>
          </cell>
          <cell r="CE18">
            <v>1.5</v>
          </cell>
          <cell r="CF18"/>
          <cell r="CG18">
            <v>1</v>
          </cell>
          <cell r="CH18">
            <v>25</v>
          </cell>
          <cell r="CI18">
            <v>0</v>
          </cell>
          <cell r="CJ18">
            <v>1</v>
          </cell>
          <cell r="CK18">
            <v>1</v>
          </cell>
          <cell r="CL18"/>
          <cell r="CM18">
            <v>1</v>
          </cell>
          <cell r="CN18">
            <v>15</v>
          </cell>
          <cell r="CO18">
            <v>0</v>
          </cell>
          <cell r="CP18">
            <v>1</v>
          </cell>
          <cell r="CQ18">
            <v>4</v>
          </cell>
          <cell r="CR18"/>
          <cell r="CS18">
            <v>-2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/>
          <cell r="CY18">
            <v>-2</v>
          </cell>
          <cell r="CZ18">
            <v>12</v>
          </cell>
          <cell r="DA18">
            <v>0</v>
          </cell>
          <cell r="DB18">
            <v>0</v>
          </cell>
          <cell r="DC18">
            <v>0</v>
          </cell>
          <cell r="DD18"/>
          <cell r="DE18">
            <v>-2</v>
          </cell>
          <cell r="DF18">
            <v>22</v>
          </cell>
          <cell r="DG18">
            <v>0</v>
          </cell>
          <cell r="DH18">
            <v>1</v>
          </cell>
          <cell r="DI18">
            <v>0</v>
          </cell>
          <cell r="DJ18"/>
          <cell r="DK18">
            <v>-1</v>
          </cell>
          <cell r="DL18">
            <v>1.5555555555555556</v>
          </cell>
        </row>
        <row r="19">
          <cell r="B19" t="str">
            <v>NV1492</v>
          </cell>
          <cell r="C19" t="str">
            <v>Văn Phòng</v>
          </cell>
          <cell r="D19" t="str">
            <v>Nguyễn Mỹ Cảnh</v>
          </cell>
          <cell r="E19" t="str">
            <v>VP</v>
          </cell>
          <cell r="F19">
            <v>45761</v>
          </cell>
          <cell r="G19"/>
          <cell r="H19">
            <v>22</v>
          </cell>
          <cell r="I19" t="str">
            <v>x</v>
          </cell>
          <cell r="J19">
            <v>0</v>
          </cell>
          <cell r="K19">
            <v>0</v>
          </cell>
          <cell r="L19"/>
          <cell r="M19">
            <v>0</v>
          </cell>
          <cell r="N19" t="e">
            <v>#N/A</v>
          </cell>
          <cell r="O19" t="str">
            <v>x</v>
          </cell>
          <cell r="P19">
            <v>0</v>
          </cell>
          <cell r="Q19" t="e">
            <v>#N/A</v>
          </cell>
          <cell r="R19"/>
          <cell r="S19">
            <v>0</v>
          </cell>
          <cell r="T19" t="e">
            <v>#REF!</v>
          </cell>
          <cell r="U19" t="str">
            <v>x</v>
          </cell>
          <cell r="V19">
            <v>0</v>
          </cell>
          <cell r="W19" t="e">
            <v>#REF!</v>
          </cell>
          <cell r="X19"/>
          <cell r="Y19">
            <v>0</v>
          </cell>
          <cell r="Z19">
            <v>5</v>
          </cell>
          <cell r="AA19" t="str">
            <v>x</v>
          </cell>
          <cell r="AB19">
            <v>0</v>
          </cell>
          <cell r="AC19">
            <v>0</v>
          </cell>
          <cell r="AD19"/>
          <cell r="AE19">
            <v>0</v>
          </cell>
          <cell r="AF19">
            <v>14</v>
          </cell>
          <cell r="AG19" t="str">
            <v>x</v>
          </cell>
          <cell r="AH19">
            <v>0</v>
          </cell>
          <cell r="AI19">
            <v>0</v>
          </cell>
          <cell r="AJ19"/>
          <cell r="AK19">
            <v>0</v>
          </cell>
          <cell r="AL19">
            <v>26</v>
          </cell>
          <cell r="AM19" t="str">
            <v>x</v>
          </cell>
          <cell r="AN19">
            <v>0</v>
          </cell>
          <cell r="AO19">
            <v>0</v>
          </cell>
          <cell r="AP19"/>
          <cell r="AQ19">
            <v>1</v>
          </cell>
          <cell r="AR19">
            <v>24</v>
          </cell>
          <cell r="AS19">
            <v>0</v>
          </cell>
          <cell r="AT19">
            <v>1</v>
          </cell>
          <cell r="AU19">
            <v>1</v>
          </cell>
          <cell r="AV19"/>
          <cell r="AW19">
            <v>2</v>
          </cell>
          <cell r="AX19">
            <v>27</v>
          </cell>
          <cell r="AY19">
            <v>0</v>
          </cell>
          <cell r="AZ19">
            <v>1</v>
          </cell>
          <cell r="BA19">
            <v>0</v>
          </cell>
          <cell r="BB19"/>
          <cell r="BC19">
            <v>3</v>
          </cell>
          <cell r="BD19">
            <v>25</v>
          </cell>
          <cell r="BE19">
            <v>0</v>
          </cell>
          <cell r="BF19">
            <v>1</v>
          </cell>
          <cell r="BG19">
            <v>1</v>
          </cell>
          <cell r="BH19"/>
          <cell r="BI19">
            <v>3</v>
          </cell>
          <cell r="BJ19">
            <v>23</v>
          </cell>
          <cell r="BK19">
            <v>0</v>
          </cell>
          <cell r="BL19">
            <v>1</v>
          </cell>
          <cell r="BM19">
            <v>1</v>
          </cell>
          <cell r="BN19"/>
          <cell r="BO19">
            <v>3</v>
          </cell>
          <cell r="BP19">
            <v>27</v>
          </cell>
          <cell r="BQ19">
            <v>0</v>
          </cell>
          <cell r="BR19">
            <v>1</v>
          </cell>
          <cell r="BS19">
            <v>0</v>
          </cell>
          <cell r="BT19"/>
          <cell r="BU19">
            <v>4</v>
          </cell>
          <cell r="BV19">
            <v>25</v>
          </cell>
          <cell r="BW19">
            <v>0</v>
          </cell>
          <cell r="BX19">
            <v>1</v>
          </cell>
          <cell r="BY19">
            <v>0</v>
          </cell>
          <cell r="BZ19"/>
          <cell r="CA19">
            <v>5</v>
          </cell>
          <cell r="CB19">
            <v>26</v>
          </cell>
          <cell r="CC19">
            <v>0</v>
          </cell>
          <cell r="CD19">
            <v>1</v>
          </cell>
          <cell r="CE19">
            <v>1</v>
          </cell>
          <cell r="CF19"/>
          <cell r="CG19">
            <v>5</v>
          </cell>
          <cell r="CH19">
            <v>25</v>
          </cell>
          <cell r="CI19">
            <v>0</v>
          </cell>
          <cell r="CJ19">
            <v>1</v>
          </cell>
          <cell r="CK19">
            <v>1</v>
          </cell>
          <cell r="CL19"/>
          <cell r="CM19">
            <v>5</v>
          </cell>
          <cell r="CN19">
            <v>19</v>
          </cell>
          <cell r="CO19">
            <v>0</v>
          </cell>
          <cell r="CP19">
            <v>1</v>
          </cell>
          <cell r="CQ19">
            <v>0</v>
          </cell>
          <cell r="CR19"/>
          <cell r="CS19">
            <v>6</v>
          </cell>
          <cell r="CT19">
            <v>25</v>
          </cell>
          <cell r="CU19">
            <v>0</v>
          </cell>
          <cell r="CV19">
            <v>1</v>
          </cell>
          <cell r="CW19">
            <v>1</v>
          </cell>
          <cell r="CX19"/>
          <cell r="CY19">
            <v>3</v>
          </cell>
          <cell r="CZ19">
            <v>22</v>
          </cell>
          <cell r="DA19">
            <v>0</v>
          </cell>
          <cell r="DB19">
            <v>1</v>
          </cell>
          <cell r="DC19">
            <v>2</v>
          </cell>
          <cell r="DD19"/>
          <cell r="DE19">
            <v>2</v>
          </cell>
          <cell r="DF19">
            <v>23</v>
          </cell>
          <cell r="DG19">
            <v>0</v>
          </cell>
          <cell r="DH19">
            <v>1</v>
          </cell>
          <cell r="DI19">
            <v>2</v>
          </cell>
          <cell r="DJ19"/>
          <cell r="DK19">
            <v>1</v>
          </cell>
          <cell r="DL19">
            <v>1.1305555555555555</v>
          </cell>
        </row>
        <row r="20">
          <cell r="B20" t="str">
            <v>NV1241</v>
          </cell>
          <cell r="C20" t="str">
            <v>Văn Phòng</v>
          </cell>
          <cell r="D20" t="str">
            <v>Tô Thị Mỹ Duyên</v>
          </cell>
          <cell r="E20" t="str">
            <v>VP</v>
          </cell>
          <cell r="F20">
            <v>45418</v>
          </cell>
          <cell r="G20"/>
          <cell r="H20">
            <v>23.75</v>
          </cell>
          <cell r="I20">
            <v>0</v>
          </cell>
          <cell r="J20">
            <v>1</v>
          </cell>
          <cell r="K20">
            <v>2</v>
          </cell>
          <cell r="L20"/>
          <cell r="M20">
            <v>1.5</v>
          </cell>
          <cell r="N20">
            <v>19.5</v>
          </cell>
          <cell r="O20">
            <v>0</v>
          </cell>
          <cell r="P20">
            <v>1</v>
          </cell>
          <cell r="Q20">
            <v>2.5</v>
          </cell>
          <cell r="R20"/>
          <cell r="S20">
            <v>2.5</v>
          </cell>
          <cell r="T20" t="e">
            <v>#REF!</v>
          </cell>
          <cell r="U20">
            <v>0</v>
          </cell>
          <cell r="V20" t="e">
            <v>#REF!</v>
          </cell>
          <cell r="W20" t="e">
            <v>#REF!</v>
          </cell>
          <cell r="X20"/>
          <cell r="Y20">
            <v>3.5</v>
          </cell>
          <cell r="Z20">
            <v>25</v>
          </cell>
          <cell r="AA20">
            <v>0</v>
          </cell>
          <cell r="AB20">
            <v>1</v>
          </cell>
          <cell r="AC20">
            <v>1</v>
          </cell>
          <cell r="AD20"/>
          <cell r="AE20">
            <v>3.5</v>
          </cell>
          <cell r="AF20">
            <v>24</v>
          </cell>
          <cell r="AG20">
            <v>0</v>
          </cell>
          <cell r="AH20">
            <v>1</v>
          </cell>
          <cell r="AI20">
            <v>0</v>
          </cell>
          <cell r="AJ20"/>
          <cell r="AK20">
            <v>4.5</v>
          </cell>
          <cell r="AL20">
            <v>23</v>
          </cell>
          <cell r="AM20">
            <v>0</v>
          </cell>
          <cell r="AN20">
            <v>1</v>
          </cell>
          <cell r="AO20">
            <v>3</v>
          </cell>
          <cell r="AP20"/>
          <cell r="AQ20">
            <v>2.5</v>
          </cell>
          <cell r="AR20">
            <v>24</v>
          </cell>
          <cell r="AS20">
            <v>0</v>
          </cell>
          <cell r="AT20">
            <v>1</v>
          </cell>
          <cell r="AU20">
            <v>1</v>
          </cell>
          <cell r="AV20"/>
          <cell r="AW20">
            <v>2.5</v>
          </cell>
          <cell r="AX20">
            <v>26</v>
          </cell>
          <cell r="AY20">
            <v>0</v>
          </cell>
          <cell r="AZ20">
            <v>1</v>
          </cell>
          <cell r="BA20">
            <v>1</v>
          </cell>
          <cell r="BB20"/>
          <cell r="BC20">
            <v>2.5</v>
          </cell>
          <cell r="BD20">
            <v>23.5</v>
          </cell>
          <cell r="BE20">
            <v>0</v>
          </cell>
          <cell r="BF20">
            <v>1</v>
          </cell>
          <cell r="BG20">
            <v>2.5</v>
          </cell>
          <cell r="BH20"/>
          <cell r="BI20">
            <v>1</v>
          </cell>
          <cell r="BJ20">
            <v>22.5</v>
          </cell>
          <cell r="BK20">
            <v>0</v>
          </cell>
          <cell r="BL20">
            <v>1</v>
          </cell>
          <cell r="BM20">
            <v>1.5</v>
          </cell>
          <cell r="BN20"/>
          <cell r="BO20">
            <v>0.5</v>
          </cell>
          <cell r="BP20">
            <v>27</v>
          </cell>
          <cell r="BQ20">
            <v>0</v>
          </cell>
          <cell r="BR20">
            <v>1</v>
          </cell>
          <cell r="BS20">
            <v>0</v>
          </cell>
          <cell r="BT20"/>
          <cell r="BU20">
            <v>1.5</v>
          </cell>
          <cell r="BV20">
            <v>23.5</v>
          </cell>
          <cell r="BW20">
            <v>0</v>
          </cell>
          <cell r="BX20">
            <v>1</v>
          </cell>
          <cell r="BY20">
            <v>1.5</v>
          </cell>
          <cell r="BZ20"/>
          <cell r="CA20">
            <v>1</v>
          </cell>
          <cell r="CB20">
            <v>26</v>
          </cell>
          <cell r="CC20">
            <v>0</v>
          </cell>
          <cell r="CD20">
            <v>1</v>
          </cell>
          <cell r="CE20">
            <v>1</v>
          </cell>
          <cell r="CF20"/>
          <cell r="CG20">
            <v>1</v>
          </cell>
          <cell r="CH20">
            <v>26</v>
          </cell>
          <cell r="CI20">
            <v>0</v>
          </cell>
          <cell r="CJ20">
            <v>1</v>
          </cell>
          <cell r="CK20">
            <v>0</v>
          </cell>
          <cell r="CL20"/>
          <cell r="CM20">
            <v>2</v>
          </cell>
          <cell r="CN20">
            <v>18</v>
          </cell>
          <cell r="CO20">
            <v>0</v>
          </cell>
          <cell r="CP20">
            <v>1</v>
          </cell>
          <cell r="CQ20">
            <v>1</v>
          </cell>
          <cell r="CR20"/>
          <cell r="CS20">
            <v>2</v>
          </cell>
          <cell r="CT20">
            <v>26</v>
          </cell>
          <cell r="CU20">
            <v>0</v>
          </cell>
          <cell r="CV20">
            <v>1</v>
          </cell>
          <cell r="CW20">
            <v>0</v>
          </cell>
          <cell r="CX20"/>
          <cell r="CY20">
            <v>3</v>
          </cell>
          <cell r="CZ20">
            <v>22</v>
          </cell>
          <cell r="DA20">
            <v>0</v>
          </cell>
          <cell r="DB20">
            <v>1</v>
          </cell>
          <cell r="DC20">
            <v>2</v>
          </cell>
          <cell r="DD20"/>
          <cell r="DE20">
            <v>2</v>
          </cell>
          <cell r="DF20">
            <v>24</v>
          </cell>
          <cell r="DG20">
            <v>0</v>
          </cell>
          <cell r="DH20">
            <v>1</v>
          </cell>
          <cell r="DI20">
            <v>1</v>
          </cell>
          <cell r="DJ20"/>
          <cell r="DK20">
            <v>2</v>
          </cell>
          <cell r="DL20">
            <v>2.0694444444444446</v>
          </cell>
        </row>
        <row r="21">
          <cell r="B21" t="str">
            <v>NV1309</v>
          </cell>
          <cell r="C21" t="str">
            <v>Văn Phòng</v>
          </cell>
          <cell r="D21" t="str">
            <v>Trần Anh Duy</v>
          </cell>
          <cell r="E21" t="str">
            <v>VP</v>
          </cell>
          <cell r="F21">
            <v>45559</v>
          </cell>
          <cell r="G21"/>
          <cell r="H21">
            <v>20</v>
          </cell>
          <cell r="I21">
            <v>0</v>
          </cell>
          <cell r="J21">
            <v>1</v>
          </cell>
          <cell r="K21">
            <v>6</v>
          </cell>
          <cell r="L21"/>
          <cell r="M21">
            <v>1</v>
          </cell>
          <cell r="N21">
            <v>22</v>
          </cell>
          <cell r="O21">
            <v>0</v>
          </cell>
          <cell r="P21">
            <v>1</v>
          </cell>
          <cell r="Q21">
            <v>0</v>
          </cell>
          <cell r="R21"/>
          <cell r="S21">
            <v>2</v>
          </cell>
          <cell r="T21" t="e">
            <v>#REF!</v>
          </cell>
          <cell r="U21">
            <v>0</v>
          </cell>
          <cell r="V21" t="e">
            <v>#REF!</v>
          </cell>
          <cell r="W21" t="e">
            <v>#REF!</v>
          </cell>
          <cell r="X21"/>
          <cell r="Y21">
            <v>3</v>
          </cell>
          <cell r="Z21">
            <v>25</v>
          </cell>
          <cell r="AA21">
            <v>0</v>
          </cell>
          <cell r="AB21">
            <v>1</v>
          </cell>
          <cell r="AC21">
            <v>1</v>
          </cell>
          <cell r="AD21"/>
          <cell r="AE21">
            <v>3</v>
          </cell>
          <cell r="AF21">
            <v>24</v>
          </cell>
          <cell r="AG21">
            <v>0</v>
          </cell>
          <cell r="AH21">
            <v>1</v>
          </cell>
          <cell r="AI21">
            <v>0</v>
          </cell>
          <cell r="AJ21"/>
          <cell r="AK21">
            <v>4</v>
          </cell>
          <cell r="AL21">
            <v>24.5</v>
          </cell>
          <cell r="AM21">
            <v>0</v>
          </cell>
          <cell r="AN21">
            <v>1</v>
          </cell>
          <cell r="AO21">
            <v>1.5</v>
          </cell>
          <cell r="AP21"/>
          <cell r="AQ21">
            <v>3.5</v>
          </cell>
          <cell r="AR21">
            <v>23.5</v>
          </cell>
          <cell r="AS21">
            <v>0</v>
          </cell>
          <cell r="AT21">
            <v>1</v>
          </cell>
          <cell r="AU21">
            <v>1.5</v>
          </cell>
          <cell r="AV21"/>
          <cell r="AW21">
            <v>3</v>
          </cell>
          <cell r="AX21">
            <v>27</v>
          </cell>
          <cell r="AY21">
            <v>0</v>
          </cell>
          <cell r="AZ21">
            <v>1</v>
          </cell>
          <cell r="BA21">
            <v>0</v>
          </cell>
          <cell r="BB21"/>
          <cell r="BC21">
            <v>4</v>
          </cell>
          <cell r="BD21">
            <v>25.5</v>
          </cell>
          <cell r="BE21">
            <v>0</v>
          </cell>
          <cell r="BF21">
            <v>1</v>
          </cell>
          <cell r="BG21">
            <v>0.5</v>
          </cell>
          <cell r="BH21"/>
          <cell r="BI21">
            <v>4.5</v>
          </cell>
          <cell r="BJ21">
            <v>21</v>
          </cell>
          <cell r="BK21">
            <v>0</v>
          </cell>
          <cell r="BL21">
            <v>1</v>
          </cell>
          <cell r="BM21">
            <v>3</v>
          </cell>
          <cell r="BN21"/>
          <cell r="BO21">
            <v>2.5</v>
          </cell>
          <cell r="BP21">
            <v>26.5</v>
          </cell>
          <cell r="BQ21">
            <v>0</v>
          </cell>
          <cell r="BR21">
            <v>1</v>
          </cell>
          <cell r="BS21">
            <v>0.5</v>
          </cell>
          <cell r="BT21"/>
          <cell r="BU21">
            <v>3</v>
          </cell>
          <cell r="BV21">
            <v>24</v>
          </cell>
          <cell r="BW21">
            <v>0</v>
          </cell>
          <cell r="BX21">
            <v>1</v>
          </cell>
          <cell r="BY21">
            <v>1</v>
          </cell>
          <cell r="BZ21"/>
          <cell r="CA21">
            <v>3</v>
          </cell>
          <cell r="CB21">
            <v>27</v>
          </cell>
          <cell r="CC21">
            <v>0</v>
          </cell>
          <cell r="CD21">
            <v>1</v>
          </cell>
          <cell r="CE21">
            <v>0</v>
          </cell>
          <cell r="CF21"/>
          <cell r="CG21">
            <v>4</v>
          </cell>
          <cell r="CH21">
            <v>24.5</v>
          </cell>
          <cell r="CI21">
            <v>0</v>
          </cell>
          <cell r="CJ21">
            <v>1</v>
          </cell>
          <cell r="CK21">
            <v>1.5</v>
          </cell>
          <cell r="CL21"/>
          <cell r="CM21">
            <v>3.5</v>
          </cell>
          <cell r="CN21">
            <v>19</v>
          </cell>
          <cell r="CO21">
            <v>0</v>
          </cell>
          <cell r="CP21">
            <v>1</v>
          </cell>
          <cell r="CQ21">
            <v>0</v>
          </cell>
          <cell r="CR21"/>
          <cell r="CS21">
            <v>4.5</v>
          </cell>
          <cell r="CT21">
            <v>24</v>
          </cell>
          <cell r="CU21">
            <v>0</v>
          </cell>
          <cell r="CV21">
            <v>1</v>
          </cell>
          <cell r="CW21">
            <v>2</v>
          </cell>
          <cell r="CX21"/>
          <cell r="CY21">
            <v>3</v>
          </cell>
          <cell r="CZ21">
            <v>23</v>
          </cell>
          <cell r="DA21">
            <v>0</v>
          </cell>
          <cell r="DB21">
            <v>1</v>
          </cell>
          <cell r="DC21">
            <v>1</v>
          </cell>
          <cell r="DD21"/>
          <cell r="DE21">
            <v>3</v>
          </cell>
          <cell r="DF21">
            <v>23</v>
          </cell>
          <cell r="DG21">
            <v>0</v>
          </cell>
          <cell r="DH21">
            <v>1</v>
          </cell>
          <cell r="DI21">
            <v>2</v>
          </cell>
          <cell r="DJ21"/>
          <cell r="DK21">
            <v>2</v>
          </cell>
          <cell r="DL21">
            <v>1.6861111111111111</v>
          </cell>
        </row>
        <row r="22">
          <cell r="B22" t="str">
            <v>NV1378</v>
          </cell>
          <cell r="C22" t="str">
            <v>Văn Phòng</v>
          </cell>
          <cell r="D22" t="str">
            <v>Đào Khánh Duy</v>
          </cell>
          <cell r="E22" t="str">
            <v>VP</v>
          </cell>
          <cell r="F22" t="str">
            <v>04/12/2024</v>
          </cell>
          <cell r="G22"/>
          <cell r="H22">
            <v>24</v>
          </cell>
          <cell r="I22" t="str">
            <v>x</v>
          </cell>
          <cell r="J22">
            <v>0</v>
          </cell>
          <cell r="K22">
            <v>0</v>
          </cell>
          <cell r="L22"/>
          <cell r="M22">
            <v>0</v>
          </cell>
          <cell r="N22">
            <v>22</v>
          </cell>
          <cell r="O22" t="str">
            <v>x</v>
          </cell>
          <cell r="P22">
            <v>0</v>
          </cell>
          <cell r="Q22">
            <v>0</v>
          </cell>
          <cell r="R22"/>
          <cell r="S22">
            <v>0</v>
          </cell>
          <cell r="T22" t="e">
            <v>#REF!</v>
          </cell>
          <cell r="U22">
            <v>0</v>
          </cell>
          <cell r="V22" t="e">
            <v>#REF!</v>
          </cell>
          <cell r="W22" t="e">
            <v>#REF!</v>
          </cell>
          <cell r="X22"/>
          <cell r="Y22">
            <v>2</v>
          </cell>
          <cell r="Z22">
            <v>26</v>
          </cell>
          <cell r="AA22">
            <v>0</v>
          </cell>
          <cell r="AB22">
            <v>1</v>
          </cell>
          <cell r="AC22">
            <v>0</v>
          </cell>
          <cell r="AD22"/>
          <cell r="AE22">
            <v>3</v>
          </cell>
          <cell r="AF22">
            <v>24</v>
          </cell>
          <cell r="AG22">
            <v>0</v>
          </cell>
          <cell r="AH22">
            <v>1</v>
          </cell>
          <cell r="AI22">
            <v>0</v>
          </cell>
          <cell r="AJ22"/>
          <cell r="AK22">
            <v>4</v>
          </cell>
          <cell r="AL22">
            <v>24</v>
          </cell>
          <cell r="AM22">
            <v>0</v>
          </cell>
          <cell r="AN22">
            <v>1</v>
          </cell>
          <cell r="AO22">
            <v>2</v>
          </cell>
          <cell r="AP22"/>
          <cell r="AQ22">
            <v>3</v>
          </cell>
          <cell r="AR22">
            <v>22.5</v>
          </cell>
          <cell r="AS22">
            <v>0</v>
          </cell>
          <cell r="AT22">
            <v>1</v>
          </cell>
          <cell r="AU22">
            <v>2.5</v>
          </cell>
          <cell r="AV22"/>
          <cell r="AW22">
            <v>1.5</v>
          </cell>
          <cell r="AX22">
            <v>27</v>
          </cell>
          <cell r="AY22">
            <v>0</v>
          </cell>
          <cell r="AZ22">
            <v>1</v>
          </cell>
          <cell r="BA22">
            <v>0</v>
          </cell>
          <cell r="BB22"/>
          <cell r="BC22">
            <v>2.5</v>
          </cell>
          <cell r="BD22">
            <v>26</v>
          </cell>
          <cell r="BE22">
            <v>0</v>
          </cell>
          <cell r="BF22">
            <v>1</v>
          </cell>
          <cell r="BG22">
            <v>0</v>
          </cell>
          <cell r="BH22"/>
          <cell r="BI22">
            <v>3.5</v>
          </cell>
          <cell r="BJ22">
            <v>23</v>
          </cell>
          <cell r="BK22">
            <v>0</v>
          </cell>
          <cell r="BL22">
            <v>1</v>
          </cell>
          <cell r="BM22">
            <v>1</v>
          </cell>
          <cell r="BN22"/>
          <cell r="BO22">
            <v>3.5</v>
          </cell>
          <cell r="BP22">
            <v>27</v>
          </cell>
          <cell r="BQ22">
            <v>0</v>
          </cell>
          <cell r="BR22">
            <v>1</v>
          </cell>
          <cell r="BS22">
            <v>0</v>
          </cell>
          <cell r="BT22"/>
          <cell r="BU22">
            <v>4.5</v>
          </cell>
          <cell r="BV22">
            <v>25</v>
          </cell>
          <cell r="BW22">
            <v>0</v>
          </cell>
          <cell r="BX22">
            <v>1</v>
          </cell>
          <cell r="BY22">
            <v>0</v>
          </cell>
          <cell r="BZ22"/>
          <cell r="CA22">
            <v>5.5</v>
          </cell>
          <cell r="CB22">
            <v>26</v>
          </cell>
          <cell r="CC22">
            <v>0</v>
          </cell>
          <cell r="CD22">
            <v>1</v>
          </cell>
          <cell r="CE22">
            <v>1</v>
          </cell>
          <cell r="CF22"/>
          <cell r="CG22">
            <v>5.5</v>
          </cell>
          <cell r="CH22">
            <v>26</v>
          </cell>
          <cell r="CI22">
            <v>0</v>
          </cell>
          <cell r="CJ22">
            <v>1</v>
          </cell>
          <cell r="CK22">
            <v>0</v>
          </cell>
          <cell r="CL22"/>
          <cell r="CM22">
            <v>6.5</v>
          </cell>
          <cell r="CN22">
            <v>19</v>
          </cell>
          <cell r="CO22">
            <v>0</v>
          </cell>
          <cell r="CP22">
            <v>1</v>
          </cell>
          <cell r="CQ22">
            <v>0</v>
          </cell>
          <cell r="CR22"/>
          <cell r="CS22">
            <v>7.5</v>
          </cell>
          <cell r="CT22">
            <v>25</v>
          </cell>
          <cell r="CU22">
            <v>0</v>
          </cell>
          <cell r="CV22">
            <v>1</v>
          </cell>
          <cell r="CW22">
            <v>1</v>
          </cell>
          <cell r="CX22"/>
          <cell r="CY22">
            <v>3</v>
          </cell>
          <cell r="CZ22">
            <v>23</v>
          </cell>
          <cell r="DA22">
            <v>0</v>
          </cell>
          <cell r="DB22">
            <v>1</v>
          </cell>
          <cell r="DC22">
            <v>1</v>
          </cell>
          <cell r="DD22"/>
          <cell r="DE22">
            <v>3</v>
          </cell>
          <cell r="DF22">
            <v>24</v>
          </cell>
          <cell r="DG22">
            <v>0</v>
          </cell>
          <cell r="DH22">
            <v>1</v>
          </cell>
          <cell r="DI22">
            <v>1</v>
          </cell>
          <cell r="DJ22"/>
          <cell r="DK22">
            <v>3</v>
          </cell>
          <cell r="DL22">
            <v>1.4916666666666667</v>
          </cell>
        </row>
        <row r="23">
          <cell r="B23" t="str">
            <v>NV1159</v>
          </cell>
          <cell r="C23" t="str">
            <v>Văn Phòng</v>
          </cell>
          <cell r="D23" t="str">
            <v>Trần Thị Thanh Chương</v>
          </cell>
          <cell r="E23" t="str">
            <v>VP</v>
          </cell>
          <cell r="F23">
            <v>45377</v>
          </cell>
          <cell r="G23"/>
          <cell r="H23">
            <v>24</v>
          </cell>
          <cell r="I23">
            <v>0</v>
          </cell>
          <cell r="J23">
            <v>1</v>
          </cell>
          <cell r="K23">
            <v>2</v>
          </cell>
          <cell r="L23"/>
          <cell r="M23">
            <v>4.5</v>
          </cell>
          <cell r="N23">
            <v>22</v>
          </cell>
          <cell r="O23">
            <v>0</v>
          </cell>
          <cell r="P23">
            <v>1</v>
          </cell>
          <cell r="Q23">
            <v>0</v>
          </cell>
          <cell r="R23"/>
          <cell r="S23">
            <v>5.5</v>
          </cell>
          <cell r="T23" t="e">
            <v>#REF!</v>
          </cell>
          <cell r="U23">
            <v>0</v>
          </cell>
          <cell r="V23" t="e">
            <v>#REF!</v>
          </cell>
          <cell r="W23" t="e">
            <v>#REF!</v>
          </cell>
          <cell r="X23"/>
          <cell r="Y23">
            <v>3</v>
          </cell>
          <cell r="Z23">
            <v>26</v>
          </cell>
          <cell r="AA23">
            <v>0</v>
          </cell>
          <cell r="AB23">
            <v>1</v>
          </cell>
          <cell r="AC23">
            <v>0</v>
          </cell>
          <cell r="AD23"/>
          <cell r="AE23">
            <v>4</v>
          </cell>
          <cell r="AF23">
            <v>24</v>
          </cell>
          <cell r="AG23">
            <v>0</v>
          </cell>
          <cell r="AH23">
            <v>1</v>
          </cell>
          <cell r="AI23">
            <v>0</v>
          </cell>
          <cell r="AJ23"/>
          <cell r="AK23">
            <v>5</v>
          </cell>
          <cell r="AL23">
            <v>25</v>
          </cell>
          <cell r="AM23">
            <v>0</v>
          </cell>
          <cell r="AN23">
            <v>1</v>
          </cell>
          <cell r="AO23">
            <v>1</v>
          </cell>
          <cell r="AP23"/>
          <cell r="AQ23">
            <v>5</v>
          </cell>
          <cell r="AR23">
            <v>21</v>
          </cell>
          <cell r="AS23">
            <v>0</v>
          </cell>
          <cell r="AT23">
            <v>1</v>
          </cell>
          <cell r="AU23">
            <v>4</v>
          </cell>
          <cell r="AV23"/>
          <cell r="AW23">
            <v>2</v>
          </cell>
          <cell r="AX23">
            <v>27</v>
          </cell>
          <cell r="AY23">
            <v>0</v>
          </cell>
          <cell r="AZ23">
            <v>1</v>
          </cell>
          <cell r="BA23">
            <v>0</v>
          </cell>
          <cell r="BB23"/>
          <cell r="BC23">
            <v>3</v>
          </cell>
          <cell r="BD23">
            <v>25.5</v>
          </cell>
          <cell r="BE23">
            <v>0</v>
          </cell>
          <cell r="BF23">
            <v>1</v>
          </cell>
          <cell r="BG23">
            <v>0.5</v>
          </cell>
          <cell r="BH23"/>
          <cell r="BI23">
            <v>3.5</v>
          </cell>
          <cell r="BJ23">
            <v>23</v>
          </cell>
          <cell r="BK23">
            <v>0</v>
          </cell>
          <cell r="BL23">
            <v>1</v>
          </cell>
          <cell r="BM23">
            <v>1</v>
          </cell>
          <cell r="BN23"/>
          <cell r="BO23">
            <v>3.5</v>
          </cell>
          <cell r="BP23">
            <v>27</v>
          </cell>
          <cell r="BQ23">
            <v>0</v>
          </cell>
          <cell r="BR23">
            <v>1</v>
          </cell>
          <cell r="BS23">
            <v>0</v>
          </cell>
          <cell r="BT23"/>
          <cell r="BU23">
            <v>4.5</v>
          </cell>
          <cell r="BV23">
            <v>25</v>
          </cell>
          <cell r="BW23">
            <v>0</v>
          </cell>
          <cell r="BX23">
            <v>1</v>
          </cell>
          <cell r="BY23">
            <v>0</v>
          </cell>
          <cell r="BZ23"/>
          <cell r="CA23">
            <v>5.5</v>
          </cell>
          <cell r="CB23">
            <v>26</v>
          </cell>
          <cell r="CC23">
            <v>0</v>
          </cell>
          <cell r="CD23">
            <v>1</v>
          </cell>
          <cell r="CE23">
            <v>1</v>
          </cell>
          <cell r="CF23"/>
          <cell r="CG23">
            <v>5.5</v>
          </cell>
          <cell r="CH23">
            <v>26</v>
          </cell>
          <cell r="CI23">
            <v>0</v>
          </cell>
          <cell r="CJ23">
            <v>1</v>
          </cell>
          <cell r="CK23">
            <v>0</v>
          </cell>
          <cell r="CL23"/>
          <cell r="CM23">
            <v>6.5</v>
          </cell>
          <cell r="CN23">
            <v>19</v>
          </cell>
          <cell r="CO23">
            <v>0</v>
          </cell>
          <cell r="CP23">
            <v>1</v>
          </cell>
          <cell r="CQ23">
            <v>0</v>
          </cell>
          <cell r="CR23"/>
          <cell r="CS23">
            <v>7.5</v>
          </cell>
          <cell r="CT23">
            <v>25</v>
          </cell>
          <cell r="CU23">
            <v>0</v>
          </cell>
          <cell r="CV23">
            <v>1</v>
          </cell>
          <cell r="CW23">
            <v>1</v>
          </cell>
          <cell r="CX23"/>
          <cell r="CY23">
            <v>3</v>
          </cell>
          <cell r="CZ23">
            <v>24</v>
          </cell>
          <cell r="DA23">
            <v>0</v>
          </cell>
          <cell r="DB23">
            <v>1</v>
          </cell>
          <cell r="DC23">
            <v>0</v>
          </cell>
          <cell r="DD23"/>
          <cell r="DE23">
            <v>4</v>
          </cell>
          <cell r="DF23">
            <v>25</v>
          </cell>
          <cell r="DG23">
            <v>0</v>
          </cell>
          <cell r="DH23">
            <v>1</v>
          </cell>
          <cell r="DI23">
            <v>0</v>
          </cell>
          <cell r="DJ23"/>
          <cell r="DK23">
            <v>5</v>
          </cell>
          <cell r="DL23">
            <v>2.1805555555555554</v>
          </cell>
        </row>
        <row r="24">
          <cell r="B24" t="str">
            <v>NV0720</v>
          </cell>
          <cell r="C24" t="str">
            <v>Văn Phòng</v>
          </cell>
          <cell r="D24" t="str">
            <v>Phạm Vũ Nhã Trúc</v>
          </cell>
          <cell r="E24" t="str">
            <v>VP</v>
          </cell>
          <cell r="F24">
            <v>44364</v>
          </cell>
          <cell r="G24"/>
          <cell r="H24">
            <v>24</v>
          </cell>
          <cell r="I24">
            <v>0</v>
          </cell>
          <cell r="J24">
            <v>1</v>
          </cell>
          <cell r="K24">
            <v>2</v>
          </cell>
          <cell r="L24"/>
          <cell r="M24">
            <v>-1</v>
          </cell>
          <cell r="N24">
            <v>22</v>
          </cell>
          <cell r="O24">
            <v>0</v>
          </cell>
          <cell r="P24">
            <v>1</v>
          </cell>
          <cell r="Q24">
            <v>0</v>
          </cell>
          <cell r="R24"/>
          <cell r="S24">
            <v>0</v>
          </cell>
          <cell r="T24" t="e">
            <v>#REF!</v>
          </cell>
          <cell r="U24">
            <v>0</v>
          </cell>
          <cell r="V24" t="e">
            <v>#REF!</v>
          </cell>
          <cell r="W24" t="e">
            <v>#REF!</v>
          </cell>
          <cell r="X24"/>
          <cell r="Y24">
            <v>1</v>
          </cell>
          <cell r="Z24">
            <v>26</v>
          </cell>
          <cell r="AA24">
            <v>0</v>
          </cell>
          <cell r="AB24">
            <v>1</v>
          </cell>
          <cell r="AC24">
            <v>0</v>
          </cell>
          <cell r="AD24"/>
          <cell r="AE24">
            <v>2</v>
          </cell>
          <cell r="AF24">
            <v>23</v>
          </cell>
          <cell r="AG24">
            <v>0</v>
          </cell>
          <cell r="AH24">
            <v>1</v>
          </cell>
          <cell r="AI24">
            <v>1</v>
          </cell>
          <cell r="AJ24"/>
          <cell r="AK24">
            <v>2</v>
          </cell>
          <cell r="AL24">
            <v>26</v>
          </cell>
          <cell r="AM24">
            <v>0</v>
          </cell>
          <cell r="AN24">
            <v>1</v>
          </cell>
          <cell r="AO24">
            <v>0</v>
          </cell>
          <cell r="AP24"/>
          <cell r="AQ24">
            <v>3</v>
          </cell>
          <cell r="AR24">
            <v>24</v>
          </cell>
          <cell r="AS24">
            <v>0</v>
          </cell>
          <cell r="AT24">
            <v>1</v>
          </cell>
          <cell r="AU24">
            <v>1</v>
          </cell>
          <cell r="AV24"/>
          <cell r="AW24">
            <v>3</v>
          </cell>
          <cell r="AX24">
            <v>24</v>
          </cell>
          <cell r="AY24">
            <v>0</v>
          </cell>
          <cell r="AZ24">
            <v>1</v>
          </cell>
          <cell r="BA24">
            <v>3</v>
          </cell>
          <cell r="BB24"/>
          <cell r="BC24">
            <v>1</v>
          </cell>
          <cell r="BD24">
            <v>25</v>
          </cell>
          <cell r="BE24">
            <v>0</v>
          </cell>
          <cell r="BF24">
            <v>1</v>
          </cell>
          <cell r="BG24">
            <v>1</v>
          </cell>
          <cell r="BH24"/>
          <cell r="BI24">
            <v>1</v>
          </cell>
          <cell r="BJ24">
            <v>23</v>
          </cell>
          <cell r="BK24">
            <v>0</v>
          </cell>
          <cell r="BL24">
            <v>1</v>
          </cell>
          <cell r="BM24">
            <v>1</v>
          </cell>
          <cell r="BN24"/>
          <cell r="BO24">
            <v>1</v>
          </cell>
          <cell r="BP24">
            <v>27</v>
          </cell>
          <cell r="BQ24">
            <v>0</v>
          </cell>
          <cell r="BR24">
            <v>1</v>
          </cell>
          <cell r="BS24">
            <v>0</v>
          </cell>
          <cell r="BT24"/>
          <cell r="BU24">
            <v>2</v>
          </cell>
          <cell r="BV24">
            <v>24.5</v>
          </cell>
          <cell r="BW24">
            <v>0</v>
          </cell>
          <cell r="BX24">
            <v>1</v>
          </cell>
          <cell r="BY24">
            <v>0.5</v>
          </cell>
          <cell r="BZ24"/>
          <cell r="CA24">
            <v>2.5</v>
          </cell>
          <cell r="CB24">
            <v>26</v>
          </cell>
          <cell r="CC24">
            <v>0</v>
          </cell>
          <cell r="CD24">
            <v>1</v>
          </cell>
          <cell r="CE24">
            <v>1</v>
          </cell>
          <cell r="CF24"/>
          <cell r="CG24">
            <v>2.5</v>
          </cell>
          <cell r="CH24">
            <v>25.5</v>
          </cell>
          <cell r="CI24">
            <v>0</v>
          </cell>
          <cell r="CJ24">
            <v>1</v>
          </cell>
          <cell r="CK24">
            <v>0.5</v>
          </cell>
          <cell r="CL24"/>
          <cell r="CM24">
            <v>3</v>
          </cell>
          <cell r="CN24">
            <v>19</v>
          </cell>
          <cell r="CO24">
            <v>0</v>
          </cell>
          <cell r="CP24">
            <v>1</v>
          </cell>
          <cell r="CQ24">
            <v>0</v>
          </cell>
          <cell r="CR24"/>
          <cell r="CS24">
            <v>4</v>
          </cell>
          <cell r="CT24">
            <v>24</v>
          </cell>
          <cell r="CU24">
            <v>0</v>
          </cell>
          <cell r="CV24">
            <v>1</v>
          </cell>
          <cell r="CW24">
            <v>2</v>
          </cell>
          <cell r="CX24"/>
          <cell r="CY24">
            <v>3</v>
          </cell>
          <cell r="CZ24">
            <v>23</v>
          </cell>
          <cell r="DA24">
            <v>0</v>
          </cell>
          <cell r="DB24">
            <v>1</v>
          </cell>
          <cell r="DC24">
            <v>1</v>
          </cell>
          <cell r="DD24"/>
          <cell r="DE24">
            <v>3</v>
          </cell>
          <cell r="DF24">
            <v>24.5</v>
          </cell>
          <cell r="DG24">
            <v>0</v>
          </cell>
          <cell r="DH24">
            <v>1</v>
          </cell>
          <cell r="DI24">
            <v>0.5</v>
          </cell>
          <cell r="DJ24"/>
          <cell r="DK24">
            <v>3.5</v>
          </cell>
          <cell r="DL24">
            <v>4.9555555555555557</v>
          </cell>
        </row>
        <row r="25">
          <cell r="B25" t="str">
            <v>NV0699</v>
          </cell>
          <cell r="C25" t="str">
            <v>Văn Phòng</v>
          </cell>
          <cell r="D25" t="str">
            <v>Nguyễn Đức Quang Minh</v>
          </cell>
          <cell r="E25" t="str">
            <v>VP</v>
          </cell>
          <cell r="F25">
            <v>44280</v>
          </cell>
          <cell r="G25"/>
          <cell r="H25">
            <v>20</v>
          </cell>
          <cell r="I25">
            <v>0</v>
          </cell>
          <cell r="J25">
            <v>1</v>
          </cell>
          <cell r="K25">
            <v>2</v>
          </cell>
          <cell r="L25"/>
          <cell r="M25">
            <v>0</v>
          </cell>
          <cell r="N25">
            <v>18</v>
          </cell>
          <cell r="O25">
            <v>0</v>
          </cell>
          <cell r="P25">
            <v>1</v>
          </cell>
          <cell r="Q25">
            <v>0</v>
          </cell>
          <cell r="R25"/>
          <cell r="S25">
            <v>1</v>
          </cell>
          <cell r="T25" t="e">
            <v>#REF!</v>
          </cell>
          <cell r="U25">
            <v>0</v>
          </cell>
          <cell r="V25" t="e">
            <v>#REF!</v>
          </cell>
          <cell r="W25" t="e">
            <v>#REF!</v>
          </cell>
          <cell r="X25"/>
          <cell r="Y25">
            <v>2</v>
          </cell>
          <cell r="Z25">
            <v>26</v>
          </cell>
          <cell r="AA25">
            <v>0</v>
          </cell>
          <cell r="AB25">
            <v>1</v>
          </cell>
          <cell r="AC25">
            <v>0</v>
          </cell>
          <cell r="AD25"/>
          <cell r="AE25">
            <v>3</v>
          </cell>
          <cell r="AF25">
            <v>24</v>
          </cell>
          <cell r="AG25">
            <v>0</v>
          </cell>
          <cell r="AH25">
            <v>1</v>
          </cell>
          <cell r="AI25">
            <v>0</v>
          </cell>
          <cell r="AJ25"/>
          <cell r="AK25">
            <v>4</v>
          </cell>
          <cell r="AL25">
            <v>26</v>
          </cell>
          <cell r="AM25">
            <v>0</v>
          </cell>
          <cell r="AN25">
            <v>1</v>
          </cell>
          <cell r="AO25">
            <v>0</v>
          </cell>
          <cell r="AP25"/>
          <cell r="AQ25">
            <v>5</v>
          </cell>
          <cell r="AR25">
            <v>19</v>
          </cell>
          <cell r="AS25">
            <v>0</v>
          </cell>
          <cell r="AT25">
            <v>1</v>
          </cell>
          <cell r="AU25">
            <v>1</v>
          </cell>
          <cell r="AV25"/>
          <cell r="AW25">
            <v>5</v>
          </cell>
          <cell r="AX25">
            <v>19</v>
          </cell>
          <cell r="AY25">
            <v>0</v>
          </cell>
          <cell r="AZ25">
            <v>1</v>
          </cell>
          <cell r="BA25">
            <v>6</v>
          </cell>
          <cell r="BB25"/>
          <cell r="BC25">
            <v>0</v>
          </cell>
          <cell r="BD25">
            <v>14.5</v>
          </cell>
          <cell r="BE25">
            <v>0</v>
          </cell>
          <cell r="BF25">
            <v>1</v>
          </cell>
          <cell r="BG25">
            <v>1.5</v>
          </cell>
          <cell r="BH25"/>
          <cell r="BI25">
            <v>-0.5</v>
          </cell>
          <cell r="BJ25">
            <v>18</v>
          </cell>
          <cell r="BK25">
            <v>0</v>
          </cell>
          <cell r="BL25">
            <v>1</v>
          </cell>
          <cell r="BM25">
            <v>1</v>
          </cell>
          <cell r="BN25"/>
          <cell r="BO25">
            <v>-0.5</v>
          </cell>
          <cell r="BP25">
            <v>27</v>
          </cell>
          <cell r="BQ25">
            <v>0</v>
          </cell>
          <cell r="BR25">
            <v>1</v>
          </cell>
          <cell r="BS25">
            <v>0</v>
          </cell>
          <cell r="BT25"/>
          <cell r="BU25">
            <v>0.5</v>
          </cell>
          <cell r="BV25">
            <v>23</v>
          </cell>
          <cell r="BW25">
            <v>0</v>
          </cell>
          <cell r="BX25">
            <v>1</v>
          </cell>
          <cell r="BY25">
            <v>1.5</v>
          </cell>
          <cell r="BZ25"/>
          <cell r="CA25">
            <v>0</v>
          </cell>
          <cell r="CB25">
            <v>26</v>
          </cell>
          <cell r="CC25">
            <v>0</v>
          </cell>
          <cell r="CD25">
            <v>1</v>
          </cell>
          <cell r="CE25">
            <v>1</v>
          </cell>
          <cell r="CF25"/>
          <cell r="CG25">
            <v>0</v>
          </cell>
          <cell r="CH25">
            <v>23</v>
          </cell>
          <cell r="CI25">
            <v>0</v>
          </cell>
          <cell r="CJ25">
            <v>1</v>
          </cell>
          <cell r="CK25">
            <v>0</v>
          </cell>
          <cell r="CL25"/>
          <cell r="CM25">
            <v>1</v>
          </cell>
          <cell r="CN25">
            <v>19</v>
          </cell>
          <cell r="CO25">
            <v>0</v>
          </cell>
          <cell r="CP25">
            <v>1</v>
          </cell>
          <cell r="CQ25">
            <v>0</v>
          </cell>
          <cell r="CR25"/>
          <cell r="CS25">
            <v>2</v>
          </cell>
          <cell r="CT25">
            <v>25</v>
          </cell>
          <cell r="CU25">
            <v>0</v>
          </cell>
          <cell r="CV25">
            <v>1</v>
          </cell>
          <cell r="CW25">
            <v>1</v>
          </cell>
          <cell r="CX25"/>
          <cell r="CY25">
            <v>2</v>
          </cell>
          <cell r="CZ25">
            <v>22</v>
          </cell>
          <cell r="DA25">
            <v>0</v>
          </cell>
          <cell r="DB25">
            <v>1</v>
          </cell>
          <cell r="DC25">
            <v>2</v>
          </cell>
          <cell r="DD25"/>
          <cell r="DE25">
            <v>1</v>
          </cell>
          <cell r="DF25">
            <v>25</v>
          </cell>
          <cell r="DG25">
            <v>0</v>
          </cell>
          <cell r="DH25">
            <v>1</v>
          </cell>
          <cell r="DI25">
            <v>0</v>
          </cell>
          <cell r="DJ25"/>
          <cell r="DK25">
            <v>2</v>
          </cell>
          <cell r="DL25">
            <v>5.1833333333333336</v>
          </cell>
        </row>
        <row r="26">
          <cell r="B26" t="str">
            <v>NV0419</v>
          </cell>
          <cell r="C26" t="str">
            <v>Văn Phòng</v>
          </cell>
          <cell r="D26" t="str">
            <v>Đỗ Thị Ngàn Thương</v>
          </cell>
          <cell r="E26" t="str">
            <v>VP</v>
          </cell>
          <cell r="F26">
            <v>43518</v>
          </cell>
          <cell r="G26"/>
          <cell r="H26">
            <v>26</v>
          </cell>
          <cell r="I26">
            <v>0</v>
          </cell>
          <cell r="J26">
            <v>1</v>
          </cell>
          <cell r="K26">
            <v>0</v>
          </cell>
          <cell r="L26"/>
          <cell r="M26">
            <v>-2</v>
          </cell>
          <cell r="N26">
            <v>22</v>
          </cell>
          <cell r="O26">
            <v>0</v>
          </cell>
          <cell r="P26">
            <v>1</v>
          </cell>
          <cell r="Q26">
            <v>0</v>
          </cell>
          <cell r="R26"/>
          <cell r="S26">
            <v>-1</v>
          </cell>
          <cell r="T26" t="e">
            <v>#REF!</v>
          </cell>
          <cell r="U26">
            <v>0</v>
          </cell>
          <cell r="V26" t="e">
            <v>#REF!</v>
          </cell>
          <cell r="W26" t="e">
            <v>#REF!</v>
          </cell>
          <cell r="X26"/>
          <cell r="Y26">
            <v>0</v>
          </cell>
          <cell r="Z26">
            <v>26</v>
          </cell>
          <cell r="AA26">
            <v>0</v>
          </cell>
          <cell r="AB26">
            <v>1</v>
          </cell>
          <cell r="AC26">
            <v>0</v>
          </cell>
          <cell r="AD26"/>
          <cell r="AE26">
            <v>1</v>
          </cell>
          <cell r="AF26">
            <v>24</v>
          </cell>
          <cell r="AG26">
            <v>0</v>
          </cell>
          <cell r="AH26">
            <v>1</v>
          </cell>
          <cell r="AI26">
            <v>0</v>
          </cell>
          <cell r="AJ26"/>
          <cell r="AK26">
            <v>2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/>
          <cell r="AQ26">
            <v>2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/>
          <cell r="AW26">
            <v>3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/>
          <cell r="BC26">
            <v>3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/>
          <cell r="BI26">
            <v>3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/>
          <cell r="BO26">
            <v>3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/>
          <cell r="BU26">
            <v>3</v>
          </cell>
          <cell r="BV26">
            <v>25</v>
          </cell>
          <cell r="BW26">
            <v>0</v>
          </cell>
          <cell r="BX26">
            <v>1</v>
          </cell>
          <cell r="BY26">
            <v>0</v>
          </cell>
          <cell r="BZ26"/>
          <cell r="CA26">
            <v>4</v>
          </cell>
          <cell r="CB26">
            <v>26</v>
          </cell>
          <cell r="CC26">
            <v>0</v>
          </cell>
          <cell r="CD26">
            <v>1</v>
          </cell>
          <cell r="CE26">
            <v>1</v>
          </cell>
          <cell r="CF26"/>
          <cell r="CG26">
            <v>4</v>
          </cell>
          <cell r="CH26">
            <v>26</v>
          </cell>
          <cell r="CI26">
            <v>0</v>
          </cell>
          <cell r="CJ26">
            <v>1</v>
          </cell>
          <cell r="CK26">
            <v>0</v>
          </cell>
          <cell r="CL26"/>
          <cell r="CM26">
            <v>5</v>
          </cell>
          <cell r="CN26">
            <v>19</v>
          </cell>
          <cell r="CO26">
            <v>0</v>
          </cell>
          <cell r="CP26">
            <v>1</v>
          </cell>
          <cell r="CQ26">
            <v>0</v>
          </cell>
          <cell r="CR26"/>
          <cell r="CS26">
            <v>6</v>
          </cell>
          <cell r="CT26">
            <v>22</v>
          </cell>
          <cell r="CU26">
            <v>0</v>
          </cell>
          <cell r="CV26">
            <v>1</v>
          </cell>
          <cell r="CW26">
            <v>4</v>
          </cell>
          <cell r="CX26"/>
          <cell r="CY26">
            <v>3</v>
          </cell>
          <cell r="CZ26">
            <v>24</v>
          </cell>
          <cell r="DA26">
            <v>0</v>
          </cell>
          <cell r="DB26">
            <v>1</v>
          </cell>
          <cell r="DC26">
            <v>0</v>
          </cell>
          <cell r="DD26"/>
          <cell r="DE26">
            <v>4</v>
          </cell>
          <cell r="DF26">
            <v>24</v>
          </cell>
          <cell r="DG26">
            <v>0</v>
          </cell>
          <cell r="DH26">
            <v>1</v>
          </cell>
          <cell r="DI26">
            <v>1</v>
          </cell>
          <cell r="DJ26"/>
          <cell r="DK26">
            <v>4</v>
          </cell>
          <cell r="DL26">
            <v>7.2750000000000004</v>
          </cell>
        </row>
        <row r="27">
          <cell r="B27" t="str">
            <v>NV0792</v>
          </cell>
          <cell r="C27" t="str">
            <v>Văn Phòng</v>
          </cell>
          <cell r="D27" t="str">
            <v>Hà Thảo Vy</v>
          </cell>
          <cell r="E27" t="str">
            <v>VP</v>
          </cell>
          <cell r="F27">
            <v>44621</v>
          </cell>
          <cell r="G27"/>
          <cell r="H27">
            <v>23</v>
          </cell>
          <cell r="I27">
            <v>0</v>
          </cell>
          <cell r="J27">
            <v>1</v>
          </cell>
          <cell r="K27">
            <v>3</v>
          </cell>
          <cell r="L27"/>
          <cell r="M27">
            <v>0.5</v>
          </cell>
          <cell r="N27">
            <v>21</v>
          </cell>
          <cell r="O27">
            <v>0</v>
          </cell>
          <cell r="P27">
            <v>1</v>
          </cell>
          <cell r="Q27">
            <v>1</v>
          </cell>
          <cell r="R27"/>
          <cell r="S27">
            <v>0.5</v>
          </cell>
          <cell r="T27" t="e">
            <v>#REF!</v>
          </cell>
          <cell r="U27">
            <v>0</v>
          </cell>
          <cell r="V27" t="e">
            <v>#REF!</v>
          </cell>
          <cell r="W27" t="e">
            <v>#REF!</v>
          </cell>
          <cell r="X27"/>
          <cell r="Y27">
            <v>1.5</v>
          </cell>
          <cell r="Z27">
            <v>26</v>
          </cell>
          <cell r="AA27">
            <v>0</v>
          </cell>
          <cell r="AB27">
            <v>1</v>
          </cell>
          <cell r="AC27">
            <v>0</v>
          </cell>
          <cell r="AD27"/>
          <cell r="AE27">
            <v>2.5</v>
          </cell>
          <cell r="AF27">
            <v>24</v>
          </cell>
          <cell r="AG27">
            <v>0</v>
          </cell>
          <cell r="AH27">
            <v>1</v>
          </cell>
          <cell r="AI27">
            <v>0</v>
          </cell>
          <cell r="AJ27"/>
          <cell r="AK27">
            <v>3.5</v>
          </cell>
          <cell r="AL27">
            <v>25</v>
          </cell>
          <cell r="AM27">
            <v>0</v>
          </cell>
          <cell r="AN27">
            <v>1</v>
          </cell>
          <cell r="AO27">
            <v>1</v>
          </cell>
          <cell r="AP27"/>
          <cell r="AQ27">
            <v>3.5</v>
          </cell>
          <cell r="AR27">
            <v>25</v>
          </cell>
          <cell r="AS27">
            <v>0</v>
          </cell>
          <cell r="AT27">
            <v>1</v>
          </cell>
          <cell r="AU27">
            <v>0</v>
          </cell>
          <cell r="AV27"/>
          <cell r="AW27">
            <v>4.5</v>
          </cell>
          <cell r="AX27">
            <v>24</v>
          </cell>
          <cell r="AY27">
            <v>0</v>
          </cell>
          <cell r="AZ27">
            <v>1</v>
          </cell>
          <cell r="BA27">
            <v>3</v>
          </cell>
          <cell r="BB27"/>
          <cell r="BC27">
            <v>2.5</v>
          </cell>
          <cell r="BD27">
            <v>26</v>
          </cell>
          <cell r="BE27">
            <v>0</v>
          </cell>
          <cell r="BF27">
            <v>1</v>
          </cell>
          <cell r="BG27">
            <v>0</v>
          </cell>
          <cell r="BH27"/>
          <cell r="BI27">
            <v>3.5</v>
          </cell>
          <cell r="BJ27">
            <v>23</v>
          </cell>
          <cell r="BK27">
            <v>0</v>
          </cell>
          <cell r="BL27">
            <v>1</v>
          </cell>
          <cell r="BM27">
            <v>1</v>
          </cell>
          <cell r="BN27"/>
          <cell r="BO27">
            <v>3.5</v>
          </cell>
          <cell r="BP27">
            <v>27</v>
          </cell>
          <cell r="BQ27">
            <v>0</v>
          </cell>
          <cell r="BR27">
            <v>1</v>
          </cell>
          <cell r="BS27">
            <v>0</v>
          </cell>
          <cell r="BT27"/>
          <cell r="BU27">
            <v>4.5</v>
          </cell>
          <cell r="BV27">
            <v>24.5</v>
          </cell>
          <cell r="BW27">
            <v>0</v>
          </cell>
          <cell r="BX27">
            <v>1</v>
          </cell>
          <cell r="BY27">
            <v>0.5</v>
          </cell>
          <cell r="BZ27"/>
          <cell r="CA27">
            <v>5</v>
          </cell>
          <cell r="CB27">
            <v>26</v>
          </cell>
          <cell r="CC27">
            <v>0</v>
          </cell>
          <cell r="CD27">
            <v>1</v>
          </cell>
          <cell r="CE27">
            <v>1</v>
          </cell>
          <cell r="CF27"/>
          <cell r="CG27">
            <v>5</v>
          </cell>
          <cell r="CH27">
            <v>23</v>
          </cell>
          <cell r="CI27">
            <v>0</v>
          </cell>
          <cell r="CJ27">
            <v>1</v>
          </cell>
          <cell r="CK27">
            <v>3</v>
          </cell>
          <cell r="CL27"/>
          <cell r="CM27">
            <v>3</v>
          </cell>
          <cell r="CN27">
            <v>19</v>
          </cell>
          <cell r="CO27">
            <v>0</v>
          </cell>
          <cell r="CP27">
            <v>1</v>
          </cell>
          <cell r="CQ27">
            <v>0</v>
          </cell>
          <cell r="CR27"/>
          <cell r="CS27">
            <v>4</v>
          </cell>
          <cell r="CT27">
            <v>25</v>
          </cell>
          <cell r="CU27">
            <v>0</v>
          </cell>
          <cell r="CV27">
            <v>1</v>
          </cell>
          <cell r="CW27">
            <v>1</v>
          </cell>
          <cell r="CX27"/>
          <cell r="CY27">
            <v>3</v>
          </cell>
          <cell r="CZ27">
            <v>21</v>
          </cell>
          <cell r="DA27">
            <v>0</v>
          </cell>
          <cell r="DB27">
            <v>1</v>
          </cell>
          <cell r="DC27">
            <v>4</v>
          </cell>
          <cell r="DD27"/>
          <cell r="DE27">
            <v>0</v>
          </cell>
          <cell r="DF27">
            <v>25</v>
          </cell>
          <cell r="DG27">
            <v>0</v>
          </cell>
          <cell r="DH27">
            <v>1</v>
          </cell>
          <cell r="DI27">
            <v>0</v>
          </cell>
          <cell r="DJ27"/>
          <cell r="DK27">
            <v>1</v>
          </cell>
          <cell r="DL27">
            <v>4.25</v>
          </cell>
        </row>
        <row r="28">
          <cell r="B28" t="str">
            <v>NV0639</v>
          </cell>
          <cell r="C28" t="str">
            <v>Văn Phòng</v>
          </cell>
          <cell r="D28" t="str">
            <v xml:space="preserve">Hồ Nguyễn Bảo Trâm </v>
          </cell>
          <cell r="E28" t="str">
            <v>VP</v>
          </cell>
          <cell r="F28">
            <v>44036</v>
          </cell>
          <cell r="G28"/>
          <cell r="H28">
            <v>25</v>
          </cell>
          <cell r="I28">
            <v>0</v>
          </cell>
          <cell r="J28">
            <v>1</v>
          </cell>
          <cell r="K28">
            <v>1</v>
          </cell>
          <cell r="L28"/>
          <cell r="M28">
            <v>1.5</v>
          </cell>
          <cell r="N28">
            <v>22</v>
          </cell>
          <cell r="O28">
            <v>0</v>
          </cell>
          <cell r="P28">
            <v>1</v>
          </cell>
          <cell r="Q28">
            <v>0</v>
          </cell>
          <cell r="R28"/>
          <cell r="S28">
            <v>2.5</v>
          </cell>
          <cell r="T28" t="e">
            <v>#REF!</v>
          </cell>
          <cell r="U28">
            <v>0</v>
          </cell>
          <cell r="V28" t="e">
            <v>#REF!</v>
          </cell>
          <cell r="W28" t="e">
            <v>#REF!</v>
          </cell>
          <cell r="X28"/>
          <cell r="Y28">
            <v>2</v>
          </cell>
          <cell r="Z28">
            <v>25</v>
          </cell>
          <cell r="AA28">
            <v>0</v>
          </cell>
          <cell r="AB28">
            <v>1</v>
          </cell>
          <cell r="AC28">
            <v>1</v>
          </cell>
          <cell r="AD28"/>
          <cell r="AE28">
            <v>2</v>
          </cell>
          <cell r="AF28">
            <v>23</v>
          </cell>
          <cell r="AG28">
            <v>0</v>
          </cell>
          <cell r="AH28">
            <v>1</v>
          </cell>
          <cell r="AI28">
            <v>1</v>
          </cell>
          <cell r="AJ28"/>
          <cell r="AK28">
            <v>2</v>
          </cell>
          <cell r="AL28">
            <v>26</v>
          </cell>
          <cell r="AM28">
            <v>0</v>
          </cell>
          <cell r="AN28">
            <v>1</v>
          </cell>
          <cell r="AO28">
            <v>0</v>
          </cell>
          <cell r="AP28"/>
          <cell r="AQ28">
            <v>3</v>
          </cell>
          <cell r="AR28">
            <v>24</v>
          </cell>
          <cell r="AS28">
            <v>0</v>
          </cell>
          <cell r="AT28">
            <v>1</v>
          </cell>
          <cell r="AU28">
            <v>1</v>
          </cell>
          <cell r="AV28"/>
          <cell r="AW28">
            <v>4</v>
          </cell>
          <cell r="AX28">
            <v>27</v>
          </cell>
          <cell r="AY28">
            <v>0</v>
          </cell>
          <cell r="AZ28">
            <v>1</v>
          </cell>
          <cell r="BA28">
            <v>0</v>
          </cell>
          <cell r="BB28"/>
          <cell r="BC28">
            <v>5</v>
          </cell>
          <cell r="BD28">
            <v>24.5</v>
          </cell>
          <cell r="BE28">
            <v>0</v>
          </cell>
          <cell r="BF28">
            <v>1</v>
          </cell>
          <cell r="BG28">
            <v>1.5</v>
          </cell>
          <cell r="BH28"/>
          <cell r="BI28">
            <v>4.5</v>
          </cell>
          <cell r="BJ28">
            <v>23</v>
          </cell>
          <cell r="BK28">
            <v>0</v>
          </cell>
          <cell r="BL28">
            <v>1</v>
          </cell>
          <cell r="BM28">
            <v>1</v>
          </cell>
          <cell r="BN28"/>
          <cell r="BO28">
            <v>4.5</v>
          </cell>
          <cell r="BP28">
            <v>27</v>
          </cell>
          <cell r="BQ28">
            <v>0</v>
          </cell>
          <cell r="BR28">
            <v>1</v>
          </cell>
          <cell r="BS28">
            <v>0</v>
          </cell>
          <cell r="BT28"/>
          <cell r="BU28">
            <v>5.5</v>
          </cell>
          <cell r="BV28">
            <v>25</v>
          </cell>
          <cell r="BW28">
            <v>0</v>
          </cell>
          <cell r="BX28">
            <v>1</v>
          </cell>
          <cell r="BY28">
            <v>0</v>
          </cell>
          <cell r="BZ28"/>
          <cell r="CA28">
            <v>6.5</v>
          </cell>
          <cell r="CB28">
            <v>27</v>
          </cell>
          <cell r="CC28">
            <v>0</v>
          </cell>
          <cell r="CD28">
            <v>1</v>
          </cell>
          <cell r="CE28">
            <v>0</v>
          </cell>
          <cell r="CF28"/>
          <cell r="CG28">
            <v>7.5</v>
          </cell>
          <cell r="CH28">
            <v>25</v>
          </cell>
          <cell r="CI28">
            <v>0</v>
          </cell>
          <cell r="CJ28">
            <v>1</v>
          </cell>
          <cell r="CK28">
            <v>1</v>
          </cell>
          <cell r="CL28"/>
          <cell r="CM28">
            <v>7.5</v>
          </cell>
          <cell r="CN28">
            <v>19</v>
          </cell>
          <cell r="CO28">
            <v>0</v>
          </cell>
          <cell r="CP28">
            <v>1</v>
          </cell>
          <cell r="CQ28">
            <v>0</v>
          </cell>
          <cell r="CR28"/>
          <cell r="CS28">
            <v>8.5</v>
          </cell>
          <cell r="CT28">
            <v>19</v>
          </cell>
          <cell r="CU28">
            <v>0</v>
          </cell>
          <cell r="CV28">
            <v>1</v>
          </cell>
          <cell r="CW28">
            <v>7</v>
          </cell>
          <cell r="CX28"/>
          <cell r="CY28">
            <v>2.5</v>
          </cell>
          <cell r="CZ28">
            <v>23</v>
          </cell>
          <cell r="DA28">
            <v>0</v>
          </cell>
          <cell r="DB28">
            <v>1</v>
          </cell>
          <cell r="DC28">
            <v>1</v>
          </cell>
          <cell r="DD28"/>
          <cell r="DE28">
            <v>2.5</v>
          </cell>
          <cell r="DF28">
            <v>23</v>
          </cell>
          <cell r="DG28">
            <v>0</v>
          </cell>
          <cell r="DH28">
            <v>1</v>
          </cell>
          <cell r="DI28">
            <v>2</v>
          </cell>
          <cell r="DJ28"/>
          <cell r="DK28">
            <v>1.5</v>
          </cell>
          <cell r="DL28">
            <v>5.8527777777777779</v>
          </cell>
        </row>
        <row r="29">
          <cell r="B29" t="str">
            <v>NV0904</v>
          </cell>
          <cell r="C29" t="str">
            <v>Văn Phòng</v>
          </cell>
          <cell r="D29" t="str">
            <v>Trần Quang Dương</v>
          </cell>
          <cell r="E29" t="str">
            <v>VP</v>
          </cell>
          <cell r="F29">
            <v>44929</v>
          </cell>
          <cell r="G29"/>
          <cell r="H29">
            <v>24</v>
          </cell>
          <cell r="I29">
            <v>0</v>
          </cell>
          <cell r="J29">
            <v>1</v>
          </cell>
          <cell r="K29">
            <v>2</v>
          </cell>
          <cell r="L29"/>
          <cell r="M29">
            <v>1.5</v>
          </cell>
          <cell r="N29">
            <v>22</v>
          </cell>
          <cell r="O29">
            <v>0</v>
          </cell>
          <cell r="P29">
            <v>1</v>
          </cell>
          <cell r="Q29">
            <v>0</v>
          </cell>
          <cell r="R29"/>
          <cell r="S29">
            <v>2.5</v>
          </cell>
          <cell r="T29" t="e">
            <v>#REF!</v>
          </cell>
          <cell r="U29">
            <v>0</v>
          </cell>
          <cell r="V29" t="e">
            <v>#REF!</v>
          </cell>
          <cell r="W29" t="e">
            <v>#REF!</v>
          </cell>
          <cell r="X29"/>
          <cell r="Y29">
            <v>2</v>
          </cell>
          <cell r="Z29">
            <v>24</v>
          </cell>
          <cell r="AA29">
            <v>0</v>
          </cell>
          <cell r="AB29">
            <v>1</v>
          </cell>
          <cell r="AC29">
            <v>2</v>
          </cell>
          <cell r="AD29"/>
          <cell r="AE29">
            <v>1</v>
          </cell>
          <cell r="AF29">
            <v>24</v>
          </cell>
          <cell r="AG29">
            <v>0</v>
          </cell>
          <cell r="AH29">
            <v>1</v>
          </cell>
          <cell r="AI29">
            <v>0</v>
          </cell>
          <cell r="AJ29"/>
          <cell r="AK29">
            <v>2</v>
          </cell>
          <cell r="AL29">
            <v>26</v>
          </cell>
          <cell r="AM29">
            <v>0</v>
          </cell>
          <cell r="AN29">
            <v>1</v>
          </cell>
          <cell r="AO29">
            <v>0</v>
          </cell>
          <cell r="AP29"/>
          <cell r="AQ29">
            <v>3</v>
          </cell>
          <cell r="AR29">
            <v>23</v>
          </cell>
          <cell r="AS29">
            <v>0</v>
          </cell>
          <cell r="AT29">
            <v>1</v>
          </cell>
          <cell r="AU29">
            <v>2</v>
          </cell>
          <cell r="AV29"/>
          <cell r="AW29">
            <v>2</v>
          </cell>
          <cell r="AX29">
            <v>27</v>
          </cell>
          <cell r="AY29">
            <v>0</v>
          </cell>
          <cell r="AZ29">
            <v>1</v>
          </cell>
          <cell r="BA29">
            <v>0</v>
          </cell>
          <cell r="BB29"/>
          <cell r="BC29">
            <v>3</v>
          </cell>
          <cell r="BD29">
            <v>26</v>
          </cell>
          <cell r="BE29">
            <v>0</v>
          </cell>
          <cell r="BF29">
            <v>1</v>
          </cell>
          <cell r="BG29">
            <v>0</v>
          </cell>
          <cell r="BH29"/>
          <cell r="BI29">
            <v>4</v>
          </cell>
          <cell r="BJ29">
            <v>23</v>
          </cell>
          <cell r="BK29">
            <v>0</v>
          </cell>
          <cell r="BL29">
            <v>1</v>
          </cell>
          <cell r="BM29">
            <v>1</v>
          </cell>
          <cell r="BN29"/>
          <cell r="BO29">
            <v>4</v>
          </cell>
          <cell r="BP29">
            <v>27</v>
          </cell>
          <cell r="BQ29">
            <v>0</v>
          </cell>
          <cell r="BR29">
            <v>1</v>
          </cell>
          <cell r="BS29">
            <v>0</v>
          </cell>
          <cell r="BT29"/>
          <cell r="BU29">
            <v>5</v>
          </cell>
          <cell r="BV29">
            <v>25</v>
          </cell>
          <cell r="BW29">
            <v>0</v>
          </cell>
          <cell r="BX29">
            <v>1</v>
          </cell>
          <cell r="BY29">
            <v>0</v>
          </cell>
          <cell r="BZ29"/>
          <cell r="CA29">
            <v>6</v>
          </cell>
          <cell r="CB29">
            <v>27</v>
          </cell>
          <cell r="CC29">
            <v>0</v>
          </cell>
          <cell r="CD29">
            <v>1</v>
          </cell>
          <cell r="CE29">
            <v>0</v>
          </cell>
          <cell r="CF29"/>
          <cell r="CG29">
            <v>7</v>
          </cell>
          <cell r="CH29">
            <v>24</v>
          </cell>
          <cell r="CI29">
            <v>0</v>
          </cell>
          <cell r="CJ29">
            <v>1</v>
          </cell>
          <cell r="CK29">
            <v>2</v>
          </cell>
          <cell r="CL29"/>
          <cell r="CM29">
            <v>6</v>
          </cell>
          <cell r="CN29">
            <v>19</v>
          </cell>
          <cell r="CO29">
            <v>0</v>
          </cell>
          <cell r="CP29">
            <v>1</v>
          </cell>
          <cell r="CQ29">
            <v>0</v>
          </cell>
          <cell r="CR29"/>
          <cell r="CS29">
            <v>7</v>
          </cell>
          <cell r="CT29">
            <v>23</v>
          </cell>
          <cell r="CU29">
            <v>0</v>
          </cell>
          <cell r="CV29">
            <v>1</v>
          </cell>
          <cell r="CW29">
            <v>3</v>
          </cell>
          <cell r="CX29"/>
          <cell r="CY29">
            <v>3</v>
          </cell>
          <cell r="CZ29">
            <v>24</v>
          </cell>
          <cell r="DA29">
            <v>0</v>
          </cell>
          <cell r="DB29">
            <v>1</v>
          </cell>
          <cell r="DC29">
            <v>0</v>
          </cell>
          <cell r="DD29"/>
          <cell r="DE29">
            <v>4</v>
          </cell>
          <cell r="DF29">
            <v>24</v>
          </cell>
          <cell r="DG29">
            <v>0</v>
          </cell>
          <cell r="DH29">
            <v>1</v>
          </cell>
          <cell r="DI29">
            <v>1</v>
          </cell>
          <cell r="DJ29"/>
          <cell r="DK29">
            <v>4</v>
          </cell>
          <cell r="DL29">
            <v>3.411111111111111</v>
          </cell>
        </row>
        <row r="30">
          <cell r="B30" t="str">
            <v>NV0961</v>
          </cell>
          <cell r="C30" t="str">
            <v>Văn Phòng</v>
          </cell>
          <cell r="D30" t="str">
            <v>Đoàn Văn Mạnh</v>
          </cell>
          <cell r="E30" t="str">
            <v>VP</v>
          </cell>
          <cell r="F30">
            <v>45054</v>
          </cell>
          <cell r="G30"/>
          <cell r="H30">
            <v>23.5</v>
          </cell>
          <cell r="I30">
            <v>0</v>
          </cell>
          <cell r="J30">
            <v>1</v>
          </cell>
          <cell r="K30">
            <v>2.5</v>
          </cell>
          <cell r="L30"/>
          <cell r="M30">
            <v>1.5</v>
          </cell>
          <cell r="N30">
            <v>21</v>
          </cell>
          <cell r="O30">
            <v>0</v>
          </cell>
          <cell r="P30">
            <v>1</v>
          </cell>
          <cell r="Q30">
            <v>1</v>
          </cell>
          <cell r="R30"/>
          <cell r="S30">
            <v>1.5</v>
          </cell>
          <cell r="T30" t="e">
            <v>#REF!</v>
          </cell>
          <cell r="U30">
            <v>0</v>
          </cell>
          <cell r="V30" t="e">
            <v>#REF!</v>
          </cell>
          <cell r="W30" t="e">
            <v>#REF!</v>
          </cell>
          <cell r="X30"/>
          <cell r="Y30">
            <v>2</v>
          </cell>
          <cell r="Z30">
            <v>26</v>
          </cell>
          <cell r="AA30">
            <v>0</v>
          </cell>
          <cell r="AB30">
            <v>1</v>
          </cell>
          <cell r="AC30">
            <v>0</v>
          </cell>
          <cell r="AD30"/>
          <cell r="AE30">
            <v>3</v>
          </cell>
          <cell r="AF30">
            <v>24</v>
          </cell>
          <cell r="AG30">
            <v>0</v>
          </cell>
          <cell r="AH30">
            <v>1</v>
          </cell>
          <cell r="AI30">
            <v>0</v>
          </cell>
          <cell r="AJ30"/>
          <cell r="AK30">
            <v>4</v>
          </cell>
          <cell r="AL30">
            <v>25</v>
          </cell>
          <cell r="AM30">
            <v>0</v>
          </cell>
          <cell r="AN30">
            <v>1</v>
          </cell>
          <cell r="AO30">
            <v>1</v>
          </cell>
          <cell r="AP30"/>
          <cell r="AQ30">
            <v>4</v>
          </cell>
          <cell r="AR30">
            <v>22</v>
          </cell>
          <cell r="AS30">
            <v>0</v>
          </cell>
          <cell r="AT30">
            <v>1</v>
          </cell>
          <cell r="AU30">
            <v>3</v>
          </cell>
          <cell r="AV30"/>
          <cell r="AW30">
            <v>2</v>
          </cell>
          <cell r="AX30">
            <v>26.5</v>
          </cell>
          <cell r="AY30">
            <v>0</v>
          </cell>
          <cell r="AZ30">
            <v>1</v>
          </cell>
          <cell r="BA30">
            <v>0.5</v>
          </cell>
          <cell r="BB30"/>
          <cell r="BC30">
            <v>2.5</v>
          </cell>
          <cell r="BD30">
            <v>26</v>
          </cell>
          <cell r="BE30">
            <v>0</v>
          </cell>
          <cell r="BF30">
            <v>1</v>
          </cell>
          <cell r="BG30">
            <v>0</v>
          </cell>
          <cell r="BH30"/>
          <cell r="BI30">
            <v>3.5</v>
          </cell>
          <cell r="BJ30">
            <v>22</v>
          </cell>
          <cell r="BK30">
            <v>0</v>
          </cell>
          <cell r="BL30">
            <v>1</v>
          </cell>
          <cell r="BM30">
            <v>2</v>
          </cell>
          <cell r="BN30"/>
          <cell r="BO30">
            <v>2.5</v>
          </cell>
          <cell r="BP30">
            <v>25</v>
          </cell>
          <cell r="BQ30">
            <v>0</v>
          </cell>
          <cell r="BR30">
            <v>1</v>
          </cell>
          <cell r="BS30">
            <v>2</v>
          </cell>
          <cell r="BT30"/>
          <cell r="BU30">
            <v>1.5</v>
          </cell>
          <cell r="BV30">
            <v>24</v>
          </cell>
          <cell r="BW30">
            <v>0</v>
          </cell>
          <cell r="BX30">
            <v>1</v>
          </cell>
          <cell r="BY30">
            <v>1</v>
          </cell>
          <cell r="BZ30"/>
          <cell r="CA30">
            <v>1.5</v>
          </cell>
          <cell r="CB30">
            <v>26.5</v>
          </cell>
          <cell r="CC30">
            <v>0</v>
          </cell>
          <cell r="CD30">
            <v>1</v>
          </cell>
          <cell r="CE30">
            <v>0.5</v>
          </cell>
          <cell r="CF30"/>
          <cell r="CG30">
            <v>2</v>
          </cell>
          <cell r="CH30">
            <v>25.5</v>
          </cell>
          <cell r="CI30">
            <v>0</v>
          </cell>
          <cell r="CJ30">
            <v>1</v>
          </cell>
          <cell r="CK30">
            <v>0.5</v>
          </cell>
          <cell r="CL30"/>
          <cell r="CM30">
            <v>2.5</v>
          </cell>
          <cell r="CN30">
            <v>17</v>
          </cell>
          <cell r="CO30">
            <v>0</v>
          </cell>
          <cell r="CP30">
            <v>1</v>
          </cell>
          <cell r="CQ30">
            <v>2</v>
          </cell>
          <cell r="CR30"/>
          <cell r="CS30">
            <v>1.5</v>
          </cell>
          <cell r="CT30">
            <v>26</v>
          </cell>
          <cell r="CU30">
            <v>0</v>
          </cell>
          <cell r="CV30">
            <v>1</v>
          </cell>
          <cell r="CW30">
            <v>0</v>
          </cell>
          <cell r="CX30"/>
          <cell r="CY30">
            <v>2.5</v>
          </cell>
          <cell r="CZ30">
            <v>24</v>
          </cell>
          <cell r="DA30">
            <v>0</v>
          </cell>
          <cell r="DB30">
            <v>1</v>
          </cell>
          <cell r="DC30">
            <v>0</v>
          </cell>
          <cell r="DD30"/>
          <cell r="DE30">
            <v>3.5</v>
          </cell>
          <cell r="DF30">
            <v>23</v>
          </cell>
          <cell r="DG30">
            <v>0</v>
          </cell>
          <cell r="DH30">
            <v>1</v>
          </cell>
          <cell r="DI30">
            <v>2</v>
          </cell>
          <cell r="DJ30"/>
          <cell r="DK30">
            <v>2.5</v>
          </cell>
          <cell r="DL30">
            <v>3.0638888888888891</v>
          </cell>
        </row>
        <row r="31">
          <cell r="B31" t="str">
            <v>NV0017</v>
          </cell>
          <cell r="C31" t="str">
            <v>Văn Phòng</v>
          </cell>
          <cell r="D31" t="str">
            <v>Trương Thị Thảo Sương</v>
          </cell>
          <cell r="E31" t="str">
            <v>VP</v>
          </cell>
          <cell r="F31">
            <v>42208</v>
          </cell>
          <cell r="G31"/>
          <cell r="H31">
            <v>23</v>
          </cell>
          <cell r="I31">
            <v>0</v>
          </cell>
          <cell r="J31">
            <v>1</v>
          </cell>
          <cell r="K31">
            <v>3</v>
          </cell>
          <cell r="L31"/>
          <cell r="M31">
            <v>-4</v>
          </cell>
          <cell r="N31">
            <v>22</v>
          </cell>
          <cell r="O31">
            <v>0</v>
          </cell>
          <cell r="P31">
            <v>1</v>
          </cell>
          <cell r="Q31">
            <v>0</v>
          </cell>
          <cell r="R31"/>
          <cell r="S31">
            <v>-3</v>
          </cell>
          <cell r="T31" t="e">
            <v>#REF!</v>
          </cell>
          <cell r="U31">
            <v>0</v>
          </cell>
          <cell r="V31" t="e">
            <v>#REF!</v>
          </cell>
          <cell r="W31" t="e">
            <v>#REF!</v>
          </cell>
          <cell r="X31"/>
          <cell r="Y31">
            <v>-2</v>
          </cell>
          <cell r="Z31">
            <v>26</v>
          </cell>
          <cell r="AA31">
            <v>0</v>
          </cell>
          <cell r="AB31">
            <v>1</v>
          </cell>
          <cell r="AC31">
            <v>0</v>
          </cell>
          <cell r="AD31"/>
          <cell r="AE31">
            <v>-1</v>
          </cell>
          <cell r="AF31">
            <v>24</v>
          </cell>
          <cell r="AG31">
            <v>0</v>
          </cell>
          <cell r="AH31">
            <v>1</v>
          </cell>
          <cell r="AI31">
            <v>0</v>
          </cell>
          <cell r="AJ31"/>
          <cell r="AK31">
            <v>0</v>
          </cell>
          <cell r="AL31">
            <v>22.625</v>
          </cell>
          <cell r="AM31">
            <v>0</v>
          </cell>
          <cell r="AN31">
            <v>1</v>
          </cell>
          <cell r="AO31">
            <v>3</v>
          </cell>
          <cell r="AP31"/>
          <cell r="AQ31">
            <v>-2</v>
          </cell>
          <cell r="AR31">
            <v>25</v>
          </cell>
          <cell r="AS31">
            <v>0</v>
          </cell>
          <cell r="AT31">
            <v>1</v>
          </cell>
          <cell r="AU31">
            <v>0</v>
          </cell>
          <cell r="AV31"/>
          <cell r="AW31">
            <v>1</v>
          </cell>
          <cell r="AX31">
            <v>25</v>
          </cell>
          <cell r="AY31">
            <v>0</v>
          </cell>
          <cell r="AZ31">
            <v>1</v>
          </cell>
          <cell r="BA31">
            <v>2</v>
          </cell>
          <cell r="BB31"/>
          <cell r="BC31">
            <v>0</v>
          </cell>
          <cell r="BD31">
            <v>26</v>
          </cell>
          <cell r="BE31">
            <v>0</v>
          </cell>
          <cell r="BF31">
            <v>1</v>
          </cell>
          <cell r="BG31">
            <v>0</v>
          </cell>
          <cell r="BH31"/>
          <cell r="BI31">
            <v>1</v>
          </cell>
          <cell r="BJ31">
            <v>23</v>
          </cell>
          <cell r="BK31">
            <v>0</v>
          </cell>
          <cell r="BL31">
            <v>1</v>
          </cell>
          <cell r="BM31">
            <v>1</v>
          </cell>
          <cell r="BN31"/>
          <cell r="BO31">
            <v>1</v>
          </cell>
          <cell r="BP31">
            <v>27</v>
          </cell>
          <cell r="BQ31">
            <v>0</v>
          </cell>
          <cell r="BR31">
            <v>1</v>
          </cell>
          <cell r="BS31">
            <v>0</v>
          </cell>
          <cell r="BT31"/>
          <cell r="BU31">
            <v>2</v>
          </cell>
          <cell r="BV31">
            <v>25</v>
          </cell>
          <cell r="BW31">
            <v>0</v>
          </cell>
          <cell r="BX31">
            <v>1</v>
          </cell>
          <cell r="BY31">
            <v>0</v>
          </cell>
          <cell r="BZ31"/>
          <cell r="CA31">
            <v>3</v>
          </cell>
          <cell r="CB31">
            <v>26</v>
          </cell>
          <cell r="CC31">
            <v>0</v>
          </cell>
          <cell r="CD31">
            <v>1</v>
          </cell>
          <cell r="CE31">
            <v>1</v>
          </cell>
          <cell r="CF31"/>
          <cell r="CG31">
            <v>3</v>
          </cell>
          <cell r="CH31">
            <v>25</v>
          </cell>
          <cell r="CI31">
            <v>0</v>
          </cell>
          <cell r="CJ31">
            <v>1</v>
          </cell>
          <cell r="CK31">
            <v>1</v>
          </cell>
          <cell r="CL31"/>
          <cell r="CM31">
            <v>3</v>
          </cell>
          <cell r="CN31">
            <v>17.5</v>
          </cell>
          <cell r="CO31">
            <v>0</v>
          </cell>
          <cell r="CP31">
            <v>1</v>
          </cell>
          <cell r="CQ31">
            <v>1.5</v>
          </cell>
          <cell r="CR31"/>
          <cell r="CS31">
            <v>2.5</v>
          </cell>
          <cell r="CT31">
            <v>25.5</v>
          </cell>
          <cell r="CU31">
            <v>0</v>
          </cell>
          <cell r="CV31">
            <v>1</v>
          </cell>
          <cell r="CW31">
            <v>0.5</v>
          </cell>
          <cell r="CX31"/>
          <cell r="CY31">
            <v>3</v>
          </cell>
          <cell r="CZ31">
            <v>24</v>
          </cell>
          <cell r="DA31">
            <v>0</v>
          </cell>
          <cell r="DB31">
            <v>1</v>
          </cell>
          <cell r="DC31">
            <v>0</v>
          </cell>
          <cell r="DD31"/>
          <cell r="DE31">
            <v>4</v>
          </cell>
          <cell r="DF31">
            <v>25</v>
          </cell>
          <cell r="DG31">
            <v>0</v>
          </cell>
          <cell r="DH31">
            <v>1</v>
          </cell>
          <cell r="DI31">
            <v>0</v>
          </cell>
          <cell r="DJ31"/>
          <cell r="DK31">
            <v>5</v>
          </cell>
          <cell r="DL31">
            <v>10.855555555555556</v>
          </cell>
        </row>
        <row r="32">
          <cell r="B32" t="str">
            <v>NV0005</v>
          </cell>
          <cell r="C32" t="str">
            <v>Văn Phòng</v>
          </cell>
          <cell r="D32" t="str">
            <v>Phạm Văn Trọng</v>
          </cell>
          <cell r="E32" t="str">
            <v>VP</v>
          </cell>
          <cell r="F32">
            <v>39184</v>
          </cell>
          <cell r="G32"/>
          <cell r="H32">
            <v>24</v>
          </cell>
          <cell r="I32">
            <v>0</v>
          </cell>
          <cell r="J32">
            <v>1</v>
          </cell>
          <cell r="K32">
            <v>2</v>
          </cell>
          <cell r="L32"/>
          <cell r="M32">
            <v>12</v>
          </cell>
          <cell r="N32">
            <v>22</v>
          </cell>
          <cell r="O32">
            <v>0</v>
          </cell>
          <cell r="P32">
            <v>1</v>
          </cell>
          <cell r="Q32">
            <v>0</v>
          </cell>
          <cell r="R32"/>
          <cell r="S32">
            <v>13</v>
          </cell>
          <cell r="T32" t="e">
            <v>#REF!</v>
          </cell>
          <cell r="U32">
            <v>0</v>
          </cell>
          <cell r="V32" t="e">
            <v>#REF!</v>
          </cell>
          <cell r="W32" t="e">
            <v>#REF!</v>
          </cell>
          <cell r="X32"/>
          <cell r="Y32">
            <v>2</v>
          </cell>
          <cell r="Z32">
            <v>26</v>
          </cell>
          <cell r="AA32">
            <v>0</v>
          </cell>
          <cell r="AB32">
            <v>1</v>
          </cell>
          <cell r="AC32">
            <v>0</v>
          </cell>
          <cell r="AD32"/>
          <cell r="AE32">
            <v>3</v>
          </cell>
          <cell r="AF32">
            <v>24</v>
          </cell>
          <cell r="AG32">
            <v>0</v>
          </cell>
          <cell r="AH32">
            <v>1</v>
          </cell>
          <cell r="AI32">
            <v>0</v>
          </cell>
          <cell r="AJ32"/>
          <cell r="AK32">
            <v>4</v>
          </cell>
          <cell r="AL32">
            <v>21.75</v>
          </cell>
          <cell r="AM32">
            <v>0</v>
          </cell>
          <cell r="AN32">
            <v>1</v>
          </cell>
          <cell r="AO32">
            <v>0</v>
          </cell>
          <cell r="AP32"/>
          <cell r="AQ32">
            <v>5</v>
          </cell>
          <cell r="AR32">
            <v>25</v>
          </cell>
          <cell r="AS32">
            <v>0</v>
          </cell>
          <cell r="AT32">
            <v>1</v>
          </cell>
          <cell r="AU32">
            <v>0</v>
          </cell>
          <cell r="AV32"/>
          <cell r="AW32">
            <v>9</v>
          </cell>
          <cell r="AX32">
            <v>27</v>
          </cell>
          <cell r="AY32">
            <v>0</v>
          </cell>
          <cell r="AZ32">
            <v>1</v>
          </cell>
          <cell r="BA32">
            <v>0</v>
          </cell>
          <cell r="BB32"/>
          <cell r="BC32">
            <v>10</v>
          </cell>
          <cell r="BD32">
            <v>26</v>
          </cell>
          <cell r="BE32">
            <v>0</v>
          </cell>
          <cell r="BF32">
            <v>1</v>
          </cell>
          <cell r="BG32">
            <v>0</v>
          </cell>
          <cell r="BH32"/>
          <cell r="BI32">
            <v>11</v>
          </cell>
          <cell r="BJ32">
            <v>23</v>
          </cell>
          <cell r="BK32">
            <v>0</v>
          </cell>
          <cell r="BL32">
            <v>1</v>
          </cell>
          <cell r="BM32">
            <v>1</v>
          </cell>
          <cell r="BN32"/>
          <cell r="BO32">
            <v>11</v>
          </cell>
          <cell r="BP32">
            <v>27</v>
          </cell>
          <cell r="BQ32">
            <v>0</v>
          </cell>
          <cell r="BR32">
            <v>1</v>
          </cell>
          <cell r="BS32">
            <v>0</v>
          </cell>
          <cell r="BT32"/>
          <cell r="BU32">
            <v>12</v>
          </cell>
          <cell r="BV32">
            <v>22</v>
          </cell>
          <cell r="BW32">
            <v>0</v>
          </cell>
          <cell r="BX32">
            <v>1</v>
          </cell>
          <cell r="BY32">
            <v>3</v>
          </cell>
          <cell r="BZ32"/>
          <cell r="CA32">
            <v>10</v>
          </cell>
          <cell r="CB32">
            <v>26</v>
          </cell>
          <cell r="CC32">
            <v>0</v>
          </cell>
          <cell r="CD32">
            <v>1</v>
          </cell>
          <cell r="CE32">
            <v>1</v>
          </cell>
          <cell r="CF32"/>
          <cell r="CG32">
            <v>10</v>
          </cell>
          <cell r="CH32">
            <v>26</v>
          </cell>
          <cell r="CI32">
            <v>0</v>
          </cell>
          <cell r="CJ32">
            <v>1</v>
          </cell>
          <cell r="CK32">
            <v>0</v>
          </cell>
          <cell r="CL32"/>
          <cell r="CM32">
            <v>11</v>
          </cell>
          <cell r="CN32">
            <v>19</v>
          </cell>
          <cell r="CO32">
            <v>0</v>
          </cell>
          <cell r="CP32">
            <v>1</v>
          </cell>
          <cell r="CQ32">
            <v>0</v>
          </cell>
          <cell r="CR32"/>
          <cell r="CS32">
            <v>12</v>
          </cell>
          <cell r="CT32">
            <v>26</v>
          </cell>
          <cell r="CU32">
            <v>0</v>
          </cell>
          <cell r="CV32">
            <v>1</v>
          </cell>
          <cell r="CW32">
            <v>0</v>
          </cell>
          <cell r="CX32"/>
          <cell r="CY32">
            <v>3</v>
          </cell>
          <cell r="CZ32">
            <v>24</v>
          </cell>
          <cell r="DA32">
            <v>0</v>
          </cell>
          <cell r="DB32">
            <v>1</v>
          </cell>
          <cell r="DC32">
            <v>0</v>
          </cell>
          <cell r="DD32"/>
          <cell r="DE32">
            <v>4</v>
          </cell>
          <cell r="DF32">
            <v>25</v>
          </cell>
          <cell r="DG32">
            <v>0</v>
          </cell>
          <cell r="DH32">
            <v>1</v>
          </cell>
          <cell r="DI32">
            <v>0</v>
          </cell>
          <cell r="DJ32"/>
          <cell r="DK32">
            <v>5</v>
          </cell>
          <cell r="DL32">
            <v>19.136111111111113</v>
          </cell>
        </row>
        <row r="33">
          <cell r="B33" t="str">
            <v>NV0963</v>
          </cell>
          <cell r="C33" t="str">
            <v>Văn Phòng</v>
          </cell>
          <cell r="D33" t="str">
            <v>Nguyễn Thị Thu Hiền</v>
          </cell>
          <cell r="E33" t="str">
            <v>VP</v>
          </cell>
          <cell r="F33">
            <v>45063</v>
          </cell>
          <cell r="G33"/>
          <cell r="H33">
            <v>24</v>
          </cell>
          <cell r="I33">
            <v>0</v>
          </cell>
          <cell r="J33">
            <v>1</v>
          </cell>
          <cell r="K33">
            <v>2</v>
          </cell>
          <cell r="L33"/>
          <cell r="M33">
            <v>0</v>
          </cell>
          <cell r="N33">
            <v>21</v>
          </cell>
          <cell r="O33">
            <v>0</v>
          </cell>
          <cell r="P33">
            <v>1</v>
          </cell>
          <cell r="Q33">
            <v>1</v>
          </cell>
          <cell r="R33"/>
          <cell r="S33">
            <v>0</v>
          </cell>
          <cell r="T33" t="e">
            <v>#REF!</v>
          </cell>
          <cell r="U33">
            <v>0</v>
          </cell>
          <cell r="V33" t="e">
            <v>#REF!</v>
          </cell>
          <cell r="W33" t="e">
            <v>#REF!</v>
          </cell>
          <cell r="X33"/>
          <cell r="Y33">
            <v>2</v>
          </cell>
          <cell r="Z33">
            <v>26</v>
          </cell>
          <cell r="AA33">
            <v>0</v>
          </cell>
          <cell r="AB33">
            <v>1</v>
          </cell>
          <cell r="AC33">
            <v>0</v>
          </cell>
          <cell r="AD33"/>
          <cell r="AE33">
            <v>3</v>
          </cell>
          <cell r="AF33">
            <v>22</v>
          </cell>
          <cell r="AG33">
            <v>0</v>
          </cell>
          <cell r="AH33">
            <v>1</v>
          </cell>
          <cell r="AI33">
            <v>2</v>
          </cell>
          <cell r="AJ33"/>
          <cell r="AK33">
            <v>2</v>
          </cell>
          <cell r="AL33">
            <v>26</v>
          </cell>
          <cell r="AM33">
            <v>0</v>
          </cell>
          <cell r="AN33">
            <v>1</v>
          </cell>
          <cell r="AO33">
            <v>0</v>
          </cell>
          <cell r="AP33"/>
          <cell r="AQ33">
            <v>3</v>
          </cell>
          <cell r="AR33">
            <v>25</v>
          </cell>
          <cell r="AS33">
            <v>0</v>
          </cell>
          <cell r="AT33">
            <v>1</v>
          </cell>
          <cell r="AU33">
            <v>0</v>
          </cell>
          <cell r="AV33"/>
          <cell r="AW33">
            <v>4</v>
          </cell>
          <cell r="AX33">
            <v>27</v>
          </cell>
          <cell r="AY33">
            <v>0</v>
          </cell>
          <cell r="AZ33">
            <v>1</v>
          </cell>
          <cell r="BA33">
            <v>0</v>
          </cell>
          <cell r="BB33"/>
          <cell r="BC33">
            <v>5</v>
          </cell>
          <cell r="BD33">
            <v>24</v>
          </cell>
          <cell r="BE33">
            <v>0</v>
          </cell>
          <cell r="BF33">
            <v>1</v>
          </cell>
          <cell r="BG33">
            <v>2</v>
          </cell>
          <cell r="BH33"/>
          <cell r="BI33">
            <v>4</v>
          </cell>
          <cell r="BJ33">
            <v>23</v>
          </cell>
          <cell r="BK33">
            <v>0</v>
          </cell>
          <cell r="BL33">
            <v>1</v>
          </cell>
          <cell r="BM33">
            <v>1</v>
          </cell>
          <cell r="BN33"/>
          <cell r="BO33">
            <v>4</v>
          </cell>
          <cell r="BP33">
            <v>27</v>
          </cell>
          <cell r="BQ33">
            <v>0</v>
          </cell>
          <cell r="BR33">
            <v>1</v>
          </cell>
          <cell r="BS33">
            <v>0</v>
          </cell>
          <cell r="BT33"/>
          <cell r="BU33">
            <v>5</v>
          </cell>
          <cell r="BV33">
            <v>25</v>
          </cell>
          <cell r="BW33">
            <v>0</v>
          </cell>
          <cell r="BX33">
            <v>1</v>
          </cell>
          <cell r="BY33">
            <v>0</v>
          </cell>
          <cell r="BZ33"/>
          <cell r="CA33">
            <v>6</v>
          </cell>
          <cell r="CB33">
            <v>27</v>
          </cell>
          <cell r="CC33">
            <v>0</v>
          </cell>
          <cell r="CD33">
            <v>1</v>
          </cell>
          <cell r="CE33">
            <v>0</v>
          </cell>
          <cell r="CF33"/>
          <cell r="CG33">
            <v>7</v>
          </cell>
          <cell r="CH33">
            <v>25</v>
          </cell>
          <cell r="CI33">
            <v>0</v>
          </cell>
          <cell r="CJ33">
            <v>1</v>
          </cell>
          <cell r="CK33">
            <v>1</v>
          </cell>
          <cell r="CL33"/>
          <cell r="CM33">
            <v>7</v>
          </cell>
          <cell r="CN33">
            <v>16</v>
          </cell>
          <cell r="CO33">
            <v>0</v>
          </cell>
          <cell r="CP33">
            <v>1</v>
          </cell>
          <cell r="CQ33">
            <v>3</v>
          </cell>
          <cell r="CR33"/>
          <cell r="CS33">
            <v>5</v>
          </cell>
          <cell r="CT33">
            <v>24</v>
          </cell>
          <cell r="CU33">
            <v>0</v>
          </cell>
          <cell r="CV33">
            <v>1</v>
          </cell>
          <cell r="CW33">
            <v>2</v>
          </cell>
          <cell r="CX33"/>
          <cell r="CY33">
            <v>3</v>
          </cell>
          <cell r="CZ33">
            <v>24</v>
          </cell>
          <cell r="DA33">
            <v>0</v>
          </cell>
          <cell r="DB33">
            <v>1</v>
          </cell>
          <cell r="DC33">
            <v>0</v>
          </cell>
          <cell r="DD33"/>
          <cell r="DE33">
            <v>4</v>
          </cell>
          <cell r="DF33">
            <v>25</v>
          </cell>
          <cell r="DG33">
            <v>0</v>
          </cell>
          <cell r="DH33">
            <v>1</v>
          </cell>
          <cell r="DI33">
            <v>0</v>
          </cell>
          <cell r="DJ33"/>
          <cell r="DK33">
            <v>5</v>
          </cell>
          <cell r="DL33">
            <v>3.0388888888888888</v>
          </cell>
        </row>
        <row r="34">
          <cell r="B34" t="str">
            <v>NV0624</v>
          </cell>
          <cell r="C34" t="str">
            <v>Văn Phòng</v>
          </cell>
          <cell r="D34" t="str">
            <v>Từ Thanh Hậu</v>
          </cell>
          <cell r="E34" t="str">
            <v>VP</v>
          </cell>
          <cell r="F34">
            <v>43987</v>
          </cell>
          <cell r="G34"/>
          <cell r="H34">
            <v>23.125</v>
          </cell>
          <cell r="I34">
            <v>0</v>
          </cell>
          <cell r="J34">
            <v>1</v>
          </cell>
          <cell r="K34">
            <v>0</v>
          </cell>
          <cell r="L34"/>
          <cell r="M34">
            <v>1</v>
          </cell>
          <cell r="N34">
            <v>18.375</v>
          </cell>
          <cell r="O34">
            <v>0</v>
          </cell>
          <cell r="P34">
            <v>1</v>
          </cell>
          <cell r="Q34">
            <v>2</v>
          </cell>
          <cell r="R34"/>
          <cell r="S34">
            <v>0</v>
          </cell>
          <cell r="T34" t="e">
            <v>#REF!</v>
          </cell>
          <cell r="U34">
            <v>0</v>
          </cell>
          <cell r="V34" t="e">
            <v>#REF!</v>
          </cell>
          <cell r="W34" t="e">
            <v>#REF!</v>
          </cell>
          <cell r="X34"/>
          <cell r="Y34">
            <v>-0.5</v>
          </cell>
          <cell r="Z34">
            <v>24.625</v>
          </cell>
          <cell r="AA34">
            <v>0</v>
          </cell>
          <cell r="AB34">
            <v>1</v>
          </cell>
          <cell r="AC34">
            <v>1</v>
          </cell>
          <cell r="AD34"/>
          <cell r="AE34">
            <v>-0.5</v>
          </cell>
          <cell r="AF34">
            <v>21.75</v>
          </cell>
          <cell r="AG34">
            <v>0</v>
          </cell>
          <cell r="AH34">
            <v>1</v>
          </cell>
          <cell r="AI34">
            <v>1.5</v>
          </cell>
          <cell r="AJ34"/>
          <cell r="AK34">
            <v>-1</v>
          </cell>
          <cell r="AL34">
            <v>25.5</v>
          </cell>
          <cell r="AM34">
            <v>0</v>
          </cell>
          <cell r="AN34">
            <v>1</v>
          </cell>
          <cell r="AO34">
            <v>0</v>
          </cell>
          <cell r="AP34"/>
          <cell r="AQ34">
            <v>0</v>
          </cell>
          <cell r="AR34">
            <v>24</v>
          </cell>
          <cell r="AS34">
            <v>0</v>
          </cell>
          <cell r="AT34">
            <v>1</v>
          </cell>
          <cell r="AU34">
            <v>1</v>
          </cell>
          <cell r="AV34"/>
          <cell r="AW34">
            <v>1</v>
          </cell>
          <cell r="AX34">
            <v>25</v>
          </cell>
          <cell r="AY34">
            <v>0</v>
          </cell>
          <cell r="AZ34">
            <v>1</v>
          </cell>
          <cell r="BA34">
            <v>0.5</v>
          </cell>
          <cell r="BB34"/>
          <cell r="BC34">
            <v>1.5</v>
          </cell>
          <cell r="BD34">
            <v>24.875</v>
          </cell>
          <cell r="BE34">
            <v>0</v>
          </cell>
          <cell r="BF34">
            <v>1</v>
          </cell>
          <cell r="BG34">
            <v>0</v>
          </cell>
          <cell r="BH34"/>
          <cell r="BI34">
            <v>2.5</v>
          </cell>
          <cell r="BJ34">
            <v>21</v>
          </cell>
          <cell r="BK34">
            <v>0</v>
          </cell>
          <cell r="BL34">
            <v>1</v>
          </cell>
          <cell r="BM34">
            <v>2</v>
          </cell>
          <cell r="BN34"/>
          <cell r="BO34">
            <v>1.5</v>
          </cell>
          <cell r="BP34">
            <v>20.625</v>
          </cell>
          <cell r="BQ34">
            <v>0</v>
          </cell>
          <cell r="BR34">
            <v>1</v>
          </cell>
          <cell r="BS34">
            <v>2.5</v>
          </cell>
          <cell r="BT34"/>
          <cell r="BU34">
            <v>0</v>
          </cell>
          <cell r="BV34">
            <v>22</v>
          </cell>
          <cell r="BW34">
            <v>0</v>
          </cell>
          <cell r="BX34">
            <v>1</v>
          </cell>
          <cell r="BY34">
            <v>1</v>
          </cell>
          <cell r="BZ34"/>
          <cell r="CA34">
            <v>0</v>
          </cell>
          <cell r="CB34">
            <v>27</v>
          </cell>
          <cell r="CC34">
            <v>0</v>
          </cell>
          <cell r="CD34">
            <v>1</v>
          </cell>
          <cell r="CE34">
            <v>0</v>
          </cell>
          <cell r="CF34"/>
          <cell r="CG34">
            <v>1</v>
          </cell>
          <cell r="CH34">
            <v>24.5</v>
          </cell>
          <cell r="CI34">
            <v>0</v>
          </cell>
          <cell r="CJ34">
            <v>1</v>
          </cell>
          <cell r="CK34">
            <v>1.5</v>
          </cell>
          <cell r="CL34"/>
          <cell r="CM34">
            <v>0.5</v>
          </cell>
          <cell r="CN34">
            <v>19</v>
          </cell>
          <cell r="CO34">
            <v>0</v>
          </cell>
          <cell r="CP34">
            <v>1</v>
          </cell>
          <cell r="CQ34">
            <v>0</v>
          </cell>
          <cell r="CR34"/>
          <cell r="CS34">
            <v>1.5</v>
          </cell>
          <cell r="CT34">
            <v>24.5</v>
          </cell>
          <cell r="CU34">
            <v>0</v>
          </cell>
          <cell r="CV34">
            <v>1</v>
          </cell>
          <cell r="CW34">
            <v>1.5</v>
          </cell>
          <cell r="CX34"/>
          <cell r="CY34">
            <v>1</v>
          </cell>
          <cell r="CZ34">
            <v>24</v>
          </cell>
          <cell r="DA34">
            <v>0</v>
          </cell>
          <cell r="DB34">
            <v>1</v>
          </cell>
          <cell r="DC34">
            <v>1</v>
          </cell>
          <cell r="DD34"/>
          <cell r="DE34">
            <v>1</v>
          </cell>
          <cell r="DF34">
            <v>23</v>
          </cell>
          <cell r="DG34">
            <v>0</v>
          </cell>
          <cell r="DH34">
            <v>1</v>
          </cell>
          <cell r="DI34">
            <v>2</v>
          </cell>
          <cell r="DJ34"/>
          <cell r="DK34">
            <v>0</v>
          </cell>
          <cell r="DL34">
            <v>5.9888888888888889</v>
          </cell>
        </row>
        <row r="35">
          <cell r="B35" t="str">
            <v>NV0043</v>
          </cell>
          <cell r="C35" t="str">
            <v>Văn Phòng</v>
          </cell>
          <cell r="D35" t="str">
            <v>Hồ Thị Ngọc Trang</v>
          </cell>
          <cell r="E35" t="str">
            <v>VP</v>
          </cell>
          <cell r="F35">
            <v>42644.689032442097</v>
          </cell>
          <cell r="G35"/>
          <cell r="H35">
            <v>26</v>
          </cell>
          <cell r="I35">
            <v>0</v>
          </cell>
          <cell r="J35">
            <v>1</v>
          </cell>
          <cell r="K35">
            <v>0</v>
          </cell>
          <cell r="L35"/>
          <cell r="M35">
            <v>5</v>
          </cell>
          <cell r="N35">
            <v>19.875</v>
          </cell>
          <cell r="O35">
            <v>0</v>
          </cell>
          <cell r="P35">
            <v>1</v>
          </cell>
          <cell r="Q35">
            <v>2</v>
          </cell>
          <cell r="R35"/>
          <cell r="S35">
            <v>4</v>
          </cell>
          <cell r="T35" t="e">
            <v>#REF!</v>
          </cell>
          <cell r="U35">
            <v>0</v>
          </cell>
          <cell r="V35" t="e">
            <v>#REF!</v>
          </cell>
          <cell r="W35" t="e">
            <v>#REF!</v>
          </cell>
          <cell r="X35"/>
          <cell r="Y35">
            <v>2</v>
          </cell>
          <cell r="Z35">
            <v>26</v>
          </cell>
          <cell r="AA35">
            <v>0</v>
          </cell>
          <cell r="AB35">
            <v>1</v>
          </cell>
          <cell r="AC35">
            <v>0</v>
          </cell>
          <cell r="AD35"/>
          <cell r="AE35">
            <v>3</v>
          </cell>
          <cell r="AF35">
            <v>24</v>
          </cell>
          <cell r="AG35">
            <v>0</v>
          </cell>
          <cell r="AH35">
            <v>1</v>
          </cell>
          <cell r="AI35">
            <v>0</v>
          </cell>
          <cell r="AJ35"/>
          <cell r="AK35">
            <v>4</v>
          </cell>
          <cell r="AL35">
            <v>25</v>
          </cell>
          <cell r="AM35">
            <v>0</v>
          </cell>
          <cell r="AN35">
            <v>1</v>
          </cell>
          <cell r="AO35">
            <v>1</v>
          </cell>
          <cell r="AP35"/>
          <cell r="AQ35">
            <v>4</v>
          </cell>
          <cell r="AR35">
            <v>25</v>
          </cell>
          <cell r="AS35">
            <v>0</v>
          </cell>
          <cell r="AT35">
            <v>1</v>
          </cell>
          <cell r="AU35">
            <v>0</v>
          </cell>
          <cell r="AV35"/>
          <cell r="AW35">
            <v>6</v>
          </cell>
          <cell r="AX35">
            <v>27</v>
          </cell>
          <cell r="AY35">
            <v>0</v>
          </cell>
          <cell r="AZ35">
            <v>1</v>
          </cell>
          <cell r="BA35">
            <v>0</v>
          </cell>
          <cell r="BB35"/>
          <cell r="BC35">
            <v>7</v>
          </cell>
          <cell r="BD35">
            <v>25.5</v>
          </cell>
          <cell r="BE35">
            <v>0</v>
          </cell>
          <cell r="BF35">
            <v>1</v>
          </cell>
          <cell r="BG35">
            <v>0.5</v>
          </cell>
          <cell r="BH35"/>
          <cell r="BI35">
            <v>7.5</v>
          </cell>
          <cell r="BJ35">
            <v>23</v>
          </cell>
          <cell r="BK35">
            <v>0</v>
          </cell>
          <cell r="BL35">
            <v>1</v>
          </cell>
          <cell r="BM35">
            <v>1</v>
          </cell>
          <cell r="BN35"/>
          <cell r="BO35">
            <v>7.5</v>
          </cell>
          <cell r="BP35">
            <v>27</v>
          </cell>
          <cell r="BQ35">
            <v>0</v>
          </cell>
          <cell r="BR35">
            <v>1</v>
          </cell>
          <cell r="BS35">
            <v>0</v>
          </cell>
          <cell r="BT35"/>
          <cell r="BU35">
            <v>8.5</v>
          </cell>
          <cell r="BV35">
            <v>25</v>
          </cell>
          <cell r="BW35">
            <v>0</v>
          </cell>
          <cell r="BX35">
            <v>1</v>
          </cell>
          <cell r="BY35">
            <v>0</v>
          </cell>
          <cell r="BZ35"/>
          <cell r="CA35">
            <v>9.5</v>
          </cell>
          <cell r="CB35">
            <v>27</v>
          </cell>
          <cell r="CC35">
            <v>0</v>
          </cell>
          <cell r="CD35">
            <v>1</v>
          </cell>
          <cell r="CE35">
            <v>0</v>
          </cell>
          <cell r="CF35"/>
          <cell r="CG35">
            <v>10.5</v>
          </cell>
          <cell r="CH35">
            <v>26</v>
          </cell>
          <cell r="CI35">
            <v>0</v>
          </cell>
          <cell r="CJ35">
            <v>1</v>
          </cell>
          <cell r="CK35">
            <v>0</v>
          </cell>
          <cell r="CL35"/>
          <cell r="CM35">
            <v>11.5</v>
          </cell>
          <cell r="CN35">
            <v>18</v>
          </cell>
          <cell r="CO35">
            <v>0</v>
          </cell>
          <cell r="CP35">
            <v>1</v>
          </cell>
          <cell r="CQ35">
            <v>1</v>
          </cell>
          <cell r="CR35"/>
          <cell r="CS35">
            <v>11.5</v>
          </cell>
          <cell r="CT35">
            <v>26</v>
          </cell>
          <cell r="CU35">
            <v>0</v>
          </cell>
          <cell r="CV35">
            <v>1</v>
          </cell>
          <cell r="CW35">
            <v>0</v>
          </cell>
          <cell r="CX35"/>
          <cell r="CY35">
            <v>3</v>
          </cell>
          <cell r="CZ35">
            <v>25</v>
          </cell>
          <cell r="DA35">
            <v>0</v>
          </cell>
          <cell r="DB35">
            <v>1</v>
          </cell>
          <cell r="DC35">
            <v>0</v>
          </cell>
          <cell r="DD35"/>
          <cell r="DE35">
            <v>4</v>
          </cell>
          <cell r="DF35">
            <v>24.875</v>
          </cell>
          <cell r="DG35">
            <v>0</v>
          </cell>
          <cell r="DH35">
            <v>1</v>
          </cell>
          <cell r="DI35">
            <v>0</v>
          </cell>
          <cell r="DJ35"/>
          <cell r="DK35">
            <v>5</v>
          </cell>
          <cell r="DL35">
            <v>9.6666666666666661</v>
          </cell>
        </row>
        <row r="36">
          <cell r="B36" t="str">
            <v>NV1165</v>
          </cell>
          <cell r="C36" t="str">
            <v>Văn Phòng</v>
          </cell>
          <cell r="D36" t="str">
            <v>Y Nghe Knul</v>
          </cell>
          <cell r="E36" t="str">
            <v>VP</v>
          </cell>
          <cell r="F36">
            <v>45378</v>
          </cell>
          <cell r="G36"/>
          <cell r="H36">
            <v>24</v>
          </cell>
          <cell r="I36">
            <v>0</v>
          </cell>
          <cell r="J36">
            <v>1</v>
          </cell>
          <cell r="K36">
            <v>2</v>
          </cell>
          <cell r="L36"/>
          <cell r="M36">
            <v>2.5</v>
          </cell>
          <cell r="N36">
            <v>21.75</v>
          </cell>
          <cell r="O36">
            <v>0</v>
          </cell>
          <cell r="P36">
            <v>1</v>
          </cell>
          <cell r="Q36">
            <v>0</v>
          </cell>
          <cell r="R36"/>
          <cell r="S36">
            <v>3.5</v>
          </cell>
          <cell r="T36" t="e">
            <v>#REF!</v>
          </cell>
          <cell r="U36">
            <v>0</v>
          </cell>
          <cell r="V36" t="e">
            <v>#REF!</v>
          </cell>
          <cell r="W36" t="e">
            <v>#REF!</v>
          </cell>
          <cell r="X36"/>
          <cell r="Y36">
            <v>2</v>
          </cell>
          <cell r="Z36">
            <v>26</v>
          </cell>
          <cell r="AA36">
            <v>0</v>
          </cell>
          <cell r="AB36">
            <v>1</v>
          </cell>
          <cell r="AC36">
            <v>0</v>
          </cell>
          <cell r="AD36"/>
          <cell r="AE36">
            <v>3</v>
          </cell>
          <cell r="AF36">
            <v>22.5</v>
          </cell>
          <cell r="AG36">
            <v>0</v>
          </cell>
          <cell r="AH36">
            <v>1</v>
          </cell>
          <cell r="AI36">
            <v>1.5</v>
          </cell>
          <cell r="AJ36"/>
          <cell r="AK36">
            <v>2.5</v>
          </cell>
          <cell r="AL36">
            <v>23.125</v>
          </cell>
          <cell r="AM36">
            <v>0</v>
          </cell>
          <cell r="AN36">
            <v>1</v>
          </cell>
          <cell r="AO36">
            <v>2.5</v>
          </cell>
          <cell r="AP36"/>
          <cell r="AQ36">
            <v>1</v>
          </cell>
          <cell r="AR36">
            <v>24</v>
          </cell>
          <cell r="AS36">
            <v>0</v>
          </cell>
          <cell r="AT36">
            <v>1</v>
          </cell>
          <cell r="AU36">
            <v>1</v>
          </cell>
          <cell r="AV36"/>
          <cell r="AW36">
            <v>1</v>
          </cell>
          <cell r="AX36">
            <v>27</v>
          </cell>
          <cell r="AY36">
            <v>0</v>
          </cell>
          <cell r="AZ36">
            <v>1</v>
          </cell>
          <cell r="BA36">
            <v>0</v>
          </cell>
          <cell r="BB36"/>
          <cell r="BC36">
            <v>2</v>
          </cell>
          <cell r="BD36">
            <v>23</v>
          </cell>
          <cell r="BE36">
            <v>0</v>
          </cell>
          <cell r="BF36">
            <v>1</v>
          </cell>
          <cell r="BG36">
            <v>3</v>
          </cell>
          <cell r="BH36"/>
          <cell r="BI36">
            <v>0</v>
          </cell>
          <cell r="BJ36">
            <v>22.5</v>
          </cell>
          <cell r="BK36">
            <v>0</v>
          </cell>
          <cell r="BL36">
            <v>1</v>
          </cell>
          <cell r="BM36">
            <v>1.5</v>
          </cell>
          <cell r="BN36"/>
          <cell r="BO36">
            <v>-0.5</v>
          </cell>
          <cell r="BP36">
            <v>26</v>
          </cell>
          <cell r="BQ36">
            <v>0</v>
          </cell>
          <cell r="BR36">
            <v>1</v>
          </cell>
          <cell r="BS36">
            <v>1</v>
          </cell>
          <cell r="BT36"/>
          <cell r="BU36">
            <v>-0.5</v>
          </cell>
          <cell r="BV36">
            <v>24.5</v>
          </cell>
          <cell r="BW36">
            <v>0</v>
          </cell>
          <cell r="BX36">
            <v>1</v>
          </cell>
          <cell r="BY36">
            <v>0.5</v>
          </cell>
          <cell r="BZ36"/>
          <cell r="CA36">
            <v>0</v>
          </cell>
          <cell r="CB36">
            <v>25</v>
          </cell>
          <cell r="CC36">
            <v>0</v>
          </cell>
          <cell r="CD36">
            <v>1</v>
          </cell>
          <cell r="CE36">
            <v>2</v>
          </cell>
          <cell r="CF36"/>
          <cell r="CG36">
            <v>-1</v>
          </cell>
          <cell r="CH36">
            <v>26</v>
          </cell>
          <cell r="CI36">
            <v>0</v>
          </cell>
          <cell r="CJ36">
            <v>1</v>
          </cell>
          <cell r="CK36">
            <v>0</v>
          </cell>
          <cell r="CL36"/>
          <cell r="CM36">
            <v>0</v>
          </cell>
          <cell r="CN36">
            <v>18</v>
          </cell>
          <cell r="CO36">
            <v>0</v>
          </cell>
          <cell r="CP36">
            <v>1</v>
          </cell>
          <cell r="CQ36">
            <v>1</v>
          </cell>
          <cell r="CR36"/>
          <cell r="CS36">
            <v>0</v>
          </cell>
          <cell r="CT36">
            <v>25</v>
          </cell>
          <cell r="CU36">
            <v>0</v>
          </cell>
          <cell r="CV36">
            <v>1</v>
          </cell>
          <cell r="CW36">
            <v>1</v>
          </cell>
          <cell r="CX36"/>
          <cell r="CY36">
            <v>0</v>
          </cell>
          <cell r="CZ36">
            <v>24</v>
          </cell>
          <cell r="DA36">
            <v>0</v>
          </cell>
          <cell r="DB36">
            <v>1</v>
          </cell>
          <cell r="DC36">
            <v>0</v>
          </cell>
          <cell r="DD36"/>
          <cell r="DE36">
            <v>1</v>
          </cell>
          <cell r="DF36">
            <v>24</v>
          </cell>
          <cell r="DG36">
            <v>0</v>
          </cell>
          <cell r="DH36">
            <v>1</v>
          </cell>
          <cell r="DI36">
            <v>1</v>
          </cell>
          <cell r="DJ36"/>
          <cell r="DK36">
            <v>1</v>
          </cell>
          <cell r="DL36">
            <v>2.1777777777777776</v>
          </cell>
        </row>
        <row r="37">
          <cell r="B37" t="str">
            <v>NV1172</v>
          </cell>
          <cell r="C37" t="str">
            <v>Văn Phòng</v>
          </cell>
          <cell r="D37" t="str">
            <v>Huỳnh Ngọc Tuấn</v>
          </cell>
          <cell r="E37" t="str">
            <v>VP</v>
          </cell>
          <cell r="F37">
            <v>45380</v>
          </cell>
          <cell r="G37"/>
          <cell r="H37">
            <v>24</v>
          </cell>
          <cell r="I37">
            <v>0</v>
          </cell>
          <cell r="J37">
            <v>1</v>
          </cell>
          <cell r="K37">
            <v>2</v>
          </cell>
          <cell r="L37"/>
          <cell r="M37">
            <v>2</v>
          </cell>
          <cell r="N37">
            <v>20</v>
          </cell>
          <cell r="O37">
            <v>0</v>
          </cell>
          <cell r="P37">
            <v>1</v>
          </cell>
          <cell r="Q37">
            <v>2</v>
          </cell>
          <cell r="R37"/>
          <cell r="S37">
            <v>1</v>
          </cell>
          <cell r="T37" t="e">
            <v>#REF!</v>
          </cell>
          <cell r="U37">
            <v>0</v>
          </cell>
          <cell r="V37" t="e">
            <v>#REF!</v>
          </cell>
          <cell r="W37" t="e">
            <v>#REF!</v>
          </cell>
          <cell r="X37"/>
          <cell r="Y37">
            <v>1</v>
          </cell>
          <cell r="Z37">
            <v>26</v>
          </cell>
          <cell r="AA37">
            <v>0</v>
          </cell>
          <cell r="AB37">
            <v>1</v>
          </cell>
          <cell r="AC37">
            <v>0</v>
          </cell>
          <cell r="AD37"/>
          <cell r="AE37">
            <v>2</v>
          </cell>
          <cell r="AF37">
            <v>21</v>
          </cell>
          <cell r="AG37">
            <v>0</v>
          </cell>
          <cell r="AH37">
            <v>1</v>
          </cell>
          <cell r="AI37">
            <v>3</v>
          </cell>
          <cell r="AJ37"/>
          <cell r="AK37">
            <v>0</v>
          </cell>
          <cell r="AL37">
            <v>26</v>
          </cell>
          <cell r="AM37">
            <v>0</v>
          </cell>
          <cell r="AN37">
            <v>1</v>
          </cell>
          <cell r="AO37">
            <v>0</v>
          </cell>
          <cell r="AP37"/>
          <cell r="AQ37">
            <v>1</v>
          </cell>
          <cell r="AR37">
            <v>22</v>
          </cell>
          <cell r="AS37">
            <v>0</v>
          </cell>
          <cell r="AT37">
            <v>1</v>
          </cell>
          <cell r="AU37">
            <v>3</v>
          </cell>
          <cell r="AV37"/>
          <cell r="AW37">
            <v>-1</v>
          </cell>
          <cell r="AX37">
            <v>27</v>
          </cell>
          <cell r="AY37">
            <v>0</v>
          </cell>
          <cell r="AZ37">
            <v>1</v>
          </cell>
          <cell r="BA37">
            <v>0</v>
          </cell>
          <cell r="BB37"/>
          <cell r="BC37">
            <v>0</v>
          </cell>
          <cell r="BD37">
            <v>26</v>
          </cell>
          <cell r="BE37">
            <v>0</v>
          </cell>
          <cell r="BF37">
            <v>1</v>
          </cell>
          <cell r="BG37">
            <v>0</v>
          </cell>
          <cell r="BH37"/>
          <cell r="BI37">
            <v>1</v>
          </cell>
          <cell r="BJ37">
            <v>23</v>
          </cell>
          <cell r="BK37">
            <v>0</v>
          </cell>
          <cell r="BL37">
            <v>1</v>
          </cell>
          <cell r="BM37">
            <v>1</v>
          </cell>
          <cell r="BN37"/>
          <cell r="BO37">
            <v>1</v>
          </cell>
          <cell r="BP37">
            <v>27</v>
          </cell>
          <cell r="BQ37">
            <v>0</v>
          </cell>
          <cell r="BR37">
            <v>1</v>
          </cell>
          <cell r="BS37">
            <v>0</v>
          </cell>
          <cell r="BT37"/>
          <cell r="BU37">
            <v>2</v>
          </cell>
          <cell r="BV37">
            <v>25</v>
          </cell>
          <cell r="BW37">
            <v>0</v>
          </cell>
          <cell r="BX37">
            <v>1</v>
          </cell>
          <cell r="BY37">
            <v>0</v>
          </cell>
          <cell r="BZ37"/>
          <cell r="CA37">
            <v>3</v>
          </cell>
          <cell r="CB37">
            <v>25</v>
          </cell>
          <cell r="CC37">
            <v>0</v>
          </cell>
          <cell r="CD37">
            <v>1</v>
          </cell>
          <cell r="CE37">
            <v>2</v>
          </cell>
          <cell r="CF37"/>
          <cell r="CG37">
            <v>2</v>
          </cell>
          <cell r="CH37">
            <v>26</v>
          </cell>
          <cell r="CI37">
            <v>0</v>
          </cell>
          <cell r="CJ37">
            <v>1</v>
          </cell>
          <cell r="CK37">
            <v>0</v>
          </cell>
          <cell r="CL37"/>
          <cell r="CM37">
            <v>3</v>
          </cell>
          <cell r="CN37">
            <v>18</v>
          </cell>
          <cell r="CO37">
            <v>0</v>
          </cell>
          <cell r="CP37">
            <v>1</v>
          </cell>
          <cell r="CQ37">
            <v>1</v>
          </cell>
          <cell r="CR37"/>
          <cell r="CS37">
            <v>3</v>
          </cell>
          <cell r="CT37">
            <v>25</v>
          </cell>
          <cell r="CU37">
            <v>0</v>
          </cell>
          <cell r="CV37">
            <v>1</v>
          </cell>
          <cell r="CW37">
            <v>1</v>
          </cell>
          <cell r="CX37"/>
          <cell r="CY37">
            <v>3</v>
          </cell>
          <cell r="CZ37">
            <v>24</v>
          </cell>
          <cell r="DA37">
            <v>0</v>
          </cell>
          <cell r="DB37">
            <v>1</v>
          </cell>
          <cell r="DC37">
            <v>0</v>
          </cell>
          <cell r="DD37"/>
          <cell r="DE37">
            <v>4</v>
          </cell>
          <cell r="DF37">
            <v>24</v>
          </cell>
          <cell r="DG37">
            <v>0</v>
          </cell>
          <cell r="DH37">
            <v>1</v>
          </cell>
          <cell r="DI37">
            <v>1</v>
          </cell>
          <cell r="DJ37"/>
          <cell r="DK37">
            <v>4</v>
          </cell>
          <cell r="DL37">
            <v>2.1722222222222221</v>
          </cell>
        </row>
        <row r="38">
          <cell r="B38" t="str">
            <v>NV1270</v>
          </cell>
          <cell r="C38" t="str">
            <v>Văn Phòng</v>
          </cell>
          <cell r="D38" t="str">
            <v>Nguyễn Thị Trúc Huy</v>
          </cell>
          <cell r="E38" t="str">
            <v>VP</v>
          </cell>
          <cell r="F38">
            <v>45474</v>
          </cell>
          <cell r="G38"/>
          <cell r="H38">
            <v>24</v>
          </cell>
          <cell r="I38">
            <v>0</v>
          </cell>
          <cell r="J38">
            <v>1</v>
          </cell>
          <cell r="K38">
            <v>2</v>
          </cell>
          <cell r="L38"/>
          <cell r="M38">
            <v>3</v>
          </cell>
          <cell r="N38">
            <v>20</v>
          </cell>
          <cell r="O38">
            <v>0</v>
          </cell>
          <cell r="P38">
            <v>1</v>
          </cell>
          <cell r="Q38">
            <v>2</v>
          </cell>
          <cell r="R38"/>
          <cell r="S38">
            <v>2</v>
          </cell>
          <cell r="T38" t="e">
            <v>#REF!</v>
          </cell>
          <cell r="U38">
            <v>0</v>
          </cell>
          <cell r="V38" t="e">
            <v>#REF!</v>
          </cell>
          <cell r="W38" t="e">
            <v>#REF!</v>
          </cell>
          <cell r="X38"/>
          <cell r="Y38">
            <v>2</v>
          </cell>
          <cell r="Z38">
            <v>26</v>
          </cell>
          <cell r="AA38">
            <v>0</v>
          </cell>
          <cell r="AB38">
            <v>1</v>
          </cell>
          <cell r="AC38">
            <v>0</v>
          </cell>
          <cell r="AD38"/>
          <cell r="AE38">
            <v>3</v>
          </cell>
          <cell r="AF38">
            <v>21.5</v>
          </cell>
          <cell r="AG38">
            <v>0</v>
          </cell>
          <cell r="AH38">
            <v>1</v>
          </cell>
          <cell r="AI38">
            <v>2.5</v>
          </cell>
          <cell r="AJ38"/>
          <cell r="AK38">
            <v>1.5</v>
          </cell>
          <cell r="AL38">
            <v>25</v>
          </cell>
          <cell r="AM38">
            <v>0</v>
          </cell>
          <cell r="AN38">
            <v>1</v>
          </cell>
          <cell r="AO38">
            <v>1</v>
          </cell>
          <cell r="AP38"/>
          <cell r="AQ38">
            <v>1.5</v>
          </cell>
          <cell r="AR38">
            <v>24</v>
          </cell>
          <cell r="AS38">
            <v>0</v>
          </cell>
          <cell r="AT38">
            <v>1</v>
          </cell>
          <cell r="AU38">
            <v>1</v>
          </cell>
          <cell r="AV38"/>
          <cell r="AW38">
            <v>1.5</v>
          </cell>
          <cell r="AX38">
            <v>27</v>
          </cell>
          <cell r="AY38">
            <v>0</v>
          </cell>
          <cell r="AZ38">
            <v>1</v>
          </cell>
          <cell r="BA38">
            <v>0</v>
          </cell>
          <cell r="BB38"/>
          <cell r="BC38">
            <v>2.5</v>
          </cell>
          <cell r="BD38">
            <v>25</v>
          </cell>
          <cell r="BE38">
            <v>0</v>
          </cell>
          <cell r="BF38">
            <v>1</v>
          </cell>
          <cell r="BG38">
            <v>1</v>
          </cell>
          <cell r="BH38"/>
          <cell r="BI38">
            <v>2.5</v>
          </cell>
          <cell r="BJ38">
            <v>22</v>
          </cell>
          <cell r="BK38">
            <v>0</v>
          </cell>
          <cell r="BL38">
            <v>1</v>
          </cell>
          <cell r="BM38">
            <v>2</v>
          </cell>
          <cell r="BN38"/>
          <cell r="BO38">
            <v>1.5</v>
          </cell>
          <cell r="BP38">
            <v>26.5</v>
          </cell>
          <cell r="BQ38">
            <v>0</v>
          </cell>
          <cell r="BR38">
            <v>1</v>
          </cell>
          <cell r="BS38">
            <v>0.5</v>
          </cell>
          <cell r="BT38"/>
          <cell r="BU38">
            <v>2</v>
          </cell>
          <cell r="BV38">
            <v>22.5</v>
          </cell>
          <cell r="BW38">
            <v>0</v>
          </cell>
          <cell r="BX38">
            <v>1</v>
          </cell>
          <cell r="BY38">
            <v>2.5</v>
          </cell>
          <cell r="BZ38"/>
          <cell r="CA38">
            <v>0.5</v>
          </cell>
          <cell r="CB38">
            <v>26</v>
          </cell>
          <cell r="CC38">
            <v>0</v>
          </cell>
          <cell r="CD38">
            <v>1</v>
          </cell>
          <cell r="CE38">
            <v>1</v>
          </cell>
          <cell r="CF38"/>
          <cell r="CG38">
            <v>0.5</v>
          </cell>
          <cell r="CH38">
            <v>25</v>
          </cell>
          <cell r="CI38">
            <v>0</v>
          </cell>
          <cell r="CJ38">
            <v>1</v>
          </cell>
          <cell r="CK38">
            <v>1</v>
          </cell>
          <cell r="CL38"/>
          <cell r="CM38">
            <v>0.5</v>
          </cell>
          <cell r="CN38">
            <v>18</v>
          </cell>
          <cell r="CO38">
            <v>0</v>
          </cell>
          <cell r="CP38">
            <v>1</v>
          </cell>
          <cell r="CQ38">
            <v>1</v>
          </cell>
          <cell r="CR38"/>
          <cell r="CS38">
            <v>0.5</v>
          </cell>
          <cell r="CT38">
            <v>25.25</v>
          </cell>
          <cell r="CU38">
            <v>0</v>
          </cell>
          <cell r="CV38">
            <v>1</v>
          </cell>
          <cell r="CW38">
            <v>0.5</v>
          </cell>
          <cell r="CX38"/>
          <cell r="CY38">
            <v>1</v>
          </cell>
          <cell r="CZ38">
            <v>24</v>
          </cell>
          <cell r="DA38">
            <v>0</v>
          </cell>
          <cell r="DB38">
            <v>1</v>
          </cell>
          <cell r="DC38">
            <v>0</v>
          </cell>
          <cell r="DD38"/>
          <cell r="DE38">
            <v>2</v>
          </cell>
          <cell r="DF38">
            <v>25</v>
          </cell>
          <cell r="DG38">
            <v>0</v>
          </cell>
          <cell r="DH38">
            <v>1</v>
          </cell>
          <cell r="DI38">
            <v>0</v>
          </cell>
          <cell r="DJ38"/>
          <cell r="DK38">
            <v>3</v>
          </cell>
          <cell r="DL38">
            <v>1.9166666666666667</v>
          </cell>
        </row>
        <row r="39">
          <cell r="B39" t="str">
            <v>NV1462</v>
          </cell>
          <cell r="C39" t="str">
            <v>Văn Phòng</v>
          </cell>
          <cell r="D39" t="str">
            <v>Nguyễn Cẩm Trúc</v>
          </cell>
          <cell r="E39" t="str">
            <v>VP</v>
          </cell>
          <cell r="F39">
            <v>45726</v>
          </cell>
          <cell r="G39"/>
          <cell r="H39">
            <v>24</v>
          </cell>
          <cell r="I39" t="str">
            <v>x</v>
          </cell>
          <cell r="J39">
            <v>0</v>
          </cell>
          <cell r="K39">
            <v>2</v>
          </cell>
          <cell r="L39"/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18.5</v>
          </cell>
          <cell r="AA39" t="str">
            <v>x</v>
          </cell>
          <cell r="AB39">
            <v>0</v>
          </cell>
          <cell r="AC39">
            <v>0</v>
          </cell>
          <cell r="AD39"/>
          <cell r="AE39">
            <v>0</v>
          </cell>
          <cell r="AF39">
            <v>24</v>
          </cell>
          <cell r="AG39" t="str">
            <v>x</v>
          </cell>
          <cell r="AH39">
            <v>0</v>
          </cell>
          <cell r="AI39">
            <v>0</v>
          </cell>
          <cell r="AJ39"/>
          <cell r="AK39">
            <v>1</v>
          </cell>
          <cell r="AL39">
            <v>26</v>
          </cell>
          <cell r="AM39">
            <v>0</v>
          </cell>
          <cell r="AN39">
            <v>1</v>
          </cell>
          <cell r="AO39">
            <v>0</v>
          </cell>
          <cell r="AP39"/>
          <cell r="AQ39">
            <v>2</v>
          </cell>
          <cell r="AR39">
            <v>25</v>
          </cell>
          <cell r="AS39">
            <v>0</v>
          </cell>
          <cell r="AT39">
            <v>1</v>
          </cell>
          <cell r="AU39">
            <v>0</v>
          </cell>
          <cell r="AV39"/>
          <cell r="AW39">
            <v>3</v>
          </cell>
          <cell r="AX39">
            <v>27</v>
          </cell>
          <cell r="AY39">
            <v>0</v>
          </cell>
          <cell r="AZ39">
            <v>1</v>
          </cell>
          <cell r="BA39">
            <v>0</v>
          </cell>
          <cell r="BB39"/>
          <cell r="BC39">
            <v>4</v>
          </cell>
          <cell r="BD39">
            <v>25</v>
          </cell>
          <cell r="BE39">
            <v>0</v>
          </cell>
          <cell r="BF39">
            <v>1</v>
          </cell>
          <cell r="BG39">
            <v>1</v>
          </cell>
          <cell r="BH39"/>
          <cell r="BI39">
            <v>4</v>
          </cell>
          <cell r="BJ39">
            <v>22</v>
          </cell>
          <cell r="BK39">
            <v>0</v>
          </cell>
          <cell r="BL39">
            <v>1</v>
          </cell>
          <cell r="BM39">
            <v>2</v>
          </cell>
          <cell r="BN39"/>
          <cell r="BO39">
            <v>3</v>
          </cell>
          <cell r="BP39">
            <v>24</v>
          </cell>
          <cell r="BQ39">
            <v>0</v>
          </cell>
          <cell r="BR39">
            <v>1</v>
          </cell>
          <cell r="BS39">
            <v>3</v>
          </cell>
          <cell r="BT39"/>
          <cell r="BU39">
            <v>1</v>
          </cell>
          <cell r="BV39">
            <v>24</v>
          </cell>
          <cell r="BW39">
            <v>0</v>
          </cell>
          <cell r="BX39">
            <v>1</v>
          </cell>
          <cell r="BY39">
            <v>1</v>
          </cell>
          <cell r="BZ39"/>
          <cell r="CA39">
            <v>1</v>
          </cell>
          <cell r="CB39">
            <v>26</v>
          </cell>
          <cell r="CC39">
            <v>0</v>
          </cell>
          <cell r="CD39">
            <v>1</v>
          </cell>
          <cell r="CE39">
            <v>1</v>
          </cell>
          <cell r="CF39"/>
          <cell r="CG39">
            <v>1</v>
          </cell>
          <cell r="CH39">
            <v>26</v>
          </cell>
          <cell r="CI39">
            <v>0</v>
          </cell>
          <cell r="CJ39">
            <v>1</v>
          </cell>
          <cell r="CK39">
            <v>0</v>
          </cell>
          <cell r="CL39"/>
          <cell r="CM39">
            <v>2</v>
          </cell>
          <cell r="CN39">
            <v>19</v>
          </cell>
          <cell r="CO39">
            <v>0</v>
          </cell>
          <cell r="CP39">
            <v>1</v>
          </cell>
          <cell r="CQ39">
            <v>0</v>
          </cell>
          <cell r="CR39"/>
          <cell r="CS39">
            <v>3</v>
          </cell>
          <cell r="CT39">
            <v>24</v>
          </cell>
          <cell r="CU39">
            <v>0</v>
          </cell>
          <cell r="CV39">
            <v>1</v>
          </cell>
          <cell r="CW39">
            <v>2</v>
          </cell>
          <cell r="CX39"/>
          <cell r="CY39">
            <v>2</v>
          </cell>
          <cell r="CZ39">
            <v>24</v>
          </cell>
          <cell r="DA39">
            <v>0</v>
          </cell>
          <cell r="DB39">
            <v>1</v>
          </cell>
          <cell r="DC39">
            <v>0</v>
          </cell>
          <cell r="DD39"/>
          <cell r="DE39">
            <v>3</v>
          </cell>
          <cell r="DF39">
            <v>20</v>
          </cell>
          <cell r="DG39">
            <v>0</v>
          </cell>
          <cell r="DH39">
            <v>1</v>
          </cell>
          <cell r="DI39">
            <v>4</v>
          </cell>
          <cell r="DJ39"/>
          <cell r="DK39">
            <v>0</v>
          </cell>
          <cell r="DL39">
            <v>1.2250000000000001</v>
          </cell>
        </row>
        <row r="40">
          <cell r="B40" t="str">
            <v>NV0028</v>
          </cell>
          <cell r="C40" t="str">
            <v>Văn Phòng</v>
          </cell>
          <cell r="D40" t="str">
            <v>Hồ Trọng Hùng</v>
          </cell>
          <cell r="E40" t="str">
            <v>VP</v>
          </cell>
          <cell r="F40">
            <v>42149</v>
          </cell>
          <cell r="G40"/>
          <cell r="H40">
            <v>25</v>
          </cell>
          <cell r="I40">
            <v>0</v>
          </cell>
          <cell r="J40">
            <v>1</v>
          </cell>
          <cell r="K40">
            <v>1</v>
          </cell>
          <cell r="L40"/>
          <cell r="M40">
            <v>5.5</v>
          </cell>
          <cell r="N40">
            <v>21</v>
          </cell>
          <cell r="O40">
            <v>0</v>
          </cell>
          <cell r="P40">
            <v>1</v>
          </cell>
          <cell r="Q40">
            <v>1</v>
          </cell>
          <cell r="R40"/>
          <cell r="S40">
            <v>5.5</v>
          </cell>
          <cell r="T40" t="e">
            <v>#REF!</v>
          </cell>
          <cell r="U40">
            <v>0</v>
          </cell>
          <cell r="V40" t="e">
            <v>#REF!</v>
          </cell>
          <cell r="W40" t="e">
            <v>#REF!</v>
          </cell>
          <cell r="X40"/>
          <cell r="Y40">
            <v>5.5</v>
          </cell>
          <cell r="Z40">
            <v>24</v>
          </cell>
          <cell r="AA40">
            <v>0</v>
          </cell>
          <cell r="AB40">
            <v>1</v>
          </cell>
          <cell r="AC40">
            <v>2</v>
          </cell>
          <cell r="AD40"/>
          <cell r="AE40">
            <v>3</v>
          </cell>
          <cell r="AF40">
            <v>24</v>
          </cell>
          <cell r="AG40">
            <v>0</v>
          </cell>
          <cell r="AH40">
            <v>1</v>
          </cell>
          <cell r="AI40">
            <v>0</v>
          </cell>
          <cell r="AJ40"/>
          <cell r="AK40">
            <v>4</v>
          </cell>
          <cell r="AL40">
            <v>24</v>
          </cell>
          <cell r="AM40">
            <v>0</v>
          </cell>
          <cell r="AN40">
            <v>1</v>
          </cell>
          <cell r="AO40">
            <v>2</v>
          </cell>
          <cell r="AP40"/>
          <cell r="AQ40">
            <v>3</v>
          </cell>
          <cell r="AR40">
            <v>25</v>
          </cell>
          <cell r="AS40">
            <v>0</v>
          </cell>
          <cell r="AT40">
            <v>1</v>
          </cell>
          <cell r="AU40">
            <v>0</v>
          </cell>
          <cell r="AV40"/>
          <cell r="AW40">
            <v>6</v>
          </cell>
          <cell r="AX40">
            <v>27</v>
          </cell>
          <cell r="AY40">
            <v>0</v>
          </cell>
          <cell r="AZ40">
            <v>1</v>
          </cell>
          <cell r="BA40">
            <v>0</v>
          </cell>
          <cell r="BB40"/>
          <cell r="BC40">
            <v>7</v>
          </cell>
          <cell r="BD40">
            <v>26</v>
          </cell>
          <cell r="BE40">
            <v>0</v>
          </cell>
          <cell r="BF40">
            <v>1</v>
          </cell>
          <cell r="BG40">
            <v>0</v>
          </cell>
          <cell r="BH40"/>
          <cell r="BI40">
            <v>8</v>
          </cell>
          <cell r="BJ40">
            <v>21</v>
          </cell>
          <cell r="BK40">
            <v>0</v>
          </cell>
          <cell r="BL40">
            <v>1</v>
          </cell>
          <cell r="BM40">
            <v>3</v>
          </cell>
          <cell r="BN40"/>
          <cell r="BO40">
            <v>6</v>
          </cell>
          <cell r="BP40">
            <v>26</v>
          </cell>
          <cell r="BQ40">
            <v>0</v>
          </cell>
          <cell r="BR40">
            <v>1</v>
          </cell>
          <cell r="BS40">
            <v>1</v>
          </cell>
          <cell r="BT40"/>
          <cell r="BU40">
            <v>6</v>
          </cell>
          <cell r="BV40">
            <v>25</v>
          </cell>
          <cell r="BW40">
            <v>0</v>
          </cell>
          <cell r="BX40">
            <v>1</v>
          </cell>
          <cell r="BY40">
            <v>0</v>
          </cell>
          <cell r="BZ40"/>
          <cell r="CA40">
            <v>7</v>
          </cell>
          <cell r="CB40">
            <v>25</v>
          </cell>
          <cell r="CC40">
            <v>0</v>
          </cell>
          <cell r="CD40">
            <v>1</v>
          </cell>
          <cell r="CE40">
            <v>2</v>
          </cell>
          <cell r="CF40"/>
          <cell r="CG40">
            <v>6</v>
          </cell>
          <cell r="CH40">
            <v>24.5</v>
          </cell>
          <cell r="CI40">
            <v>0</v>
          </cell>
          <cell r="CJ40">
            <v>1</v>
          </cell>
          <cell r="CK40">
            <v>1.5</v>
          </cell>
          <cell r="CL40"/>
          <cell r="CM40">
            <v>5.5</v>
          </cell>
          <cell r="CN40">
            <v>19</v>
          </cell>
          <cell r="CO40">
            <v>0</v>
          </cell>
          <cell r="CP40">
            <v>1</v>
          </cell>
          <cell r="CQ40">
            <v>0</v>
          </cell>
          <cell r="CR40"/>
          <cell r="CS40">
            <v>6.5</v>
          </cell>
          <cell r="CT40">
            <v>25</v>
          </cell>
          <cell r="CU40">
            <v>0</v>
          </cell>
          <cell r="CV40">
            <v>1</v>
          </cell>
          <cell r="CW40">
            <v>1</v>
          </cell>
          <cell r="CX40"/>
          <cell r="CY40">
            <v>3</v>
          </cell>
          <cell r="CZ40">
            <v>22</v>
          </cell>
          <cell r="DA40">
            <v>0</v>
          </cell>
          <cell r="DB40">
            <v>1</v>
          </cell>
          <cell r="DC40">
            <v>2</v>
          </cell>
          <cell r="DD40"/>
          <cell r="DE40">
            <v>2</v>
          </cell>
          <cell r="DF40">
            <v>25</v>
          </cell>
          <cell r="DG40">
            <v>0</v>
          </cell>
          <cell r="DH40">
            <v>1</v>
          </cell>
          <cell r="DI40">
            <v>0</v>
          </cell>
          <cell r="DJ40"/>
          <cell r="DK40">
            <v>3</v>
          </cell>
          <cell r="DL40">
            <v>11.016666666666667</v>
          </cell>
        </row>
        <row r="41">
          <cell r="B41" t="str">
            <v>NV0916</v>
          </cell>
          <cell r="C41" t="str">
            <v>Văn Phòng</v>
          </cell>
          <cell r="D41" t="str">
            <v>Nguyễn Thị Nẩn</v>
          </cell>
          <cell r="E41" t="str">
            <v>VP</v>
          </cell>
          <cell r="F41">
            <v>44984</v>
          </cell>
          <cell r="G41"/>
          <cell r="H41">
            <v>24</v>
          </cell>
          <cell r="I41">
            <v>0</v>
          </cell>
          <cell r="J41">
            <v>1</v>
          </cell>
          <cell r="K41">
            <v>2</v>
          </cell>
          <cell r="L41"/>
          <cell r="M41">
            <v>-1</v>
          </cell>
          <cell r="N41">
            <v>22</v>
          </cell>
          <cell r="O41">
            <v>0</v>
          </cell>
          <cell r="P41">
            <v>1</v>
          </cell>
          <cell r="Q41">
            <v>0</v>
          </cell>
          <cell r="R41"/>
          <cell r="S41">
            <v>0</v>
          </cell>
          <cell r="T41" t="e">
            <v>#REF!</v>
          </cell>
          <cell r="U41">
            <v>0</v>
          </cell>
          <cell r="V41" t="e">
            <v>#REF!</v>
          </cell>
          <cell r="W41" t="e">
            <v>#REF!</v>
          </cell>
          <cell r="X41"/>
          <cell r="Y41">
            <v>1</v>
          </cell>
          <cell r="Z41">
            <v>22</v>
          </cell>
          <cell r="AA41">
            <v>0</v>
          </cell>
          <cell r="AB41">
            <v>1</v>
          </cell>
          <cell r="AC41">
            <v>4</v>
          </cell>
          <cell r="AD41"/>
          <cell r="AE41">
            <v>-2</v>
          </cell>
          <cell r="AF41">
            <v>24</v>
          </cell>
          <cell r="AG41">
            <v>0</v>
          </cell>
          <cell r="AH41">
            <v>1</v>
          </cell>
          <cell r="AI41">
            <v>0</v>
          </cell>
          <cell r="AJ41"/>
          <cell r="AK41">
            <v>-1</v>
          </cell>
          <cell r="AL41">
            <v>26</v>
          </cell>
          <cell r="AM41">
            <v>0</v>
          </cell>
          <cell r="AN41">
            <v>1</v>
          </cell>
          <cell r="AO41">
            <v>0</v>
          </cell>
          <cell r="AP41"/>
          <cell r="AQ41">
            <v>0</v>
          </cell>
          <cell r="AR41">
            <v>25</v>
          </cell>
          <cell r="AS41">
            <v>0</v>
          </cell>
          <cell r="AT41">
            <v>1</v>
          </cell>
          <cell r="AU41">
            <v>0</v>
          </cell>
          <cell r="AV41"/>
          <cell r="AW41">
            <v>1</v>
          </cell>
          <cell r="AX41">
            <v>27</v>
          </cell>
          <cell r="AY41">
            <v>0</v>
          </cell>
          <cell r="AZ41">
            <v>1</v>
          </cell>
          <cell r="BA41">
            <v>0</v>
          </cell>
          <cell r="BB41"/>
          <cell r="BC41">
            <v>2</v>
          </cell>
          <cell r="BD41">
            <v>25</v>
          </cell>
          <cell r="BE41">
            <v>0</v>
          </cell>
          <cell r="BF41">
            <v>1</v>
          </cell>
          <cell r="BG41">
            <v>1</v>
          </cell>
          <cell r="BH41"/>
          <cell r="BI41">
            <v>2</v>
          </cell>
          <cell r="BJ41">
            <v>24</v>
          </cell>
          <cell r="BK41">
            <v>0</v>
          </cell>
          <cell r="BL41">
            <v>1</v>
          </cell>
          <cell r="BM41">
            <v>0</v>
          </cell>
          <cell r="BN41"/>
          <cell r="BO41">
            <v>3</v>
          </cell>
          <cell r="BP41">
            <v>27</v>
          </cell>
          <cell r="BQ41">
            <v>0</v>
          </cell>
          <cell r="BR41">
            <v>1</v>
          </cell>
          <cell r="BS41">
            <v>0</v>
          </cell>
          <cell r="BT41"/>
          <cell r="BU41">
            <v>4</v>
          </cell>
          <cell r="BV41">
            <v>23</v>
          </cell>
          <cell r="BW41">
            <v>0</v>
          </cell>
          <cell r="BX41">
            <v>1</v>
          </cell>
          <cell r="BY41">
            <v>2</v>
          </cell>
          <cell r="BZ41"/>
          <cell r="CA41">
            <v>3</v>
          </cell>
          <cell r="CB41">
            <v>26</v>
          </cell>
          <cell r="CC41">
            <v>0</v>
          </cell>
          <cell r="CD41">
            <v>1</v>
          </cell>
          <cell r="CE41">
            <v>1</v>
          </cell>
          <cell r="CF41"/>
          <cell r="CG41">
            <v>3.5</v>
          </cell>
          <cell r="CH41">
            <v>26</v>
          </cell>
          <cell r="CI41">
            <v>0</v>
          </cell>
          <cell r="CJ41">
            <v>1</v>
          </cell>
          <cell r="CK41">
            <v>0</v>
          </cell>
          <cell r="CL41"/>
          <cell r="CM41">
            <v>4.5</v>
          </cell>
          <cell r="CN41">
            <v>14.5</v>
          </cell>
          <cell r="CO41">
            <v>0</v>
          </cell>
          <cell r="CP41">
            <v>1</v>
          </cell>
          <cell r="CQ41">
            <v>4.5</v>
          </cell>
          <cell r="CR41"/>
          <cell r="CS41">
            <v>1</v>
          </cell>
          <cell r="CT41">
            <v>25</v>
          </cell>
          <cell r="CU41">
            <v>0</v>
          </cell>
          <cell r="CV41">
            <v>1</v>
          </cell>
          <cell r="CW41">
            <v>1</v>
          </cell>
          <cell r="CX41"/>
          <cell r="CY41">
            <v>1</v>
          </cell>
          <cell r="CZ41">
            <v>22</v>
          </cell>
          <cell r="DA41">
            <v>0</v>
          </cell>
          <cell r="DB41">
            <v>1</v>
          </cell>
          <cell r="DC41">
            <v>2</v>
          </cell>
          <cell r="DD41"/>
          <cell r="DE41">
            <v>0</v>
          </cell>
          <cell r="DF41">
            <v>23.5</v>
          </cell>
          <cell r="DG41">
            <v>0</v>
          </cell>
          <cell r="DH41">
            <v>1</v>
          </cell>
          <cell r="DI41">
            <v>1.5</v>
          </cell>
          <cell r="DJ41"/>
          <cell r="DK41">
            <v>-0.5</v>
          </cell>
          <cell r="DL41">
            <v>3.2611111111111111</v>
          </cell>
        </row>
        <row r="42">
          <cell r="B42" t="str">
            <v>NV1122</v>
          </cell>
          <cell r="C42" t="str">
            <v>Văn Phòng</v>
          </cell>
          <cell r="D42" t="str">
            <v>Bùi Võ Thanh Ngân</v>
          </cell>
          <cell r="E42" t="str">
            <v>VP</v>
          </cell>
          <cell r="F42">
            <v>45357</v>
          </cell>
          <cell r="G42"/>
          <cell r="H42">
            <v>25</v>
          </cell>
          <cell r="I42">
            <v>0</v>
          </cell>
          <cell r="J42">
            <v>1</v>
          </cell>
          <cell r="K42">
            <v>1</v>
          </cell>
          <cell r="L42"/>
          <cell r="M42">
            <v>4</v>
          </cell>
          <cell r="N42">
            <v>22</v>
          </cell>
          <cell r="O42">
            <v>0</v>
          </cell>
          <cell r="P42">
            <v>1</v>
          </cell>
          <cell r="Q42">
            <v>0</v>
          </cell>
          <cell r="R42"/>
          <cell r="S42">
            <v>5</v>
          </cell>
          <cell r="T42" t="e">
            <v>#REF!</v>
          </cell>
          <cell r="U42">
            <v>0</v>
          </cell>
          <cell r="V42" t="e">
            <v>#REF!</v>
          </cell>
          <cell r="W42" t="e">
            <v>#REF!</v>
          </cell>
          <cell r="X42"/>
          <cell r="Y42">
            <v>5</v>
          </cell>
          <cell r="Z42">
            <v>26</v>
          </cell>
          <cell r="AA42">
            <v>0</v>
          </cell>
          <cell r="AB42">
            <v>1</v>
          </cell>
          <cell r="AC42">
            <v>0</v>
          </cell>
          <cell r="AD42"/>
          <cell r="AE42">
            <v>3</v>
          </cell>
          <cell r="AF42">
            <v>24</v>
          </cell>
          <cell r="AG42">
            <v>0</v>
          </cell>
          <cell r="AH42">
            <v>1</v>
          </cell>
          <cell r="AI42">
            <v>0</v>
          </cell>
          <cell r="AJ42"/>
          <cell r="AK42">
            <v>4</v>
          </cell>
          <cell r="AL42">
            <v>26</v>
          </cell>
          <cell r="AM42">
            <v>0</v>
          </cell>
          <cell r="AN42">
            <v>1</v>
          </cell>
          <cell r="AO42">
            <v>0</v>
          </cell>
          <cell r="AP42"/>
          <cell r="AQ42">
            <v>5</v>
          </cell>
          <cell r="AR42">
            <v>25</v>
          </cell>
          <cell r="AS42">
            <v>0</v>
          </cell>
          <cell r="AT42">
            <v>1</v>
          </cell>
          <cell r="AU42">
            <v>0</v>
          </cell>
          <cell r="AV42"/>
          <cell r="AW42">
            <v>6</v>
          </cell>
          <cell r="AX42">
            <v>27</v>
          </cell>
          <cell r="AY42">
            <v>0</v>
          </cell>
          <cell r="AZ42">
            <v>1</v>
          </cell>
          <cell r="BA42">
            <v>0</v>
          </cell>
          <cell r="BB42"/>
          <cell r="BC42">
            <v>7</v>
          </cell>
          <cell r="BD42">
            <v>26</v>
          </cell>
          <cell r="BE42">
            <v>0</v>
          </cell>
          <cell r="BF42">
            <v>1</v>
          </cell>
          <cell r="BG42">
            <v>0</v>
          </cell>
          <cell r="BH42"/>
          <cell r="BI42">
            <v>8</v>
          </cell>
          <cell r="BJ42">
            <v>23</v>
          </cell>
          <cell r="BK42">
            <v>0</v>
          </cell>
          <cell r="BL42">
            <v>1</v>
          </cell>
          <cell r="BM42">
            <v>1</v>
          </cell>
          <cell r="BN42"/>
          <cell r="BO42">
            <v>8</v>
          </cell>
          <cell r="BP42">
            <v>27</v>
          </cell>
          <cell r="BQ42">
            <v>0</v>
          </cell>
          <cell r="BR42">
            <v>1</v>
          </cell>
          <cell r="BS42">
            <v>0</v>
          </cell>
          <cell r="BT42"/>
          <cell r="BU42">
            <v>9</v>
          </cell>
          <cell r="BV42">
            <v>25</v>
          </cell>
          <cell r="BW42">
            <v>0</v>
          </cell>
          <cell r="BX42">
            <v>1</v>
          </cell>
          <cell r="BY42">
            <v>0</v>
          </cell>
          <cell r="BZ42"/>
          <cell r="CA42">
            <v>10</v>
          </cell>
          <cell r="CB42">
            <v>25</v>
          </cell>
          <cell r="CC42">
            <v>0</v>
          </cell>
          <cell r="CD42">
            <v>1</v>
          </cell>
          <cell r="CE42">
            <v>2</v>
          </cell>
          <cell r="CF42"/>
          <cell r="CG42">
            <v>9</v>
          </cell>
          <cell r="CH42">
            <v>26</v>
          </cell>
          <cell r="CI42">
            <v>0</v>
          </cell>
          <cell r="CJ42">
            <v>1</v>
          </cell>
          <cell r="CK42">
            <v>0</v>
          </cell>
          <cell r="CL42"/>
          <cell r="CM42">
            <v>10</v>
          </cell>
          <cell r="CN42">
            <v>18.5</v>
          </cell>
          <cell r="CO42">
            <v>0</v>
          </cell>
          <cell r="CP42">
            <v>1</v>
          </cell>
          <cell r="CQ42">
            <v>0.5</v>
          </cell>
          <cell r="CR42"/>
          <cell r="CS42">
            <v>10.5</v>
          </cell>
          <cell r="CT42">
            <v>26</v>
          </cell>
          <cell r="CU42">
            <v>0</v>
          </cell>
          <cell r="CV42">
            <v>1</v>
          </cell>
          <cell r="CW42">
            <v>0</v>
          </cell>
          <cell r="CX42"/>
          <cell r="CY42">
            <v>3</v>
          </cell>
          <cell r="CZ42">
            <v>23</v>
          </cell>
          <cell r="DA42">
            <v>0</v>
          </cell>
          <cell r="DB42">
            <v>1</v>
          </cell>
          <cell r="DC42">
            <v>1</v>
          </cell>
          <cell r="DD42"/>
          <cell r="DE42">
            <v>3</v>
          </cell>
          <cell r="DF42">
            <v>24</v>
          </cell>
          <cell r="DG42">
            <v>0</v>
          </cell>
          <cell r="DH42">
            <v>1</v>
          </cell>
          <cell r="DI42">
            <v>1</v>
          </cell>
          <cell r="DJ42"/>
          <cell r="DK42">
            <v>3</v>
          </cell>
          <cell r="DL42">
            <v>2.2361111111111112</v>
          </cell>
        </row>
        <row r="43">
          <cell r="B43" t="str">
            <v>NV0019</v>
          </cell>
          <cell r="C43" t="str">
            <v>Văn Phòng</v>
          </cell>
          <cell r="D43" t="str">
            <v>Phạm Văn Doãn</v>
          </cell>
          <cell r="E43" t="str">
            <v>VP</v>
          </cell>
          <cell r="F43">
            <v>39221</v>
          </cell>
          <cell r="G43"/>
          <cell r="H43">
            <v>26</v>
          </cell>
          <cell r="I43">
            <v>0</v>
          </cell>
          <cell r="J43">
            <v>1</v>
          </cell>
          <cell r="K43">
            <v>0</v>
          </cell>
          <cell r="L43"/>
          <cell r="M43">
            <v>-3</v>
          </cell>
          <cell r="N43">
            <v>20</v>
          </cell>
          <cell r="O43">
            <v>0</v>
          </cell>
          <cell r="P43">
            <v>1</v>
          </cell>
          <cell r="Q43">
            <v>0</v>
          </cell>
          <cell r="R43"/>
          <cell r="S43">
            <v>-2</v>
          </cell>
          <cell r="T43" t="e">
            <v>#REF!</v>
          </cell>
          <cell r="U43">
            <v>0</v>
          </cell>
          <cell r="V43" t="e">
            <v>#REF!</v>
          </cell>
          <cell r="W43" t="e">
            <v>#REF!</v>
          </cell>
          <cell r="X43"/>
          <cell r="Y43">
            <v>-5</v>
          </cell>
          <cell r="Z43">
            <v>24</v>
          </cell>
          <cell r="AA43">
            <v>0</v>
          </cell>
          <cell r="AB43">
            <v>1</v>
          </cell>
          <cell r="AC43">
            <v>2</v>
          </cell>
          <cell r="AD43"/>
          <cell r="AE43">
            <v>-6</v>
          </cell>
          <cell r="AF43">
            <v>24</v>
          </cell>
          <cell r="AG43">
            <v>0</v>
          </cell>
          <cell r="AH43">
            <v>1</v>
          </cell>
          <cell r="AI43">
            <v>0</v>
          </cell>
          <cell r="AJ43"/>
          <cell r="AK43">
            <v>-5</v>
          </cell>
          <cell r="AL43">
            <v>26</v>
          </cell>
          <cell r="AM43">
            <v>0</v>
          </cell>
          <cell r="AN43">
            <v>1</v>
          </cell>
          <cell r="AO43">
            <v>0</v>
          </cell>
          <cell r="AP43"/>
          <cell r="AQ43">
            <v>-4</v>
          </cell>
          <cell r="AR43">
            <v>25</v>
          </cell>
          <cell r="AS43">
            <v>0</v>
          </cell>
          <cell r="AT43">
            <v>1</v>
          </cell>
          <cell r="AU43">
            <v>0</v>
          </cell>
          <cell r="AV43"/>
          <cell r="AW43">
            <v>0</v>
          </cell>
          <cell r="AX43">
            <v>27</v>
          </cell>
          <cell r="AY43">
            <v>0</v>
          </cell>
          <cell r="AZ43">
            <v>1</v>
          </cell>
          <cell r="BA43">
            <v>0</v>
          </cell>
          <cell r="BB43"/>
          <cell r="BC43">
            <v>1</v>
          </cell>
          <cell r="BD43">
            <v>26</v>
          </cell>
          <cell r="BE43">
            <v>0</v>
          </cell>
          <cell r="BF43">
            <v>1</v>
          </cell>
          <cell r="BG43">
            <v>0</v>
          </cell>
          <cell r="BH43"/>
          <cell r="BI43">
            <v>2</v>
          </cell>
          <cell r="BJ43">
            <v>20</v>
          </cell>
          <cell r="BK43">
            <v>0</v>
          </cell>
          <cell r="BL43">
            <v>1</v>
          </cell>
          <cell r="BM43">
            <v>4</v>
          </cell>
          <cell r="BN43"/>
          <cell r="BO43">
            <v>-1</v>
          </cell>
          <cell r="BP43">
            <v>27</v>
          </cell>
          <cell r="BQ43">
            <v>0</v>
          </cell>
          <cell r="BR43">
            <v>1</v>
          </cell>
          <cell r="BS43">
            <v>0</v>
          </cell>
          <cell r="BT43"/>
          <cell r="BU43">
            <v>0</v>
          </cell>
          <cell r="BV43">
            <v>25</v>
          </cell>
          <cell r="BW43">
            <v>0</v>
          </cell>
          <cell r="BX43">
            <v>1</v>
          </cell>
          <cell r="BY43">
            <v>0</v>
          </cell>
          <cell r="BZ43"/>
          <cell r="CA43">
            <v>1</v>
          </cell>
          <cell r="CB43">
            <v>27</v>
          </cell>
          <cell r="CC43">
            <v>0</v>
          </cell>
          <cell r="CD43">
            <v>1</v>
          </cell>
          <cell r="CE43">
            <v>0</v>
          </cell>
          <cell r="CF43"/>
          <cell r="CG43">
            <v>2</v>
          </cell>
          <cell r="CH43">
            <v>26</v>
          </cell>
          <cell r="CI43">
            <v>0</v>
          </cell>
          <cell r="CJ43">
            <v>1</v>
          </cell>
          <cell r="CK43">
            <v>0</v>
          </cell>
          <cell r="CL43"/>
          <cell r="CM43">
            <v>3</v>
          </cell>
          <cell r="CN43">
            <v>12</v>
          </cell>
          <cell r="CO43">
            <v>0</v>
          </cell>
          <cell r="CP43">
            <v>0</v>
          </cell>
          <cell r="CQ43">
            <v>7</v>
          </cell>
          <cell r="CR43"/>
          <cell r="CS43">
            <v>-4</v>
          </cell>
          <cell r="CT43">
            <v>25</v>
          </cell>
          <cell r="CU43">
            <v>0</v>
          </cell>
          <cell r="CV43">
            <v>1</v>
          </cell>
          <cell r="CW43">
            <v>1</v>
          </cell>
          <cell r="CX43"/>
          <cell r="CY43">
            <v>-3</v>
          </cell>
          <cell r="CZ43">
            <v>24</v>
          </cell>
          <cell r="DA43">
            <v>0</v>
          </cell>
          <cell r="DB43">
            <v>1</v>
          </cell>
          <cell r="DC43">
            <v>0</v>
          </cell>
          <cell r="DD43"/>
          <cell r="DE43">
            <v>-2</v>
          </cell>
          <cell r="DF43">
            <v>25</v>
          </cell>
          <cell r="DG43">
            <v>0</v>
          </cell>
          <cell r="DH43">
            <v>1</v>
          </cell>
          <cell r="DI43">
            <v>1</v>
          </cell>
          <cell r="DJ43"/>
          <cell r="DK43">
            <v>-2</v>
          </cell>
          <cell r="DL43">
            <v>19.033333333333335</v>
          </cell>
        </row>
        <row r="44">
          <cell r="B44" t="str">
            <v>NV1062</v>
          </cell>
          <cell r="C44" t="str">
            <v>Văn Phòng</v>
          </cell>
          <cell r="D44" t="str">
            <v>Lê Thông</v>
          </cell>
          <cell r="E44" t="str">
            <v>VP</v>
          </cell>
          <cell r="F44">
            <v>45278</v>
          </cell>
          <cell r="G44"/>
          <cell r="H44">
            <v>24</v>
          </cell>
          <cell r="I44">
            <v>0</v>
          </cell>
          <cell r="J44">
            <v>1</v>
          </cell>
          <cell r="K44">
            <v>2</v>
          </cell>
          <cell r="L44"/>
          <cell r="M44">
            <v>-2</v>
          </cell>
          <cell r="N44">
            <v>21</v>
          </cell>
          <cell r="O44">
            <v>0</v>
          </cell>
          <cell r="P44">
            <v>1</v>
          </cell>
          <cell r="Q44">
            <v>0</v>
          </cell>
          <cell r="R44"/>
          <cell r="S44">
            <v>-1</v>
          </cell>
          <cell r="T44" t="e">
            <v>#REF!</v>
          </cell>
          <cell r="U44">
            <v>0</v>
          </cell>
          <cell r="V44" t="e">
            <v>#REF!</v>
          </cell>
          <cell r="W44" t="e">
            <v>#REF!</v>
          </cell>
          <cell r="X44"/>
          <cell r="Y44">
            <v>-1</v>
          </cell>
          <cell r="Z44">
            <v>23</v>
          </cell>
          <cell r="AA44">
            <v>0</v>
          </cell>
          <cell r="AB44">
            <v>1</v>
          </cell>
          <cell r="AC44">
            <v>0</v>
          </cell>
          <cell r="AD44"/>
          <cell r="AE44">
            <v>0</v>
          </cell>
          <cell r="AF44">
            <v>22</v>
          </cell>
          <cell r="AG44">
            <v>0</v>
          </cell>
          <cell r="AH44">
            <v>1</v>
          </cell>
          <cell r="AI44">
            <v>2</v>
          </cell>
          <cell r="AJ44"/>
          <cell r="AK44">
            <v>-1</v>
          </cell>
          <cell r="AL44">
            <v>25</v>
          </cell>
          <cell r="AM44">
            <v>0</v>
          </cell>
          <cell r="AN44">
            <v>1</v>
          </cell>
          <cell r="AO44">
            <v>1</v>
          </cell>
          <cell r="AP44"/>
          <cell r="AQ44">
            <v>-1</v>
          </cell>
          <cell r="AR44">
            <v>24</v>
          </cell>
          <cell r="AS44">
            <v>0</v>
          </cell>
          <cell r="AT44">
            <v>1</v>
          </cell>
          <cell r="AU44">
            <v>1</v>
          </cell>
          <cell r="AV44"/>
          <cell r="AW44">
            <v>-1</v>
          </cell>
          <cell r="AX44">
            <v>16</v>
          </cell>
          <cell r="AY44">
            <v>0</v>
          </cell>
          <cell r="AZ44">
            <v>1</v>
          </cell>
          <cell r="BA44">
            <v>0</v>
          </cell>
          <cell r="BB44"/>
          <cell r="BC44">
            <v>0</v>
          </cell>
          <cell r="BD44">
            <v>24.5</v>
          </cell>
          <cell r="BE44">
            <v>0</v>
          </cell>
          <cell r="BF44">
            <v>1</v>
          </cell>
          <cell r="BG44">
            <v>1.5</v>
          </cell>
          <cell r="BH44"/>
          <cell r="BI44">
            <v>-0.5</v>
          </cell>
          <cell r="BJ44">
            <v>22.5</v>
          </cell>
          <cell r="BK44">
            <v>0</v>
          </cell>
          <cell r="BL44">
            <v>1</v>
          </cell>
          <cell r="BM44">
            <v>1.5</v>
          </cell>
          <cell r="BN44"/>
          <cell r="BO44">
            <v>-1</v>
          </cell>
          <cell r="BP44">
            <v>27</v>
          </cell>
          <cell r="BQ44">
            <v>0</v>
          </cell>
          <cell r="BR44">
            <v>1</v>
          </cell>
          <cell r="BS44">
            <v>0</v>
          </cell>
          <cell r="BT44"/>
          <cell r="BU44">
            <v>0</v>
          </cell>
          <cell r="BV44">
            <v>25</v>
          </cell>
          <cell r="BW44">
            <v>0</v>
          </cell>
          <cell r="BX44">
            <v>1</v>
          </cell>
          <cell r="BY44">
            <v>0</v>
          </cell>
          <cell r="BZ44"/>
          <cell r="CA44">
            <v>1</v>
          </cell>
          <cell r="CB44">
            <v>27</v>
          </cell>
          <cell r="CC44">
            <v>0</v>
          </cell>
          <cell r="CD44">
            <v>1</v>
          </cell>
          <cell r="CE44">
            <v>0</v>
          </cell>
          <cell r="CF44"/>
          <cell r="CG44">
            <v>2</v>
          </cell>
          <cell r="CH44">
            <v>25</v>
          </cell>
          <cell r="CI44">
            <v>0</v>
          </cell>
          <cell r="CJ44">
            <v>1</v>
          </cell>
          <cell r="CK44">
            <v>1</v>
          </cell>
          <cell r="CL44"/>
          <cell r="CM44">
            <v>2</v>
          </cell>
          <cell r="CN44">
            <v>19</v>
          </cell>
          <cell r="CO44">
            <v>0</v>
          </cell>
          <cell r="CP44">
            <v>1</v>
          </cell>
          <cell r="CQ44">
            <v>0</v>
          </cell>
          <cell r="CR44"/>
          <cell r="CS44">
            <v>3</v>
          </cell>
          <cell r="CT44">
            <v>25</v>
          </cell>
          <cell r="CU44">
            <v>0</v>
          </cell>
          <cell r="CV44">
            <v>1</v>
          </cell>
          <cell r="CW44">
            <v>1</v>
          </cell>
          <cell r="CX44"/>
          <cell r="CY44">
            <v>3</v>
          </cell>
          <cell r="CZ44">
            <v>24</v>
          </cell>
          <cell r="DA44">
            <v>0</v>
          </cell>
          <cell r="DB44">
            <v>1</v>
          </cell>
          <cell r="DC44">
            <v>0</v>
          </cell>
          <cell r="DD44"/>
          <cell r="DE44">
            <v>4</v>
          </cell>
          <cell r="DF44">
            <v>25</v>
          </cell>
          <cell r="DG44">
            <v>0</v>
          </cell>
          <cell r="DH44">
            <v>1</v>
          </cell>
          <cell r="DI44">
            <v>0</v>
          </cell>
          <cell r="DJ44"/>
          <cell r="DK44">
            <v>5</v>
          </cell>
          <cell r="DL44">
            <v>2.4527777777777779</v>
          </cell>
        </row>
        <row r="45">
          <cell r="B45" t="str">
            <v>NV0738</v>
          </cell>
          <cell r="C45" t="str">
            <v>Văn Phòng</v>
          </cell>
          <cell r="D45" t="str">
            <v>Phạm Thành Luân</v>
          </cell>
          <cell r="E45" t="str">
            <v>VP</v>
          </cell>
          <cell r="F45">
            <v>44501</v>
          </cell>
          <cell r="G45"/>
          <cell r="H45">
            <v>26</v>
          </cell>
          <cell r="I45">
            <v>0</v>
          </cell>
          <cell r="J45">
            <v>1</v>
          </cell>
          <cell r="K45">
            <v>0</v>
          </cell>
          <cell r="L45"/>
          <cell r="M45">
            <v>-6.5</v>
          </cell>
          <cell r="N45">
            <v>21</v>
          </cell>
          <cell r="O45">
            <v>0</v>
          </cell>
          <cell r="P45">
            <v>1</v>
          </cell>
          <cell r="Q45">
            <v>0</v>
          </cell>
          <cell r="R45"/>
          <cell r="S45">
            <v>-5.5</v>
          </cell>
          <cell r="T45" t="e">
            <v>#REF!</v>
          </cell>
          <cell r="U45">
            <v>0</v>
          </cell>
          <cell r="V45" t="e">
            <v>#REF!</v>
          </cell>
          <cell r="W45" t="e">
            <v>#REF!</v>
          </cell>
          <cell r="X45"/>
          <cell r="Y45">
            <v>-4.5</v>
          </cell>
          <cell r="Z45">
            <v>23</v>
          </cell>
          <cell r="AA45">
            <v>0</v>
          </cell>
          <cell r="AB45">
            <v>1</v>
          </cell>
          <cell r="AC45">
            <v>0</v>
          </cell>
          <cell r="AD45"/>
          <cell r="AE45">
            <v>-3.5</v>
          </cell>
          <cell r="AF45">
            <v>24</v>
          </cell>
          <cell r="AG45">
            <v>0</v>
          </cell>
          <cell r="AH45">
            <v>1</v>
          </cell>
          <cell r="AI45">
            <v>0</v>
          </cell>
          <cell r="AJ45"/>
          <cell r="AK45">
            <v>-2.5</v>
          </cell>
          <cell r="AL45">
            <v>24</v>
          </cell>
          <cell r="AM45">
            <v>0</v>
          </cell>
          <cell r="AN45">
            <v>1</v>
          </cell>
          <cell r="AO45">
            <v>2</v>
          </cell>
          <cell r="AP45"/>
          <cell r="AQ45">
            <v>-3.5</v>
          </cell>
          <cell r="AR45">
            <v>24</v>
          </cell>
          <cell r="AS45">
            <v>0</v>
          </cell>
          <cell r="AT45">
            <v>1</v>
          </cell>
          <cell r="AU45">
            <v>1</v>
          </cell>
          <cell r="AV45"/>
          <cell r="AW45">
            <v>-3.5</v>
          </cell>
          <cell r="AX45">
            <v>26</v>
          </cell>
          <cell r="AY45">
            <v>0</v>
          </cell>
          <cell r="AZ45">
            <v>1</v>
          </cell>
          <cell r="BA45">
            <v>1</v>
          </cell>
          <cell r="BB45"/>
          <cell r="BC45">
            <v>-3.5</v>
          </cell>
          <cell r="BD45">
            <v>26</v>
          </cell>
          <cell r="BE45">
            <v>0</v>
          </cell>
          <cell r="BF45">
            <v>1</v>
          </cell>
          <cell r="BG45">
            <v>0</v>
          </cell>
          <cell r="BH45"/>
          <cell r="BI45">
            <v>-2.5</v>
          </cell>
          <cell r="BJ45">
            <v>23.5</v>
          </cell>
          <cell r="BK45">
            <v>0</v>
          </cell>
          <cell r="BL45">
            <v>1</v>
          </cell>
          <cell r="BM45">
            <v>0.5</v>
          </cell>
          <cell r="BN45"/>
          <cell r="BO45">
            <v>-2</v>
          </cell>
          <cell r="BP45">
            <v>27</v>
          </cell>
          <cell r="BQ45">
            <v>0</v>
          </cell>
          <cell r="BR45">
            <v>1</v>
          </cell>
          <cell r="BS45">
            <v>0</v>
          </cell>
          <cell r="BT45"/>
          <cell r="BU45">
            <v>-1</v>
          </cell>
          <cell r="BV45">
            <v>25</v>
          </cell>
          <cell r="BW45">
            <v>0</v>
          </cell>
          <cell r="BX45">
            <v>1</v>
          </cell>
          <cell r="BY45">
            <v>0</v>
          </cell>
          <cell r="BZ45"/>
          <cell r="CA45">
            <v>0</v>
          </cell>
          <cell r="CB45">
            <v>21</v>
          </cell>
          <cell r="CC45">
            <v>0</v>
          </cell>
          <cell r="CD45">
            <v>1</v>
          </cell>
          <cell r="CE45">
            <v>6</v>
          </cell>
          <cell r="CF45"/>
          <cell r="CG45">
            <v>-5</v>
          </cell>
          <cell r="CH45">
            <v>11</v>
          </cell>
          <cell r="CI45">
            <v>0</v>
          </cell>
          <cell r="CJ45">
            <v>0</v>
          </cell>
          <cell r="CK45">
            <v>1</v>
          </cell>
          <cell r="CL45"/>
          <cell r="CM45">
            <v>-6</v>
          </cell>
          <cell r="CN45">
            <v>11</v>
          </cell>
          <cell r="CO45">
            <v>0</v>
          </cell>
          <cell r="CP45">
            <v>0</v>
          </cell>
          <cell r="CQ45">
            <v>8</v>
          </cell>
          <cell r="CR45"/>
          <cell r="CS45">
            <v>-14</v>
          </cell>
          <cell r="CT45">
            <v>24</v>
          </cell>
          <cell r="CU45">
            <v>0</v>
          </cell>
          <cell r="CV45">
            <v>1</v>
          </cell>
          <cell r="CW45">
            <v>2</v>
          </cell>
          <cell r="CX45"/>
          <cell r="CY45">
            <v>-13</v>
          </cell>
          <cell r="CZ45">
            <v>24</v>
          </cell>
          <cell r="DA45">
            <v>0</v>
          </cell>
          <cell r="DB45">
            <v>1</v>
          </cell>
          <cell r="DC45">
            <v>0</v>
          </cell>
          <cell r="DD45"/>
          <cell r="DE45">
            <v>-12</v>
          </cell>
          <cell r="DF45">
            <v>23</v>
          </cell>
          <cell r="DG45">
            <v>0</v>
          </cell>
          <cell r="DH45">
            <v>1</v>
          </cell>
          <cell r="DI45">
            <v>0</v>
          </cell>
          <cell r="DJ45"/>
          <cell r="DK45">
            <v>-11</v>
          </cell>
          <cell r="DL45">
            <v>4.583333333333333</v>
          </cell>
        </row>
        <row r="46">
          <cell r="B46" t="str">
            <v>NV0027</v>
          </cell>
          <cell r="C46" t="str">
            <v>Văn Phòng</v>
          </cell>
          <cell r="D46" t="str">
            <v>Nguyễn Công Uẩn</v>
          </cell>
          <cell r="E46" t="str">
            <v>VP</v>
          </cell>
          <cell r="F46">
            <v>42086</v>
          </cell>
          <cell r="G46"/>
          <cell r="H46">
            <v>26</v>
          </cell>
          <cell r="I46">
            <v>0</v>
          </cell>
          <cell r="J46">
            <v>1</v>
          </cell>
          <cell r="K46">
            <v>0</v>
          </cell>
          <cell r="L46"/>
          <cell r="M46">
            <v>9.5</v>
          </cell>
          <cell r="N46">
            <v>20</v>
          </cell>
          <cell r="O46">
            <v>0</v>
          </cell>
          <cell r="P46">
            <v>1</v>
          </cell>
          <cell r="Q46">
            <v>2</v>
          </cell>
          <cell r="R46"/>
          <cell r="S46">
            <v>8.5</v>
          </cell>
          <cell r="T46" t="e">
            <v>#REF!</v>
          </cell>
          <cell r="U46">
            <v>0</v>
          </cell>
          <cell r="V46" t="e">
            <v>#REF!</v>
          </cell>
          <cell r="W46" t="e">
            <v>#REF!</v>
          </cell>
          <cell r="X46"/>
          <cell r="Y46">
            <v>9.5</v>
          </cell>
          <cell r="Z46">
            <v>25</v>
          </cell>
          <cell r="AA46">
            <v>0</v>
          </cell>
          <cell r="AB46">
            <v>1</v>
          </cell>
          <cell r="AC46">
            <v>1</v>
          </cell>
          <cell r="AD46"/>
          <cell r="AE46">
            <v>3</v>
          </cell>
          <cell r="AF46">
            <v>24</v>
          </cell>
          <cell r="AG46">
            <v>0</v>
          </cell>
          <cell r="AH46">
            <v>1</v>
          </cell>
          <cell r="AI46">
            <v>0</v>
          </cell>
          <cell r="AJ46"/>
          <cell r="AK46">
            <v>4</v>
          </cell>
          <cell r="AL46">
            <v>25.5</v>
          </cell>
          <cell r="AM46">
            <v>0</v>
          </cell>
          <cell r="AN46">
            <v>1</v>
          </cell>
          <cell r="AO46">
            <v>0.5</v>
          </cell>
          <cell r="AP46"/>
          <cell r="AQ46">
            <v>4.5</v>
          </cell>
          <cell r="AR46">
            <v>23</v>
          </cell>
          <cell r="AS46">
            <v>0</v>
          </cell>
          <cell r="AT46">
            <v>1</v>
          </cell>
          <cell r="AU46">
            <v>2</v>
          </cell>
          <cell r="AV46"/>
          <cell r="AW46">
            <v>5.5</v>
          </cell>
          <cell r="AX46">
            <v>26</v>
          </cell>
          <cell r="AY46">
            <v>0</v>
          </cell>
          <cell r="AZ46">
            <v>1</v>
          </cell>
          <cell r="BA46">
            <v>1</v>
          </cell>
          <cell r="BB46"/>
          <cell r="BC46">
            <v>5.5</v>
          </cell>
          <cell r="BD46">
            <v>25</v>
          </cell>
          <cell r="BE46">
            <v>0</v>
          </cell>
          <cell r="BF46">
            <v>1</v>
          </cell>
          <cell r="BG46">
            <v>0.5</v>
          </cell>
          <cell r="BH46"/>
          <cell r="BI46">
            <v>6</v>
          </cell>
          <cell r="BJ46">
            <v>24</v>
          </cell>
          <cell r="BK46">
            <v>0</v>
          </cell>
          <cell r="BL46">
            <v>1</v>
          </cell>
          <cell r="BM46">
            <v>0</v>
          </cell>
          <cell r="BN46"/>
          <cell r="BO46">
            <v>7</v>
          </cell>
          <cell r="BP46">
            <v>27</v>
          </cell>
          <cell r="BQ46">
            <v>0</v>
          </cell>
          <cell r="BR46">
            <v>1</v>
          </cell>
          <cell r="BS46">
            <v>0</v>
          </cell>
          <cell r="BT46"/>
          <cell r="BU46">
            <v>8</v>
          </cell>
          <cell r="BV46">
            <v>25</v>
          </cell>
          <cell r="BW46">
            <v>0</v>
          </cell>
          <cell r="BX46">
            <v>1</v>
          </cell>
          <cell r="BY46">
            <v>0</v>
          </cell>
          <cell r="BZ46"/>
          <cell r="CA46">
            <v>9</v>
          </cell>
          <cell r="CB46">
            <v>25</v>
          </cell>
          <cell r="CC46">
            <v>0</v>
          </cell>
          <cell r="CD46">
            <v>1</v>
          </cell>
          <cell r="CE46">
            <v>2</v>
          </cell>
          <cell r="CF46"/>
          <cell r="CG46">
            <v>8</v>
          </cell>
          <cell r="CH46">
            <v>26</v>
          </cell>
          <cell r="CI46">
            <v>0</v>
          </cell>
          <cell r="CJ46">
            <v>1</v>
          </cell>
          <cell r="CK46">
            <v>0</v>
          </cell>
          <cell r="CL46"/>
          <cell r="CM46">
            <v>9</v>
          </cell>
          <cell r="CN46">
            <v>18</v>
          </cell>
          <cell r="CO46">
            <v>0</v>
          </cell>
          <cell r="CP46">
            <v>1</v>
          </cell>
          <cell r="CQ46">
            <v>1</v>
          </cell>
          <cell r="CR46"/>
          <cell r="CS46">
            <v>9</v>
          </cell>
          <cell r="CT46">
            <v>26</v>
          </cell>
          <cell r="CU46">
            <v>0</v>
          </cell>
          <cell r="CV46">
            <v>1</v>
          </cell>
          <cell r="CW46">
            <v>0</v>
          </cell>
          <cell r="CX46"/>
          <cell r="CY46">
            <v>3</v>
          </cell>
          <cell r="CZ46">
            <v>25</v>
          </cell>
          <cell r="DA46">
            <v>0</v>
          </cell>
          <cell r="DB46">
            <v>1</v>
          </cell>
          <cell r="DC46">
            <v>0</v>
          </cell>
          <cell r="DD46"/>
          <cell r="DE46">
            <v>4</v>
          </cell>
          <cell r="DF46">
            <v>25</v>
          </cell>
          <cell r="DG46">
            <v>0</v>
          </cell>
          <cell r="DH46">
            <v>1</v>
          </cell>
          <cell r="DI46">
            <v>0</v>
          </cell>
          <cell r="DJ46"/>
          <cell r="DK46">
            <v>5</v>
          </cell>
          <cell r="DL46">
            <v>11.188888888888888</v>
          </cell>
        </row>
        <row r="47">
          <cell r="B47" t="str">
            <v>NV0771</v>
          </cell>
          <cell r="C47" t="str">
            <v>Văn Phòng</v>
          </cell>
          <cell r="D47" t="str">
            <v>Nguyễn Thị Yến Nhi</v>
          </cell>
          <cell r="E47" t="str">
            <v>VP</v>
          </cell>
          <cell r="F47">
            <v>44623</v>
          </cell>
          <cell r="G47"/>
          <cell r="H47">
            <v>25</v>
          </cell>
          <cell r="I47">
            <v>0</v>
          </cell>
          <cell r="J47">
            <v>1</v>
          </cell>
          <cell r="K47">
            <v>1</v>
          </cell>
          <cell r="L47"/>
          <cell r="M47">
            <v>7</v>
          </cell>
          <cell r="N47">
            <v>22</v>
          </cell>
          <cell r="O47">
            <v>0</v>
          </cell>
          <cell r="P47">
            <v>1</v>
          </cell>
          <cell r="Q47">
            <v>0</v>
          </cell>
          <cell r="R47"/>
          <cell r="S47">
            <v>8</v>
          </cell>
          <cell r="T47" t="e">
            <v>#REF!</v>
          </cell>
          <cell r="U47">
            <v>0</v>
          </cell>
          <cell r="V47" t="e">
            <v>#REF!</v>
          </cell>
          <cell r="W47" t="e">
            <v>#REF!</v>
          </cell>
          <cell r="X47"/>
          <cell r="Y47">
            <v>8</v>
          </cell>
          <cell r="Z47">
            <v>26</v>
          </cell>
          <cell r="AA47">
            <v>0</v>
          </cell>
          <cell r="AB47">
            <v>1</v>
          </cell>
          <cell r="AC47">
            <v>0</v>
          </cell>
          <cell r="AD47"/>
          <cell r="AE47">
            <v>3</v>
          </cell>
          <cell r="AF47">
            <v>24</v>
          </cell>
          <cell r="AG47">
            <v>0</v>
          </cell>
          <cell r="AH47">
            <v>1</v>
          </cell>
          <cell r="AI47">
            <v>0</v>
          </cell>
          <cell r="AJ47"/>
          <cell r="AK47">
            <v>4</v>
          </cell>
          <cell r="AL47">
            <v>26</v>
          </cell>
          <cell r="AM47">
            <v>0</v>
          </cell>
          <cell r="AN47">
            <v>1</v>
          </cell>
          <cell r="AO47">
            <v>0</v>
          </cell>
          <cell r="AP47"/>
          <cell r="AQ47">
            <v>5</v>
          </cell>
          <cell r="AR47">
            <v>25</v>
          </cell>
          <cell r="AS47">
            <v>0</v>
          </cell>
          <cell r="AT47">
            <v>1</v>
          </cell>
          <cell r="AU47">
            <v>0</v>
          </cell>
          <cell r="AV47"/>
          <cell r="AW47">
            <v>6</v>
          </cell>
          <cell r="AX47">
            <v>27</v>
          </cell>
          <cell r="AY47">
            <v>0</v>
          </cell>
          <cell r="AZ47">
            <v>1</v>
          </cell>
          <cell r="BA47">
            <v>0</v>
          </cell>
          <cell r="BB47"/>
          <cell r="BC47">
            <v>7</v>
          </cell>
          <cell r="BD47">
            <v>26</v>
          </cell>
          <cell r="BE47">
            <v>0</v>
          </cell>
          <cell r="BF47">
            <v>1</v>
          </cell>
          <cell r="BG47">
            <v>0</v>
          </cell>
          <cell r="BH47"/>
          <cell r="BI47">
            <v>8</v>
          </cell>
          <cell r="BJ47">
            <v>24</v>
          </cell>
          <cell r="BK47">
            <v>0</v>
          </cell>
          <cell r="BL47">
            <v>1</v>
          </cell>
          <cell r="BM47">
            <v>0</v>
          </cell>
          <cell r="BN47"/>
          <cell r="BO47">
            <v>9</v>
          </cell>
          <cell r="BP47">
            <v>27</v>
          </cell>
          <cell r="BQ47">
            <v>0</v>
          </cell>
          <cell r="BR47">
            <v>1</v>
          </cell>
          <cell r="BS47">
            <v>0</v>
          </cell>
          <cell r="BT47"/>
          <cell r="BU47">
            <v>10</v>
          </cell>
          <cell r="BV47">
            <v>25</v>
          </cell>
          <cell r="BW47">
            <v>0</v>
          </cell>
          <cell r="BX47">
            <v>1</v>
          </cell>
          <cell r="BY47">
            <v>0</v>
          </cell>
          <cell r="BZ47"/>
          <cell r="CA47">
            <v>11</v>
          </cell>
          <cell r="CB47">
            <v>26</v>
          </cell>
          <cell r="CC47">
            <v>0</v>
          </cell>
          <cell r="CD47">
            <v>1</v>
          </cell>
          <cell r="CE47">
            <v>1</v>
          </cell>
          <cell r="CF47"/>
          <cell r="CG47">
            <v>11</v>
          </cell>
          <cell r="CH47">
            <v>26</v>
          </cell>
          <cell r="CI47">
            <v>0</v>
          </cell>
          <cell r="CJ47">
            <v>1</v>
          </cell>
          <cell r="CK47">
            <v>0</v>
          </cell>
          <cell r="CL47"/>
          <cell r="CM47">
            <v>12</v>
          </cell>
          <cell r="CN47">
            <v>19</v>
          </cell>
          <cell r="CO47">
            <v>0</v>
          </cell>
          <cell r="CP47">
            <v>1</v>
          </cell>
          <cell r="CQ47">
            <v>0</v>
          </cell>
          <cell r="CR47"/>
          <cell r="CS47">
            <v>13</v>
          </cell>
          <cell r="CT47">
            <v>25</v>
          </cell>
          <cell r="CU47">
            <v>0</v>
          </cell>
          <cell r="CV47">
            <v>1</v>
          </cell>
          <cell r="CW47">
            <v>1</v>
          </cell>
          <cell r="CX47"/>
          <cell r="CY47">
            <v>3</v>
          </cell>
          <cell r="CZ47">
            <v>24</v>
          </cell>
          <cell r="DA47">
            <v>0</v>
          </cell>
          <cell r="DB47">
            <v>1</v>
          </cell>
          <cell r="DC47">
            <v>0</v>
          </cell>
          <cell r="DD47"/>
          <cell r="DE47">
            <v>4</v>
          </cell>
          <cell r="DF47">
            <v>25</v>
          </cell>
          <cell r="DG47">
            <v>0</v>
          </cell>
          <cell r="DH47">
            <v>1</v>
          </cell>
          <cell r="DI47">
            <v>0</v>
          </cell>
          <cell r="DJ47"/>
          <cell r="DK47">
            <v>5</v>
          </cell>
          <cell r="DL47">
            <v>4.2444444444444445</v>
          </cell>
        </row>
        <row r="48">
          <cell r="B48" t="str">
            <v>NV1057</v>
          </cell>
          <cell r="C48" t="str">
            <v>Văn Phòng</v>
          </cell>
          <cell r="D48" t="str">
            <v>Lê Thành Nhân</v>
          </cell>
          <cell r="E48" t="str">
            <v>VP</v>
          </cell>
          <cell r="F48">
            <v>45254</v>
          </cell>
          <cell r="G48"/>
          <cell r="H48">
            <v>22</v>
          </cell>
          <cell r="I48">
            <v>0</v>
          </cell>
          <cell r="J48">
            <v>1</v>
          </cell>
          <cell r="K48">
            <v>4</v>
          </cell>
          <cell r="L48"/>
          <cell r="M48">
            <v>-1</v>
          </cell>
          <cell r="N48">
            <v>22</v>
          </cell>
          <cell r="O48">
            <v>0</v>
          </cell>
          <cell r="P48">
            <v>1</v>
          </cell>
          <cell r="Q48">
            <v>0</v>
          </cell>
          <cell r="R48"/>
          <cell r="S48">
            <v>0</v>
          </cell>
          <cell r="T48" t="e">
            <v>#REF!</v>
          </cell>
          <cell r="U48">
            <v>0</v>
          </cell>
          <cell r="V48" t="e">
            <v>#REF!</v>
          </cell>
          <cell r="W48" t="e">
            <v>#REF!</v>
          </cell>
          <cell r="X48"/>
          <cell r="Y48">
            <v>4</v>
          </cell>
          <cell r="Z48">
            <v>23.5</v>
          </cell>
          <cell r="AA48">
            <v>0</v>
          </cell>
          <cell r="AB48">
            <v>1</v>
          </cell>
          <cell r="AC48">
            <v>2.5</v>
          </cell>
          <cell r="AD48"/>
          <cell r="AE48">
            <v>2.5</v>
          </cell>
          <cell r="AF48">
            <v>23</v>
          </cell>
          <cell r="AG48">
            <v>0</v>
          </cell>
          <cell r="AH48">
            <v>1</v>
          </cell>
          <cell r="AI48">
            <v>1</v>
          </cell>
          <cell r="AJ48"/>
          <cell r="AK48">
            <v>2.5</v>
          </cell>
          <cell r="AL48">
            <v>26</v>
          </cell>
          <cell r="AM48">
            <v>0</v>
          </cell>
          <cell r="AN48">
            <v>1</v>
          </cell>
          <cell r="AO48">
            <v>0</v>
          </cell>
          <cell r="AP48"/>
          <cell r="AQ48">
            <v>3.5</v>
          </cell>
          <cell r="AR48">
            <v>24.5</v>
          </cell>
          <cell r="AS48">
            <v>0</v>
          </cell>
          <cell r="AT48">
            <v>1</v>
          </cell>
          <cell r="AU48">
            <v>0.5</v>
          </cell>
          <cell r="AV48"/>
          <cell r="AW48">
            <v>4</v>
          </cell>
          <cell r="AX48">
            <v>26</v>
          </cell>
          <cell r="AY48">
            <v>0</v>
          </cell>
          <cell r="AZ48">
            <v>1</v>
          </cell>
          <cell r="BA48">
            <v>1</v>
          </cell>
          <cell r="BB48"/>
          <cell r="BC48">
            <v>4</v>
          </cell>
          <cell r="BD48">
            <v>24</v>
          </cell>
          <cell r="BE48">
            <v>0</v>
          </cell>
          <cell r="BF48">
            <v>1</v>
          </cell>
          <cell r="BG48">
            <v>2</v>
          </cell>
          <cell r="BH48"/>
          <cell r="BI48">
            <v>3</v>
          </cell>
          <cell r="BJ48">
            <v>23.5</v>
          </cell>
          <cell r="BK48">
            <v>0</v>
          </cell>
          <cell r="BL48">
            <v>1</v>
          </cell>
          <cell r="BM48">
            <v>0.5</v>
          </cell>
          <cell r="BN48"/>
          <cell r="BO48">
            <v>3.5</v>
          </cell>
          <cell r="BP48">
            <v>27</v>
          </cell>
          <cell r="BQ48">
            <v>0</v>
          </cell>
          <cell r="BR48">
            <v>1</v>
          </cell>
          <cell r="BS48">
            <v>0</v>
          </cell>
          <cell r="BT48"/>
          <cell r="BU48">
            <v>4.5</v>
          </cell>
          <cell r="BV48">
            <v>23</v>
          </cell>
          <cell r="BW48">
            <v>0</v>
          </cell>
          <cell r="BX48">
            <v>1</v>
          </cell>
          <cell r="BY48">
            <v>2</v>
          </cell>
          <cell r="BZ48"/>
          <cell r="CA48">
            <v>3.5</v>
          </cell>
          <cell r="CB48">
            <v>27</v>
          </cell>
          <cell r="CC48">
            <v>0</v>
          </cell>
          <cell r="CD48">
            <v>1</v>
          </cell>
          <cell r="CE48">
            <v>0</v>
          </cell>
          <cell r="CF48"/>
          <cell r="CG48">
            <v>4.5</v>
          </cell>
          <cell r="CH48">
            <v>23</v>
          </cell>
          <cell r="CI48">
            <v>0</v>
          </cell>
          <cell r="CJ48">
            <v>1</v>
          </cell>
          <cell r="CK48">
            <v>3</v>
          </cell>
          <cell r="CL48"/>
          <cell r="CM48">
            <v>2.5</v>
          </cell>
          <cell r="CN48">
            <v>18</v>
          </cell>
          <cell r="CO48">
            <v>0</v>
          </cell>
          <cell r="CP48">
            <v>1</v>
          </cell>
          <cell r="CQ48">
            <v>1</v>
          </cell>
          <cell r="CR48"/>
          <cell r="CS48">
            <v>2.5</v>
          </cell>
          <cell r="CT48">
            <v>24.5</v>
          </cell>
          <cell r="CU48">
            <v>0</v>
          </cell>
          <cell r="CV48">
            <v>1</v>
          </cell>
          <cell r="CW48">
            <v>1.5</v>
          </cell>
          <cell r="CX48"/>
          <cell r="CY48">
            <v>2</v>
          </cell>
          <cell r="CZ48">
            <v>24</v>
          </cell>
          <cell r="DA48">
            <v>0</v>
          </cell>
          <cell r="DB48">
            <v>1</v>
          </cell>
          <cell r="DC48">
            <v>0</v>
          </cell>
          <cell r="DD48"/>
          <cell r="DE48">
            <v>3</v>
          </cell>
          <cell r="DF48">
            <v>23</v>
          </cell>
          <cell r="DG48">
            <v>0</v>
          </cell>
          <cell r="DH48">
            <v>1</v>
          </cell>
          <cell r="DI48">
            <v>2</v>
          </cell>
          <cell r="DJ48"/>
          <cell r="DK48">
            <v>2</v>
          </cell>
          <cell r="DL48">
            <v>2.5194444444444444</v>
          </cell>
        </row>
        <row r="49">
          <cell r="B49" t="str">
            <v>NV1291</v>
          </cell>
          <cell r="C49" t="str">
            <v>Văn Phòng</v>
          </cell>
          <cell r="D49" t="str">
            <v>Lê Văn Phụ</v>
          </cell>
          <cell r="E49" t="str">
            <v>VP</v>
          </cell>
          <cell r="F49">
            <v>45544</v>
          </cell>
          <cell r="G49"/>
          <cell r="H49">
            <v>26</v>
          </cell>
          <cell r="I49">
            <v>0</v>
          </cell>
          <cell r="J49">
            <v>1</v>
          </cell>
          <cell r="K49">
            <v>0</v>
          </cell>
          <cell r="L49"/>
          <cell r="M49">
            <v>1</v>
          </cell>
          <cell r="N49">
            <v>22</v>
          </cell>
          <cell r="O49">
            <v>0</v>
          </cell>
          <cell r="P49">
            <v>1</v>
          </cell>
          <cell r="Q49">
            <v>0</v>
          </cell>
          <cell r="R49"/>
          <cell r="S49">
            <v>2</v>
          </cell>
          <cell r="T49" t="e">
            <v>#REF!</v>
          </cell>
          <cell r="U49">
            <v>0</v>
          </cell>
          <cell r="V49" t="e">
            <v>#REF!</v>
          </cell>
          <cell r="W49" t="e">
            <v>#REF!</v>
          </cell>
          <cell r="X49"/>
          <cell r="Y49">
            <v>2</v>
          </cell>
          <cell r="Z49">
            <v>26</v>
          </cell>
          <cell r="AA49">
            <v>0</v>
          </cell>
          <cell r="AB49">
            <v>1</v>
          </cell>
          <cell r="AC49">
            <v>0</v>
          </cell>
          <cell r="AD49"/>
          <cell r="AE49">
            <v>3</v>
          </cell>
          <cell r="AF49">
            <v>23</v>
          </cell>
          <cell r="AG49">
            <v>0</v>
          </cell>
          <cell r="AH49">
            <v>1</v>
          </cell>
          <cell r="AI49">
            <v>1</v>
          </cell>
          <cell r="AJ49"/>
          <cell r="AK49">
            <v>3</v>
          </cell>
          <cell r="AL49">
            <v>26</v>
          </cell>
          <cell r="AM49">
            <v>0</v>
          </cell>
          <cell r="AN49">
            <v>1</v>
          </cell>
          <cell r="AO49">
            <v>0</v>
          </cell>
          <cell r="AP49"/>
          <cell r="AQ49">
            <v>4</v>
          </cell>
          <cell r="AR49">
            <v>25</v>
          </cell>
          <cell r="AS49">
            <v>0</v>
          </cell>
          <cell r="AT49">
            <v>1</v>
          </cell>
          <cell r="AU49">
            <v>0</v>
          </cell>
          <cell r="AV49"/>
          <cell r="AW49">
            <v>5</v>
          </cell>
          <cell r="AX49">
            <v>27</v>
          </cell>
          <cell r="AY49">
            <v>0</v>
          </cell>
          <cell r="AZ49">
            <v>1</v>
          </cell>
          <cell r="BA49">
            <v>0</v>
          </cell>
          <cell r="BB49"/>
          <cell r="BC49">
            <v>6</v>
          </cell>
          <cell r="BD49">
            <v>26</v>
          </cell>
          <cell r="BE49">
            <v>0</v>
          </cell>
          <cell r="BF49">
            <v>1</v>
          </cell>
          <cell r="BG49">
            <v>0</v>
          </cell>
          <cell r="BH49"/>
          <cell r="BI49">
            <v>7</v>
          </cell>
          <cell r="BJ49">
            <v>24</v>
          </cell>
          <cell r="BK49">
            <v>0</v>
          </cell>
          <cell r="BL49">
            <v>1</v>
          </cell>
          <cell r="BM49">
            <v>0</v>
          </cell>
          <cell r="BN49"/>
          <cell r="BO49">
            <v>8</v>
          </cell>
          <cell r="BP49">
            <v>26</v>
          </cell>
          <cell r="BQ49">
            <v>0</v>
          </cell>
          <cell r="BR49">
            <v>1</v>
          </cell>
          <cell r="BS49">
            <v>1</v>
          </cell>
          <cell r="BT49"/>
          <cell r="BU49">
            <v>8</v>
          </cell>
          <cell r="BV49">
            <v>25</v>
          </cell>
          <cell r="BW49">
            <v>0</v>
          </cell>
          <cell r="BX49">
            <v>1</v>
          </cell>
          <cell r="BY49">
            <v>0</v>
          </cell>
          <cell r="BZ49"/>
          <cell r="CA49">
            <v>9</v>
          </cell>
          <cell r="CB49">
            <v>26</v>
          </cell>
          <cell r="CC49">
            <v>0</v>
          </cell>
          <cell r="CD49">
            <v>1</v>
          </cell>
          <cell r="CE49">
            <v>1</v>
          </cell>
          <cell r="CF49"/>
          <cell r="CG49">
            <v>9</v>
          </cell>
          <cell r="CH49">
            <v>26</v>
          </cell>
          <cell r="CI49">
            <v>0</v>
          </cell>
          <cell r="CJ49">
            <v>1</v>
          </cell>
          <cell r="CK49">
            <v>0</v>
          </cell>
          <cell r="CL49"/>
          <cell r="CM49">
            <v>10</v>
          </cell>
          <cell r="CN49">
            <v>19</v>
          </cell>
          <cell r="CO49">
            <v>0</v>
          </cell>
          <cell r="CP49">
            <v>1</v>
          </cell>
          <cell r="CQ49">
            <v>0</v>
          </cell>
          <cell r="CR49"/>
          <cell r="CS49">
            <v>11</v>
          </cell>
          <cell r="CT49">
            <v>24</v>
          </cell>
          <cell r="CU49">
            <v>0</v>
          </cell>
          <cell r="CV49">
            <v>1</v>
          </cell>
          <cell r="CW49">
            <v>2</v>
          </cell>
          <cell r="CX49"/>
          <cell r="CY49">
            <v>3</v>
          </cell>
          <cell r="CZ49">
            <v>25</v>
          </cell>
          <cell r="DA49">
            <v>0</v>
          </cell>
          <cell r="DB49">
            <v>1</v>
          </cell>
          <cell r="DC49">
            <v>0</v>
          </cell>
          <cell r="DD49"/>
          <cell r="DE49">
            <v>4</v>
          </cell>
          <cell r="DF49">
            <v>26</v>
          </cell>
          <cell r="DG49">
            <v>0</v>
          </cell>
          <cell r="DH49">
            <v>1</v>
          </cell>
          <cell r="DI49">
            <v>0</v>
          </cell>
          <cell r="DJ49"/>
          <cell r="DK49">
            <v>5</v>
          </cell>
          <cell r="DL49">
            <v>1.7277777777777779</v>
          </cell>
        </row>
        <row r="50">
          <cell r="B50" t="str">
            <v>NV1497</v>
          </cell>
          <cell r="C50" t="str">
            <v>Văn Phòng</v>
          </cell>
          <cell r="D50" t="str">
            <v>Nguyễn Minh Tài</v>
          </cell>
          <cell r="E50" t="str">
            <v>VP</v>
          </cell>
          <cell r="F50">
            <v>45762</v>
          </cell>
          <cell r="G50"/>
          <cell r="H50">
            <v>21.875</v>
          </cell>
          <cell r="I50" t="str">
            <v>x</v>
          </cell>
          <cell r="J50">
            <v>0</v>
          </cell>
          <cell r="K50">
            <v>0</v>
          </cell>
          <cell r="L50"/>
          <cell r="M50">
            <v>0</v>
          </cell>
          <cell r="N50">
            <v>0</v>
          </cell>
          <cell r="O50" t="str">
            <v>x</v>
          </cell>
          <cell r="P50">
            <v>0</v>
          </cell>
          <cell r="Q50">
            <v>0</v>
          </cell>
          <cell r="R50"/>
          <cell r="S50">
            <v>0</v>
          </cell>
          <cell r="T50" t="e">
            <v>#REF!</v>
          </cell>
          <cell r="U50" t="str">
            <v>x</v>
          </cell>
          <cell r="V50">
            <v>0</v>
          </cell>
          <cell r="W50" t="e">
            <v>#REF!</v>
          </cell>
          <cell r="X50"/>
          <cell r="Y50">
            <v>0</v>
          </cell>
          <cell r="Z50">
            <v>1</v>
          </cell>
          <cell r="AA50" t="str">
            <v>x</v>
          </cell>
          <cell r="AB50">
            <v>0</v>
          </cell>
          <cell r="AC50">
            <v>0</v>
          </cell>
          <cell r="AD50"/>
          <cell r="AE50">
            <v>0</v>
          </cell>
          <cell r="AF50">
            <v>12</v>
          </cell>
          <cell r="AG50" t="str">
            <v>x</v>
          </cell>
          <cell r="AH50">
            <v>0</v>
          </cell>
          <cell r="AI50">
            <v>0</v>
          </cell>
          <cell r="AJ50"/>
          <cell r="AK50">
            <v>0</v>
          </cell>
          <cell r="AL50">
            <v>24</v>
          </cell>
          <cell r="AM50" t="str">
            <v>x</v>
          </cell>
          <cell r="AN50">
            <v>0</v>
          </cell>
          <cell r="AO50">
            <v>0</v>
          </cell>
          <cell r="AP50"/>
          <cell r="AQ50">
            <v>1</v>
          </cell>
          <cell r="AR50">
            <v>23</v>
          </cell>
          <cell r="AS50">
            <v>0</v>
          </cell>
          <cell r="AT50">
            <v>1</v>
          </cell>
          <cell r="AU50">
            <v>1</v>
          </cell>
          <cell r="AV50"/>
          <cell r="AW50">
            <v>2</v>
          </cell>
          <cell r="AX50">
            <v>27</v>
          </cell>
          <cell r="AY50">
            <v>0</v>
          </cell>
          <cell r="AZ50">
            <v>1</v>
          </cell>
          <cell r="BA50">
            <v>0</v>
          </cell>
          <cell r="BB50"/>
          <cell r="BC50">
            <v>3</v>
          </cell>
          <cell r="BD50">
            <v>25</v>
          </cell>
          <cell r="BE50">
            <v>0</v>
          </cell>
          <cell r="BF50">
            <v>1</v>
          </cell>
          <cell r="BG50">
            <v>1</v>
          </cell>
          <cell r="BH50"/>
          <cell r="BI50">
            <v>3</v>
          </cell>
          <cell r="BJ50">
            <v>23</v>
          </cell>
          <cell r="BK50">
            <v>0</v>
          </cell>
          <cell r="BL50">
            <v>1</v>
          </cell>
          <cell r="BM50">
            <v>1</v>
          </cell>
          <cell r="BN50"/>
          <cell r="BO50">
            <v>3</v>
          </cell>
          <cell r="BP50">
            <v>27</v>
          </cell>
          <cell r="BQ50">
            <v>0</v>
          </cell>
          <cell r="BR50">
            <v>1</v>
          </cell>
          <cell r="BS50">
            <v>0</v>
          </cell>
          <cell r="BT50"/>
          <cell r="BU50">
            <v>4</v>
          </cell>
          <cell r="BV50">
            <v>24</v>
          </cell>
          <cell r="BW50">
            <v>0</v>
          </cell>
          <cell r="BX50">
            <v>1</v>
          </cell>
          <cell r="BY50">
            <v>1</v>
          </cell>
          <cell r="BZ50"/>
          <cell r="CA50">
            <v>4</v>
          </cell>
          <cell r="CB50">
            <v>27</v>
          </cell>
          <cell r="CC50">
            <v>0</v>
          </cell>
          <cell r="CD50">
            <v>1</v>
          </cell>
          <cell r="CE50">
            <v>0</v>
          </cell>
          <cell r="CF50"/>
          <cell r="CG50">
            <v>5</v>
          </cell>
          <cell r="CH50">
            <v>23</v>
          </cell>
          <cell r="CI50">
            <v>0</v>
          </cell>
          <cell r="CJ50">
            <v>1</v>
          </cell>
          <cell r="CK50">
            <v>3</v>
          </cell>
          <cell r="CL50"/>
          <cell r="CM50">
            <v>3</v>
          </cell>
          <cell r="CN50">
            <v>19</v>
          </cell>
          <cell r="CO50">
            <v>0</v>
          </cell>
          <cell r="CP50">
            <v>1</v>
          </cell>
          <cell r="CQ50">
            <v>0</v>
          </cell>
          <cell r="CR50"/>
          <cell r="CS50">
            <v>4</v>
          </cell>
          <cell r="CT50">
            <v>24</v>
          </cell>
          <cell r="CU50">
            <v>0</v>
          </cell>
          <cell r="CV50">
            <v>1</v>
          </cell>
          <cell r="CW50">
            <v>2</v>
          </cell>
          <cell r="CX50"/>
          <cell r="CY50">
            <v>3</v>
          </cell>
          <cell r="CZ50">
            <v>24</v>
          </cell>
          <cell r="DA50">
            <v>0</v>
          </cell>
          <cell r="DB50">
            <v>1</v>
          </cell>
          <cell r="DC50">
            <v>0</v>
          </cell>
          <cell r="DD50"/>
          <cell r="DE50">
            <v>4</v>
          </cell>
          <cell r="DF50">
            <v>23</v>
          </cell>
          <cell r="DG50">
            <v>0</v>
          </cell>
          <cell r="DH50">
            <v>1</v>
          </cell>
          <cell r="DI50">
            <v>2</v>
          </cell>
          <cell r="DJ50"/>
          <cell r="DK50">
            <v>3</v>
          </cell>
          <cell r="DL50">
            <v>1.1277777777777778</v>
          </cell>
        </row>
        <row r="51">
          <cell r="B51" t="str">
            <v>NV1524</v>
          </cell>
          <cell r="C51" t="str">
            <v>Văn Phòng</v>
          </cell>
          <cell r="D51" t="str">
            <v>Phạm Minh Nhựt</v>
          </cell>
          <cell r="E51" t="str">
            <v>VP</v>
          </cell>
          <cell r="F51">
            <v>45791</v>
          </cell>
          <cell r="G51"/>
          <cell r="H51">
            <v>21.875</v>
          </cell>
          <cell r="I51" t="str">
            <v>x</v>
          </cell>
          <cell r="J51">
            <v>0</v>
          </cell>
          <cell r="K51">
            <v>0</v>
          </cell>
          <cell r="L51"/>
          <cell r="M51">
            <v>0</v>
          </cell>
          <cell r="N51">
            <v>0</v>
          </cell>
          <cell r="O51" t="str">
            <v>x</v>
          </cell>
          <cell r="P51">
            <v>0</v>
          </cell>
          <cell r="Q51">
            <v>0</v>
          </cell>
          <cell r="R51"/>
          <cell r="S51">
            <v>0</v>
          </cell>
          <cell r="T51" t="e">
            <v>#REF!</v>
          </cell>
          <cell r="U51" t="str">
            <v>x</v>
          </cell>
          <cell r="V51">
            <v>0</v>
          </cell>
          <cell r="W51" t="e">
            <v>#REF!</v>
          </cell>
          <cell r="X51"/>
          <cell r="Y51">
            <v>0</v>
          </cell>
          <cell r="Z51">
            <v>1</v>
          </cell>
          <cell r="AA51" t="str">
            <v>x</v>
          </cell>
          <cell r="AB51">
            <v>0</v>
          </cell>
          <cell r="AC51">
            <v>0</v>
          </cell>
          <cell r="AD51"/>
          <cell r="AE51">
            <v>0</v>
          </cell>
          <cell r="AF51">
            <v>12</v>
          </cell>
          <cell r="AG51" t="str">
            <v>x</v>
          </cell>
          <cell r="AH51">
            <v>0</v>
          </cell>
          <cell r="AI51">
            <v>0</v>
          </cell>
          <cell r="AJ51"/>
          <cell r="AK51">
            <v>0</v>
          </cell>
          <cell r="AL51">
            <v>16</v>
          </cell>
          <cell r="AM51" t="str">
            <v>x</v>
          </cell>
          <cell r="AN51">
            <v>0</v>
          </cell>
          <cell r="AO51">
            <v>0</v>
          </cell>
          <cell r="AP51"/>
          <cell r="AQ51">
            <v>1</v>
          </cell>
          <cell r="AR51">
            <v>25</v>
          </cell>
          <cell r="AS51" t="str">
            <v>x</v>
          </cell>
          <cell r="AT51">
            <v>0</v>
          </cell>
          <cell r="AU51">
            <v>0</v>
          </cell>
          <cell r="AV51"/>
          <cell r="AW51">
            <v>2</v>
          </cell>
          <cell r="AX51">
            <v>27</v>
          </cell>
          <cell r="AY51">
            <v>0</v>
          </cell>
          <cell r="AZ51">
            <v>1</v>
          </cell>
          <cell r="BA51">
            <v>0</v>
          </cell>
          <cell r="BB51"/>
          <cell r="BC51">
            <v>3</v>
          </cell>
          <cell r="BD51">
            <v>25</v>
          </cell>
          <cell r="BE51">
            <v>0</v>
          </cell>
          <cell r="BF51">
            <v>1</v>
          </cell>
          <cell r="BG51">
            <v>1</v>
          </cell>
          <cell r="BH51"/>
          <cell r="BI51">
            <v>3</v>
          </cell>
          <cell r="BJ51">
            <v>24</v>
          </cell>
          <cell r="BK51">
            <v>0</v>
          </cell>
          <cell r="BL51">
            <v>1</v>
          </cell>
          <cell r="BM51">
            <v>0</v>
          </cell>
          <cell r="BN51"/>
          <cell r="BO51">
            <v>4</v>
          </cell>
          <cell r="BP51">
            <v>26</v>
          </cell>
          <cell r="BQ51">
            <v>0</v>
          </cell>
          <cell r="BR51">
            <v>1</v>
          </cell>
          <cell r="BS51">
            <v>1</v>
          </cell>
          <cell r="BT51"/>
          <cell r="BU51">
            <v>4</v>
          </cell>
          <cell r="BV51">
            <v>25</v>
          </cell>
          <cell r="BW51">
            <v>0</v>
          </cell>
          <cell r="BX51">
            <v>1</v>
          </cell>
          <cell r="BY51">
            <v>0</v>
          </cell>
          <cell r="BZ51"/>
          <cell r="CA51">
            <v>5</v>
          </cell>
          <cell r="CB51">
            <v>26</v>
          </cell>
          <cell r="CC51">
            <v>0</v>
          </cell>
          <cell r="CD51">
            <v>1</v>
          </cell>
          <cell r="CE51">
            <v>1</v>
          </cell>
          <cell r="CF51"/>
          <cell r="CG51">
            <v>5</v>
          </cell>
          <cell r="CH51">
            <v>26</v>
          </cell>
          <cell r="CI51">
            <v>0</v>
          </cell>
          <cell r="CJ51">
            <v>1</v>
          </cell>
          <cell r="CK51">
            <v>0</v>
          </cell>
          <cell r="CL51"/>
          <cell r="CM51">
            <v>6</v>
          </cell>
          <cell r="CN51">
            <v>18</v>
          </cell>
          <cell r="CO51">
            <v>0</v>
          </cell>
          <cell r="CP51">
            <v>1</v>
          </cell>
          <cell r="CQ51">
            <v>1</v>
          </cell>
          <cell r="CR51"/>
          <cell r="CS51">
            <v>6</v>
          </cell>
          <cell r="CT51">
            <v>24</v>
          </cell>
          <cell r="CU51">
            <v>0</v>
          </cell>
          <cell r="CV51">
            <v>1</v>
          </cell>
          <cell r="CW51">
            <v>2</v>
          </cell>
          <cell r="CX51"/>
          <cell r="CY51">
            <v>3</v>
          </cell>
          <cell r="CZ51">
            <v>24</v>
          </cell>
          <cell r="DA51">
            <v>0</v>
          </cell>
          <cell r="DB51">
            <v>1</v>
          </cell>
          <cell r="DC51">
            <v>0</v>
          </cell>
          <cell r="DD51"/>
          <cell r="DE51">
            <v>4</v>
          </cell>
          <cell r="DF51">
            <v>24.5</v>
          </cell>
          <cell r="DG51">
            <v>0</v>
          </cell>
          <cell r="DH51">
            <v>1</v>
          </cell>
          <cell r="DI51">
            <v>0.5</v>
          </cell>
          <cell r="DJ51"/>
          <cell r="DK51">
            <v>4.5</v>
          </cell>
          <cell r="DL51">
            <v>1.0472222222222223</v>
          </cell>
        </row>
        <row r="52">
          <cell r="B52" t="str">
            <v>NV0977</v>
          </cell>
          <cell r="C52" t="str">
            <v>Văn Phòng</v>
          </cell>
          <cell r="D52" t="str">
            <v>Swapnil Patil</v>
          </cell>
          <cell r="E52" t="str">
            <v>VP</v>
          </cell>
          <cell r="F52">
            <v>45089</v>
          </cell>
          <cell r="G52"/>
          <cell r="H52">
            <v>24</v>
          </cell>
          <cell r="I52">
            <v>0</v>
          </cell>
          <cell r="J52">
            <v>1</v>
          </cell>
          <cell r="K52">
            <v>2</v>
          </cell>
          <cell r="L52"/>
          <cell r="M52">
            <v>-1</v>
          </cell>
          <cell r="N52">
            <v>22</v>
          </cell>
          <cell r="O52">
            <v>0</v>
          </cell>
          <cell r="P52">
            <v>1</v>
          </cell>
          <cell r="Q52">
            <v>0</v>
          </cell>
          <cell r="R52"/>
          <cell r="S52">
            <v>0</v>
          </cell>
          <cell r="T52" t="e">
            <v>#REF!</v>
          </cell>
          <cell r="U52">
            <v>0</v>
          </cell>
          <cell r="V52" t="e">
            <v>#REF!</v>
          </cell>
          <cell r="W52" t="e">
            <v>#REF!</v>
          </cell>
          <cell r="X52"/>
          <cell r="Y52">
            <v>1</v>
          </cell>
          <cell r="Z52">
            <v>26</v>
          </cell>
          <cell r="AA52">
            <v>0</v>
          </cell>
          <cell r="AB52">
            <v>1</v>
          </cell>
          <cell r="AC52">
            <v>0</v>
          </cell>
          <cell r="AD52"/>
          <cell r="AE52">
            <v>2</v>
          </cell>
          <cell r="AF52">
            <v>21</v>
          </cell>
          <cell r="AG52">
            <v>0</v>
          </cell>
          <cell r="AH52">
            <v>1</v>
          </cell>
          <cell r="AI52">
            <v>3</v>
          </cell>
          <cell r="AJ52"/>
          <cell r="AK52">
            <v>0</v>
          </cell>
          <cell r="AL52">
            <v>18</v>
          </cell>
          <cell r="AM52">
            <v>0</v>
          </cell>
          <cell r="AN52">
            <v>1</v>
          </cell>
          <cell r="AO52">
            <v>8</v>
          </cell>
          <cell r="AP52"/>
          <cell r="AQ52">
            <v>-7</v>
          </cell>
          <cell r="AR52">
            <v>25</v>
          </cell>
          <cell r="AS52">
            <v>0</v>
          </cell>
          <cell r="AT52">
            <v>1</v>
          </cell>
          <cell r="AU52">
            <v>0</v>
          </cell>
          <cell r="AV52"/>
          <cell r="AW52">
            <v>-6</v>
          </cell>
          <cell r="AX52">
            <v>27</v>
          </cell>
          <cell r="AY52">
            <v>0</v>
          </cell>
          <cell r="AZ52">
            <v>1</v>
          </cell>
          <cell r="BA52">
            <v>0</v>
          </cell>
          <cell r="BB52"/>
          <cell r="BC52">
            <v>-5</v>
          </cell>
          <cell r="BD52">
            <v>26</v>
          </cell>
          <cell r="BE52">
            <v>0</v>
          </cell>
          <cell r="BF52">
            <v>1</v>
          </cell>
          <cell r="BG52">
            <v>0</v>
          </cell>
          <cell r="BH52"/>
          <cell r="BI52">
            <v>-4</v>
          </cell>
          <cell r="BJ52">
            <v>24</v>
          </cell>
          <cell r="BK52">
            <v>0</v>
          </cell>
          <cell r="BL52">
            <v>1</v>
          </cell>
          <cell r="BM52">
            <v>0</v>
          </cell>
          <cell r="BN52"/>
          <cell r="BO52">
            <v>-3</v>
          </cell>
          <cell r="BP52">
            <v>27</v>
          </cell>
          <cell r="BQ52">
            <v>0</v>
          </cell>
          <cell r="BR52">
            <v>1</v>
          </cell>
          <cell r="BS52">
            <v>0</v>
          </cell>
          <cell r="BT52"/>
          <cell r="BU52">
            <v>-2</v>
          </cell>
          <cell r="BV52">
            <v>25</v>
          </cell>
          <cell r="BW52">
            <v>0</v>
          </cell>
          <cell r="BX52">
            <v>1</v>
          </cell>
          <cell r="BY52">
            <v>0</v>
          </cell>
          <cell r="BZ52"/>
          <cell r="CA52">
            <v>-1</v>
          </cell>
          <cell r="CB52">
            <v>27</v>
          </cell>
          <cell r="CC52">
            <v>0</v>
          </cell>
          <cell r="CD52">
            <v>1</v>
          </cell>
          <cell r="CE52">
            <v>0</v>
          </cell>
          <cell r="CF52"/>
          <cell r="CG52">
            <v>0</v>
          </cell>
          <cell r="CH52">
            <v>26</v>
          </cell>
          <cell r="CI52">
            <v>0</v>
          </cell>
          <cell r="CJ52">
            <v>1</v>
          </cell>
          <cell r="CK52">
            <v>0</v>
          </cell>
          <cell r="CL52"/>
          <cell r="CM52">
            <v>1</v>
          </cell>
          <cell r="CN52">
            <v>19</v>
          </cell>
          <cell r="CO52">
            <v>0</v>
          </cell>
          <cell r="CP52">
            <v>1</v>
          </cell>
          <cell r="CQ52">
            <v>0</v>
          </cell>
          <cell r="CR52"/>
          <cell r="CS52">
            <v>2</v>
          </cell>
          <cell r="CT52">
            <v>26</v>
          </cell>
          <cell r="CU52">
            <v>0</v>
          </cell>
          <cell r="CV52">
            <v>1</v>
          </cell>
          <cell r="CW52">
            <v>0</v>
          </cell>
          <cell r="CX52"/>
          <cell r="CY52">
            <v>3</v>
          </cell>
          <cell r="CZ52">
            <v>24</v>
          </cell>
          <cell r="DA52">
            <v>0</v>
          </cell>
          <cell r="DB52">
            <v>1</v>
          </cell>
          <cell r="DC52">
            <v>0</v>
          </cell>
          <cell r="DD52"/>
          <cell r="DE52">
            <v>4</v>
          </cell>
          <cell r="DF52">
            <v>19</v>
          </cell>
          <cell r="DG52">
            <v>0</v>
          </cell>
          <cell r="DH52">
            <v>1</v>
          </cell>
          <cell r="DI52">
            <v>0</v>
          </cell>
          <cell r="DJ52"/>
          <cell r="DK52">
            <v>5</v>
          </cell>
          <cell r="DL52">
            <v>2.9694444444444446</v>
          </cell>
        </row>
        <row r="53">
          <cell r="B53" t="str">
            <v>NV1160</v>
          </cell>
          <cell r="C53" t="str">
            <v>Văn Phòng</v>
          </cell>
          <cell r="D53" t="str">
            <v>Anurag SaRin</v>
          </cell>
          <cell r="E53" t="str">
            <v>VP</v>
          </cell>
          <cell r="F53">
            <v>45355</v>
          </cell>
          <cell r="G53"/>
          <cell r="H53">
            <v>24</v>
          </cell>
          <cell r="I53">
            <v>0</v>
          </cell>
          <cell r="J53">
            <v>1</v>
          </cell>
          <cell r="K53">
            <v>2</v>
          </cell>
          <cell r="L53"/>
          <cell r="M53">
            <v>-3</v>
          </cell>
          <cell r="N53">
            <v>22</v>
          </cell>
          <cell r="O53">
            <v>0</v>
          </cell>
          <cell r="P53">
            <v>1</v>
          </cell>
          <cell r="Q53">
            <v>0</v>
          </cell>
          <cell r="R53"/>
          <cell r="S53">
            <v>0</v>
          </cell>
          <cell r="T53" t="e">
            <v>#REF!</v>
          </cell>
          <cell r="U53">
            <v>0</v>
          </cell>
          <cell r="V53" t="e">
            <v>#REF!</v>
          </cell>
          <cell r="W53" t="e">
            <v>#REF!</v>
          </cell>
          <cell r="X53"/>
          <cell r="Y53">
            <v>0</v>
          </cell>
          <cell r="Z53">
            <v>23.5</v>
          </cell>
          <cell r="AA53">
            <v>0</v>
          </cell>
          <cell r="AB53">
            <v>1</v>
          </cell>
          <cell r="AC53">
            <v>2.5</v>
          </cell>
          <cell r="AD53"/>
          <cell r="AE53">
            <v>0</v>
          </cell>
          <cell r="AF53">
            <v>16</v>
          </cell>
          <cell r="AG53">
            <v>0</v>
          </cell>
          <cell r="AH53">
            <v>1</v>
          </cell>
          <cell r="AI53">
            <v>8</v>
          </cell>
          <cell r="AJ53"/>
          <cell r="AK53">
            <v>0</v>
          </cell>
          <cell r="AL53">
            <v>26</v>
          </cell>
          <cell r="AM53">
            <v>0</v>
          </cell>
          <cell r="AN53">
            <v>1</v>
          </cell>
          <cell r="AO53">
            <v>0</v>
          </cell>
          <cell r="AP53"/>
          <cell r="AQ53">
            <v>0</v>
          </cell>
          <cell r="AR53">
            <v>25</v>
          </cell>
          <cell r="AS53">
            <v>0</v>
          </cell>
          <cell r="AT53">
            <v>1</v>
          </cell>
          <cell r="AU53">
            <v>0</v>
          </cell>
          <cell r="AV53"/>
          <cell r="AW53">
            <v>1</v>
          </cell>
          <cell r="AX53">
            <v>27</v>
          </cell>
          <cell r="AY53">
            <v>0</v>
          </cell>
          <cell r="AZ53">
            <v>1</v>
          </cell>
          <cell r="BA53">
            <v>0</v>
          </cell>
          <cell r="BB53"/>
          <cell r="BC53">
            <v>2</v>
          </cell>
          <cell r="BD53">
            <v>26</v>
          </cell>
          <cell r="BE53">
            <v>0</v>
          </cell>
          <cell r="BF53">
            <v>1</v>
          </cell>
          <cell r="BG53">
            <v>0</v>
          </cell>
          <cell r="BH53"/>
          <cell r="BI53">
            <v>3</v>
          </cell>
          <cell r="BJ53">
            <v>21</v>
          </cell>
          <cell r="BK53">
            <v>0</v>
          </cell>
          <cell r="BL53">
            <v>1</v>
          </cell>
          <cell r="BM53">
            <v>3</v>
          </cell>
          <cell r="BN53"/>
          <cell r="BO53">
            <v>1</v>
          </cell>
          <cell r="BP53">
            <v>27</v>
          </cell>
          <cell r="BQ53">
            <v>0</v>
          </cell>
          <cell r="BR53">
            <v>1</v>
          </cell>
          <cell r="BS53">
            <v>0</v>
          </cell>
          <cell r="BT53"/>
          <cell r="BU53">
            <v>2</v>
          </cell>
          <cell r="BV53">
            <v>25</v>
          </cell>
          <cell r="BW53">
            <v>0</v>
          </cell>
          <cell r="BX53">
            <v>1</v>
          </cell>
          <cell r="BY53">
            <v>0</v>
          </cell>
          <cell r="BZ53"/>
          <cell r="CA53">
            <v>3</v>
          </cell>
          <cell r="CB53">
            <v>21</v>
          </cell>
          <cell r="CC53">
            <v>0</v>
          </cell>
          <cell r="CD53">
            <v>1</v>
          </cell>
          <cell r="CE53">
            <v>6</v>
          </cell>
          <cell r="CF53"/>
          <cell r="CG53">
            <v>-2</v>
          </cell>
          <cell r="CH53">
            <v>26</v>
          </cell>
          <cell r="CI53">
            <v>0</v>
          </cell>
          <cell r="CJ53">
            <v>1</v>
          </cell>
          <cell r="CK53">
            <v>0</v>
          </cell>
          <cell r="CL53"/>
          <cell r="CM53">
            <v>-1</v>
          </cell>
          <cell r="CN53">
            <v>15</v>
          </cell>
          <cell r="CO53">
            <v>0</v>
          </cell>
          <cell r="CP53">
            <v>1</v>
          </cell>
          <cell r="CQ53">
            <v>4</v>
          </cell>
          <cell r="CR53"/>
          <cell r="CS53">
            <v>-4</v>
          </cell>
          <cell r="CT53">
            <v>26</v>
          </cell>
          <cell r="CU53">
            <v>0</v>
          </cell>
          <cell r="CV53">
            <v>1</v>
          </cell>
          <cell r="CW53">
            <v>0</v>
          </cell>
          <cell r="CX53"/>
          <cell r="CY53">
            <v>-3</v>
          </cell>
          <cell r="CZ53">
            <v>24</v>
          </cell>
          <cell r="DA53">
            <v>0</v>
          </cell>
          <cell r="DB53">
            <v>1</v>
          </cell>
          <cell r="DC53">
            <v>0</v>
          </cell>
          <cell r="DD53"/>
          <cell r="DE53">
            <v>-2</v>
          </cell>
          <cell r="DF53">
            <v>25</v>
          </cell>
          <cell r="DG53">
            <v>0</v>
          </cell>
          <cell r="DH53">
            <v>1</v>
          </cell>
          <cell r="DI53">
            <v>0</v>
          </cell>
          <cell r="DJ53"/>
          <cell r="DK53">
            <v>-1</v>
          </cell>
          <cell r="DL53">
            <v>2.2416666666666667</v>
          </cell>
        </row>
        <row r="54">
          <cell r="B54" t="str">
            <v>NV1272</v>
          </cell>
          <cell r="C54" t="str">
            <v>Văn Phòng</v>
          </cell>
          <cell r="D54" t="str">
            <v>Nguyễn Thị Quyên</v>
          </cell>
          <cell r="E54" t="str">
            <v>VP</v>
          </cell>
          <cell r="F54">
            <v>45474</v>
          </cell>
          <cell r="G54"/>
          <cell r="H54">
            <v>23.875</v>
          </cell>
          <cell r="I54">
            <v>0</v>
          </cell>
          <cell r="J54">
            <v>1</v>
          </cell>
          <cell r="K54">
            <v>2</v>
          </cell>
          <cell r="L54"/>
          <cell r="M54">
            <v>0.5</v>
          </cell>
          <cell r="N54">
            <v>22</v>
          </cell>
          <cell r="O54">
            <v>0</v>
          </cell>
          <cell r="P54">
            <v>1</v>
          </cell>
          <cell r="Q54">
            <v>0</v>
          </cell>
          <cell r="R54"/>
          <cell r="S54">
            <v>1.5</v>
          </cell>
          <cell r="T54" t="e">
            <v>#REF!</v>
          </cell>
          <cell r="U54">
            <v>0</v>
          </cell>
          <cell r="V54" t="e">
            <v>#REF!</v>
          </cell>
          <cell r="W54" t="e">
            <v>#REF!</v>
          </cell>
          <cell r="X54"/>
          <cell r="Y54">
            <v>2</v>
          </cell>
          <cell r="Z54">
            <v>25.5</v>
          </cell>
          <cell r="AA54">
            <v>0</v>
          </cell>
          <cell r="AB54">
            <v>1</v>
          </cell>
          <cell r="AC54">
            <v>0.5</v>
          </cell>
          <cell r="AD54"/>
          <cell r="AE54">
            <v>2.5</v>
          </cell>
          <cell r="AF54">
            <v>23</v>
          </cell>
          <cell r="AG54">
            <v>0</v>
          </cell>
          <cell r="AH54">
            <v>1</v>
          </cell>
          <cell r="AI54">
            <v>1</v>
          </cell>
          <cell r="AJ54"/>
          <cell r="AK54">
            <v>2.5</v>
          </cell>
          <cell r="AL54">
            <v>25.625</v>
          </cell>
          <cell r="AM54">
            <v>0</v>
          </cell>
          <cell r="AN54">
            <v>1</v>
          </cell>
          <cell r="AO54">
            <v>0</v>
          </cell>
          <cell r="AP54"/>
          <cell r="AQ54">
            <v>3.5</v>
          </cell>
          <cell r="AR54">
            <v>25</v>
          </cell>
          <cell r="AS54">
            <v>0</v>
          </cell>
          <cell r="AT54">
            <v>1</v>
          </cell>
          <cell r="AU54">
            <v>0</v>
          </cell>
          <cell r="AV54"/>
          <cell r="AW54">
            <v>4.5</v>
          </cell>
          <cell r="AX54">
            <v>27</v>
          </cell>
          <cell r="AY54">
            <v>0</v>
          </cell>
          <cell r="AZ54">
            <v>1</v>
          </cell>
          <cell r="BA54">
            <v>0</v>
          </cell>
          <cell r="BB54"/>
          <cell r="BC54">
            <v>5.5</v>
          </cell>
          <cell r="BD54">
            <v>24</v>
          </cell>
          <cell r="BE54">
            <v>0</v>
          </cell>
          <cell r="BF54">
            <v>1</v>
          </cell>
          <cell r="BG54">
            <v>2</v>
          </cell>
          <cell r="BH54"/>
          <cell r="BI54">
            <v>4.5</v>
          </cell>
          <cell r="BJ54">
            <v>17.5</v>
          </cell>
          <cell r="BK54">
            <v>0</v>
          </cell>
          <cell r="BL54">
            <v>1</v>
          </cell>
          <cell r="BM54">
            <v>1.5</v>
          </cell>
          <cell r="BN54"/>
          <cell r="BO54">
            <v>4</v>
          </cell>
          <cell r="BP54">
            <v>26</v>
          </cell>
          <cell r="BQ54">
            <v>0</v>
          </cell>
          <cell r="BR54">
            <v>1</v>
          </cell>
          <cell r="BS54">
            <v>1</v>
          </cell>
          <cell r="BT54"/>
          <cell r="BU54">
            <v>4</v>
          </cell>
          <cell r="BV54">
            <v>24.5</v>
          </cell>
          <cell r="BW54">
            <v>0</v>
          </cell>
          <cell r="BX54">
            <v>1</v>
          </cell>
          <cell r="BY54">
            <v>0.5</v>
          </cell>
          <cell r="BZ54"/>
          <cell r="CA54">
            <v>4.5</v>
          </cell>
          <cell r="CB54">
            <v>26</v>
          </cell>
          <cell r="CC54">
            <v>0</v>
          </cell>
          <cell r="CD54">
            <v>1</v>
          </cell>
          <cell r="CE54">
            <v>1</v>
          </cell>
          <cell r="CF54"/>
          <cell r="CG54">
            <v>4.5</v>
          </cell>
          <cell r="CH54">
            <v>26</v>
          </cell>
          <cell r="CI54">
            <v>0</v>
          </cell>
          <cell r="CJ54">
            <v>1</v>
          </cell>
          <cell r="CK54">
            <v>0</v>
          </cell>
          <cell r="CL54"/>
          <cell r="CM54">
            <v>5.5</v>
          </cell>
          <cell r="CN54">
            <v>19</v>
          </cell>
          <cell r="CO54">
            <v>0</v>
          </cell>
          <cell r="CP54">
            <v>1</v>
          </cell>
          <cell r="CQ54">
            <v>0</v>
          </cell>
          <cell r="CR54"/>
          <cell r="CS54">
            <v>6.5</v>
          </cell>
          <cell r="CT54">
            <v>22</v>
          </cell>
          <cell r="CU54">
            <v>0</v>
          </cell>
          <cell r="CV54">
            <v>1</v>
          </cell>
          <cell r="CW54">
            <v>4</v>
          </cell>
          <cell r="CX54"/>
          <cell r="CY54">
            <v>3</v>
          </cell>
          <cell r="CZ54">
            <v>24</v>
          </cell>
          <cell r="DA54">
            <v>0</v>
          </cell>
          <cell r="DB54">
            <v>1</v>
          </cell>
          <cell r="DC54">
            <v>0</v>
          </cell>
          <cell r="DD54"/>
          <cell r="DE54">
            <v>4</v>
          </cell>
          <cell r="DF54">
            <v>24</v>
          </cell>
          <cell r="DG54">
            <v>0</v>
          </cell>
          <cell r="DH54">
            <v>1</v>
          </cell>
          <cell r="DI54">
            <v>1</v>
          </cell>
          <cell r="DJ54"/>
          <cell r="DK54">
            <v>4</v>
          </cell>
          <cell r="DL54">
            <v>1.9166666666666667</v>
          </cell>
        </row>
        <row r="55">
          <cell r="B55" t="str">
            <v>NV0863</v>
          </cell>
          <cell r="C55" t="str">
            <v>Văn Phòng</v>
          </cell>
          <cell r="D55" t="str">
            <v>Đỗ Thị Kim Phượng</v>
          </cell>
          <cell r="E55" t="str">
            <v>VP</v>
          </cell>
          <cell r="F55">
            <v>44774</v>
          </cell>
          <cell r="G55"/>
          <cell r="H55">
            <v>24</v>
          </cell>
          <cell r="I55">
            <v>0</v>
          </cell>
          <cell r="J55">
            <v>1</v>
          </cell>
          <cell r="K55">
            <v>2</v>
          </cell>
          <cell r="L55"/>
          <cell r="M55">
            <v>5.5</v>
          </cell>
          <cell r="N55">
            <v>20</v>
          </cell>
          <cell r="O55">
            <v>0</v>
          </cell>
          <cell r="P55">
            <v>1</v>
          </cell>
          <cell r="Q55">
            <v>2</v>
          </cell>
          <cell r="R55"/>
          <cell r="S55">
            <v>4.5</v>
          </cell>
          <cell r="T55" t="e">
            <v>#REF!</v>
          </cell>
          <cell r="U55">
            <v>0</v>
          </cell>
          <cell r="V55" t="e">
            <v>#REF!</v>
          </cell>
          <cell r="W55" t="e">
            <v>#REF!</v>
          </cell>
          <cell r="X55"/>
          <cell r="Y55">
            <v>2</v>
          </cell>
          <cell r="Z55">
            <v>26</v>
          </cell>
          <cell r="AA55">
            <v>0</v>
          </cell>
          <cell r="AB55">
            <v>1</v>
          </cell>
          <cell r="AC55">
            <v>0</v>
          </cell>
          <cell r="AD55"/>
          <cell r="AE55">
            <v>3</v>
          </cell>
          <cell r="AF55">
            <v>23</v>
          </cell>
          <cell r="AG55">
            <v>0</v>
          </cell>
          <cell r="AH55">
            <v>1</v>
          </cell>
          <cell r="AI55">
            <v>1</v>
          </cell>
          <cell r="AJ55"/>
          <cell r="AK55">
            <v>3</v>
          </cell>
          <cell r="AL55">
            <v>22</v>
          </cell>
          <cell r="AM55">
            <v>0</v>
          </cell>
          <cell r="AN55">
            <v>1</v>
          </cell>
          <cell r="AO55">
            <v>1</v>
          </cell>
          <cell r="AP55"/>
          <cell r="AQ55">
            <v>3</v>
          </cell>
          <cell r="AR55">
            <v>21</v>
          </cell>
          <cell r="AS55">
            <v>0</v>
          </cell>
          <cell r="AT55">
            <v>1</v>
          </cell>
          <cell r="AU55">
            <v>4</v>
          </cell>
          <cell r="AV55"/>
          <cell r="AW55">
            <v>0</v>
          </cell>
          <cell r="AX55">
            <v>27</v>
          </cell>
          <cell r="AY55">
            <v>0</v>
          </cell>
          <cell r="AZ55">
            <v>1</v>
          </cell>
          <cell r="BA55">
            <v>0</v>
          </cell>
          <cell r="BB55"/>
          <cell r="BC55">
            <v>1</v>
          </cell>
          <cell r="BD55">
            <v>25.75</v>
          </cell>
          <cell r="BE55">
            <v>0</v>
          </cell>
          <cell r="BF55">
            <v>1</v>
          </cell>
          <cell r="BG55">
            <v>0</v>
          </cell>
          <cell r="BH55"/>
          <cell r="BI55">
            <v>2</v>
          </cell>
          <cell r="BJ55">
            <v>23</v>
          </cell>
          <cell r="BK55">
            <v>0</v>
          </cell>
          <cell r="BL55">
            <v>1</v>
          </cell>
          <cell r="BM55">
            <v>1</v>
          </cell>
          <cell r="BN55"/>
          <cell r="BO55">
            <v>2</v>
          </cell>
          <cell r="BP55">
            <v>27</v>
          </cell>
          <cell r="BQ55">
            <v>0</v>
          </cell>
          <cell r="BR55">
            <v>1</v>
          </cell>
          <cell r="BS55">
            <v>0</v>
          </cell>
          <cell r="BT55"/>
          <cell r="BU55">
            <v>3</v>
          </cell>
          <cell r="BV55">
            <v>25</v>
          </cell>
          <cell r="BW55">
            <v>0</v>
          </cell>
          <cell r="BX55">
            <v>1</v>
          </cell>
          <cell r="BY55">
            <v>0</v>
          </cell>
          <cell r="BZ55"/>
          <cell r="CA55">
            <v>4</v>
          </cell>
          <cell r="CB55">
            <v>25</v>
          </cell>
          <cell r="CC55">
            <v>0</v>
          </cell>
          <cell r="CD55">
            <v>1</v>
          </cell>
          <cell r="CE55">
            <v>2</v>
          </cell>
          <cell r="CF55"/>
          <cell r="CG55">
            <v>3</v>
          </cell>
          <cell r="CH55">
            <v>25</v>
          </cell>
          <cell r="CI55">
            <v>0</v>
          </cell>
          <cell r="CJ55">
            <v>1</v>
          </cell>
          <cell r="CK55">
            <v>1</v>
          </cell>
          <cell r="CL55"/>
          <cell r="CM55">
            <v>3</v>
          </cell>
          <cell r="CN55">
            <v>19</v>
          </cell>
          <cell r="CO55">
            <v>0</v>
          </cell>
          <cell r="CP55">
            <v>1</v>
          </cell>
          <cell r="CQ55">
            <v>0</v>
          </cell>
          <cell r="CR55"/>
          <cell r="CS55">
            <v>4</v>
          </cell>
          <cell r="CT55">
            <v>24</v>
          </cell>
          <cell r="CU55">
            <v>0</v>
          </cell>
          <cell r="CV55">
            <v>1</v>
          </cell>
          <cell r="CW55">
            <v>2</v>
          </cell>
          <cell r="CX55"/>
          <cell r="CY55">
            <v>3</v>
          </cell>
          <cell r="CZ55">
            <v>21.5</v>
          </cell>
          <cell r="DA55">
            <v>0</v>
          </cell>
          <cell r="DB55">
            <v>1</v>
          </cell>
          <cell r="DC55">
            <v>2.5</v>
          </cell>
          <cell r="DD55"/>
          <cell r="DE55">
            <v>1.5</v>
          </cell>
          <cell r="DF55">
            <v>25</v>
          </cell>
          <cell r="DG55">
            <v>0</v>
          </cell>
          <cell r="DH55">
            <v>1</v>
          </cell>
          <cell r="DI55">
            <v>0</v>
          </cell>
          <cell r="DJ55"/>
          <cell r="DK55">
            <v>2.5</v>
          </cell>
          <cell r="DL55">
            <v>3.8333333333333335</v>
          </cell>
        </row>
        <row r="56">
          <cell r="B56" t="str">
            <v>NV0020</v>
          </cell>
          <cell r="C56" t="str">
            <v>Văn Phòng</v>
          </cell>
          <cell r="D56" t="str">
            <v>Trịnh Văn Dũng</v>
          </cell>
          <cell r="E56" t="str">
            <v>VP</v>
          </cell>
          <cell r="F56">
            <v>39167</v>
          </cell>
          <cell r="G56"/>
          <cell r="H56">
            <v>26</v>
          </cell>
          <cell r="I56">
            <v>0</v>
          </cell>
          <cell r="J56">
            <v>1</v>
          </cell>
          <cell r="K56">
            <v>0</v>
          </cell>
          <cell r="L56"/>
          <cell r="M56">
            <v>-1</v>
          </cell>
          <cell r="N56">
            <v>20</v>
          </cell>
          <cell r="O56">
            <v>0</v>
          </cell>
          <cell r="P56">
            <v>1</v>
          </cell>
          <cell r="Q56">
            <v>2</v>
          </cell>
          <cell r="R56"/>
          <cell r="S56">
            <v>-2</v>
          </cell>
          <cell r="T56" t="e">
            <v>#REF!</v>
          </cell>
          <cell r="U56">
            <v>0</v>
          </cell>
          <cell r="V56" t="e">
            <v>#REF!</v>
          </cell>
          <cell r="W56" t="e">
            <v>#REF!</v>
          </cell>
          <cell r="X56"/>
          <cell r="Y56">
            <v>-1</v>
          </cell>
          <cell r="Z56">
            <v>26</v>
          </cell>
          <cell r="AA56">
            <v>0</v>
          </cell>
          <cell r="AB56">
            <v>1</v>
          </cell>
          <cell r="AC56">
            <v>0</v>
          </cell>
          <cell r="AD56"/>
          <cell r="AE56">
            <v>0</v>
          </cell>
          <cell r="AF56">
            <v>23</v>
          </cell>
          <cell r="AG56">
            <v>0</v>
          </cell>
          <cell r="AH56">
            <v>1</v>
          </cell>
          <cell r="AI56">
            <v>1</v>
          </cell>
          <cell r="AJ56"/>
          <cell r="AK56">
            <v>0</v>
          </cell>
          <cell r="AL56">
            <v>24</v>
          </cell>
          <cell r="AM56">
            <v>0</v>
          </cell>
          <cell r="AN56">
            <v>1</v>
          </cell>
          <cell r="AO56">
            <v>2</v>
          </cell>
          <cell r="AP56"/>
          <cell r="AQ56">
            <v>-1</v>
          </cell>
          <cell r="AR56">
            <v>23</v>
          </cell>
          <cell r="AS56">
            <v>0</v>
          </cell>
          <cell r="AT56">
            <v>1</v>
          </cell>
          <cell r="AU56">
            <v>2</v>
          </cell>
          <cell r="AV56"/>
          <cell r="AW56">
            <v>1</v>
          </cell>
          <cell r="AX56">
            <v>26</v>
          </cell>
          <cell r="AY56">
            <v>0</v>
          </cell>
          <cell r="AZ56">
            <v>1</v>
          </cell>
          <cell r="BA56">
            <v>1</v>
          </cell>
          <cell r="BB56"/>
          <cell r="BC56">
            <v>1</v>
          </cell>
          <cell r="BD56">
            <v>26</v>
          </cell>
          <cell r="BE56">
            <v>0</v>
          </cell>
          <cell r="BF56">
            <v>1</v>
          </cell>
          <cell r="BG56">
            <v>0</v>
          </cell>
          <cell r="BH56"/>
          <cell r="BI56">
            <v>2</v>
          </cell>
          <cell r="BJ56">
            <v>23</v>
          </cell>
          <cell r="BK56">
            <v>0</v>
          </cell>
          <cell r="BL56">
            <v>1</v>
          </cell>
          <cell r="BM56">
            <v>1</v>
          </cell>
          <cell r="BN56"/>
          <cell r="BO56">
            <v>2</v>
          </cell>
          <cell r="BP56">
            <v>26</v>
          </cell>
          <cell r="BQ56">
            <v>0</v>
          </cell>
          <cell r="BR56">
            <v>1</v>
          </cell>
          <cell r="BS56">
            <v>1</v>
          </cell>
          <cell r="BT56"/>
          <cell r="BU56">
            <v>2</v>
          </cell>
          <cell r="BV56">
            <v>24</v>
          </cell>
          <cell r="BW56">
            <v>0</v>
          </cell>
          <cell r="BX56">
            <v>1</v>
          </cell>
          <cell r="BY56">
            <v>1</v>
          </cell>
          <cell r="BZ56"/>
          <cell r="CA56">
            <v>2</v>
          </cell>
          <cell r="CB56">
            <v>25</v>
          </cell>
          <cell r="CC56">
            <v>0</v>
          </cell>
          <cell r="CD56">
            <v>1</v>
          </cell>
          <cell r="CE56">
            <v>2</v>
          </cell>
          <cell r="CF56"/>
          <cell r="CG56">
            <v>1</v>
          </cell>
          <cell r="CH56">
            <v>26</v>
          </cell>
          <cell r="CI56">
            <v>0</v>
          </cell>
          <cell r="CJ56">
            <v>1</v>
          </cell>
          <cell r="CK56">
            <v>0</v>
          </cell>
          <cell r="CL56"/>
          <cell r="CM56">
            <v>2</v>
          </cell>
          <cell r="CN56">
            <v>19</v>
          </cell>
          <cell r="CO56">
            <v>0</v>
          </cell>
          <cell r="CP56">
            <v>1</v>
          </cell>
          <cell r="CQ56">
            <v>0</v>
          </cell>
          <cell r="CR56"/>
          <cell r="CS56">
            <v>3</v>
          </cell>
          <cell r="CT56">
            <v>25</v>
          </cell>
          <cell r="CU56">
            <v>0</v>
          </cell>
          <cell r="CV56">
            <v>1</v>
          </cell>
          <cell r="CW56">
            <v>1</v>
          </cell>
          <cell r="CX56"/>
          <cell r="CY56">
            <v>3</v>
          </cell>
          <cell r="CZ56">
            <v>22</v>
          </cell>
          <cell r="DA56">
            <v>0</v>
          </cell>
          <cell r="DB56">
            <v>1</v>
          </cell>
          <cell r="DC56">
            <v>2</v>
          </cell>
          <cell r="DD56"/>
          <cell r="DE56">
            <v>2</v>
          </cell>
          <cell r="DF56">
            <v>22</v>
          </cell>
          <cell r="DG56">
            <v>0</v>
          </cell>
          <cell r="DH56">
            <v>1</v>
          </cell>
          <cell r="DI56">
            <v>3</v>
          </cell>
          <cell r="DJ56"/>
          <cell r="DK56">
            <v>0</v>
          </cell>
          <cell r="DL56">
            <v>19.180555555555557</v>
          </cell>
        </row>
        <row r="57">
          <cell r="B57" t="str">
            <v>NV0957</v>
          </cell>
          <cell r="C57" t="str">
            <v>Văn Phòng</v>
          </cell>
          <cell r="D57" t="str">
            <v>Trần Thị Xuân Thùy</v>
          </cell>
          <cell r="E57" t="str">
            <v>VP</v>
          </cell>
          <cell r="F57">
            <v>45035</v>
          </cell>
          <cell r="G57"/>
          <cell r="H57">
            <v>24</v>
          </cell>
          <cell r="I57">
            <v>0</v>
          </cell>
          <cell r="J57">
            <v>1</v>
          </cell>
          <cell r="K57">
            <v>2</v>
          </cell>
          <cell r="L57"/>
          <cell r="M57">
            <v>0</v>
          </cell>
          <cell r="N57">
            <v>21</v>
          </cell>
          <cell r="O57">
            <v>0</v>
          </cell>
          <cell r="P57">
            <v>1</v>
          </cell>
          <cell r="Q57">
            <v>1</v>
          </cell>
          <cell r="R57"/>
          <cell r="S57">
            <v>0</v>
          </cell>
          <cell r="T57" t="e">
            <v>#REF!</v>
          </cell>
          <cell r="U57">
            <v>0</v>
          </cell>
          <cell r="V57" t="e">
            <v>#REF!</v>
          </cell>
          <cell r="W57" t="e">
            <v>#REF!</v>
          </cell>
          <cell r="X57"/>
          <cell r="Y57">
            <v>2</v>
          </cell>
          <cell r="Z57">
            <v>26</v>
          </cell>
          <cell r="AA57">
            <v>0</v>
          </cell>
          <cell r="AB57">
            <v>1</v>
          </cell>
          <cell r="AC57">
            <v>0</v>
          </cell>
          <cell r="AD57"/>
          <cell r="AE57">
            <v>3</v>
          </cell>
          <cell r="AF57">
            <v>21</v>
          </cell>
          <cell r="AG57">
            <v>0</v>
          </cell>
          <cell r="AH57">
            <v>1</v>
          </cell>
          <cell r="AI57">
            <v>3</v>
          </cell>
          <cell r="AJ57"/>
          <cell r="AK57">
            <v>1</v>
          </cell>
          <cell r="AL57">
            <v>25.5</v>
          </cell>
          <cell r="AM57">
            <v>0</v>
          </cell>
          <cell r="AN57">
            <v>1</v>
          </cell>
          <cell r="AO57">
            <v>0.5</v>
          </cell>
          <cell r="AP57"/>
          <cell r="AQ57">
            <v>1.5</v>
          </cell>
          <cell r="AR57">
            <v>24</v>
          </cell>
          <cell r="AS57">
            <v>0</v>
          </cell>
          <cell r="AT57">
            <v>1</v>
          </cell>
          <cell r="AU57">
            <v>1</v>
          </cell>
          <cell r="AV57"/>
          <cell r="AW57">
            <v>1.5</v>
          </cell>
          <cell r="AX57">
            <v>26.5</v>
          </cell>
          <cell r="AY57">
            <v>0</v>
          </cell>
          <cell r="AZ57">
            <v>1</v>
          </cell>
          <cell r="BA57">
            <v>0.5</v>
          </cell>
          <cell r="BB57"/>
          <cell r="BC57">
            <v>2</v>
          </cell>
          <cell r="BD57">
            <v>26</v>
          </cell>
          <cell r="BE57">
            <v>0</v>
          </cell>
          <cell r="BF57">
            <v>1</v>
          </cell>
          <cell r="BG57">
            <v>0</v>
          </cell>
          <cell r="BH57"/>
          <cell r="BI57">
            <v>3</v>
          </cell>
          <cell r="BJ57">
            <v>22</v>
          </cell>
          <cell r="BK57">
            <v>0</v>
          </cell>
          <cell r="BL57">
            <v>1</v>
          </cell>
          <cell r="BM57">
            <v>2</v>
          </cell>
          <cell r="BN57"/>
          <cell r="BO57">
            <v>2</v>
          </cell>
          <cell r="BP57">
            <v>27</v>
          </cell>
          <cell r="BQ57">
            <v>0</v>
          </cell>
          <cell r="BR57">
            <v>1</v>
          </cell>
          <cell r="BS57">
            <v>0</v>
          </cell>
          <cell r="BT57"/>
          <cell r="BU57">
            <v>3</v>
          </cell>
          <cell r="BV57">
            <v>22</v>
          </cell>
          <cell r="BW57">
            <v>0</v>
          </cell>
          <cell r="BX57">
            <v>1</v>
          </cell>
          <cell r="BY57">
            <v>3</v>
          </cell>
          <cell r="BZ57"/>
          <cell r="CA57">
            <v>1</v>
          </cell>
          <cell r="CB57">
            <v>26</v>
          </cell>
          <cell r="CC57">
            <v>0</v>
          </cell>
          <cell r="CD57">
            <v>1</v>
          </cell>
          <cell r="CE57">
            <v>1</v>
          </cell>
          <cell r="CF57"/>
          <cell r="CG57">
            <v>1</v>
          </cell>
          <cell r="CH57">
            <v>26</v>
          </cell>
          <cell r="CI57">
            <v>0</v>
          </cell>
          <cell r="CJ57">
            <v>1</v>
          </cell>
          <cell r="CK57">
            <v>0</v>
          </cell>
          <cell r="CL57"/>
          <cell r="CM57">
            <v>2</v>
          </cell>
          <cell r="CN57">
            <v>18</v>
          </cell>
          <cell r="CO57">
            <v>0</v>
          </cell>
          <cell r="CP57">
            <v>1</v>
          </cell>
          <cell r="CQ57">
            <v>1</v>
          </cell>
          <cell r="CR57"/>
          <cell r="CS57">
            <v>2</v>
          </cell>
          <cell r="CT57">
            <v>23</v>
          </cell>
          <cell r="CU57">
            <v>0</v>
          </cell>
          <cell r="CV57">
            <v>1</v>
          </cell>
          <cell r="CW57">
            <v>3</v>
          </cell>
          <cell r="CX57"/>
          <cell r="CY57">
            <v>0</v>
          </cell>
          <cell r="CZ57">
            <v>24</v>
          </cell>
          <cell r="DA57">
            <v>0</v>
          </cell>
          <cell r="DB57">
            <v>1</v>
          </cell>
          <cell r="DC57">
            <v>0</v>
          </cell>
          <cell r="DD57"/>
          <cell r="DE57">
            <v>1</v>
          </cell>
          <cell r="DF57">
            <v>23</v>
          </cell>
          <cell r="DG57">
            <v>0</v>
          </cell>
          <cell r="DH57">
            <v>1</v>
          </cell>
          <cell r="DI57">
            <v>2</v>
          </cell>
          <cell r="DJ57"/>
          <cell r="DK57">
            <v>0</v>
          </cell>
          <cell r="DL57">
            <v>3.1166666666666667</v>
          </cell>
        </row>
        <row r="58">
          <cell r="B58" t="str">
            <v>NV0024</v>
          </cell>
          <cell r="C58" t="str">
            <v>Văn Phòng</v>
          </cell>
          <cell r="D58" t="str">
            <v>Nguyễn Thanh Sang</v>
          </cell>
          <cell r="E58" t="str">
            <v>VP</v>
          </cell>
          <cell r="F58">
            <v>41792</v>
          </cell>
          <cell r="G58"/>
          <cell r="H58">
            <v>25</v>
          </cell>
          <cell r="I58">
            <v>0</v>
          </cell>
          <cell r="J58">
            <v>1</v>
          </cell>
          <cell r="K58">
            <v>1</v>
          </cell>
          <cell r="L58"/>
          <cell r="M58">
            <v>2</v>
          </cell>
          <cell r="N58">
            <v>21</v>
          </cell>
          <cell r="O58">
            <v>0</v>
          </cell>
          <cell r="P58">
            <v>1</v>
          </cell>
          <cell r="Q58">
            <v>1</v>
          </cell>
          <cell r="R58"/>
          <cell r="S58">
            <v>2</v>
          </cell>
          <cell r="T58" t="e">
            <v>#REF!</v>
          </cell>
          <cell r="U58">
            <v>0</v>
          </cell>
          <cell r="V58" t="e">
            <v>#REF!</v>
          </cell>
          <cell r="W58" t="e">
            <v>#REF!</v>
          </cell>
          <cell r="X58"/>
          <cell r="Y58">
            <v>2</v>
          </cell>
          <cell r="Z58">
            <v>24.5</v>
          </cell>
          <cell r="AA58">
            <v>0</v>
          </cell>
          <cell r="AB58">
            <v>1</v>
          </cell>
          <cell r="AC58">
            <v>1.5</v>
          </cell>
          <cell r="AD58"/>
          <cell r="AE58">
            <v>1.5</v>
          </cell>
          <cell r="AF58">
            <v>24</v>
          </cell>
          <cell r="AG58">
            <v>0</v>
          </cell>
          <cell r="AH58">
            <v>1</v>
          </cell>
          <cell r="AI58">
            <v>0</v>
          </cell>
          <cell r="AJ58"/>
          <cell r="AK58">
            <v>2.5</v>
          </cell>
          <cell r="AL58">
            <v>24</v>
          </cell>
          <cell r="AM58">
            <v>0</v>
          </cell>
          <cell r="AN58">
            <v>1</v>
          </cell>
          <cell r="AO58">
            <v>2</v>
          </cell>
          <cell r="AP58"/>
          <cell r="AQ58">
            <v>1.5</v>
          </cell>
          <cell r="AR58">
            <v>25</v>
          </cell>
          <cell r="AS58">
            <v>0</v>
          </cell>
          <cell r="AT58">
            <v>1</v>
          </cell>
          <cell r="AU58">
            <v>0</v>
          </cell>
          <cell r="AV58"/>
          <cell r="AW58">
            <v>4.5</v>
          </cell>
          <cell r="AX58">
            <v>25</v>
          </cell>
          <cell r="AY58">
            <v>0</v>
          </cell>
          <cell r="AZ58">
            <v>1</v>
          </cell>
          <cell r="BA58">
            <v>2</v>
          </cell>
          <cell r="BB58"/>
          <cell r="BC58">
            <v>3.5</v>
          </cell>
          <cell r="BD58">
            <v>25</v>
          </cell>
          <cell r="BE58">
            <v>0</v>
          </cell>
          <cell r="BF58">
            <v>1</v>
          </cell>
          <cell r="BG58">
            <v>1</v>
          </cell>
          <cell r="BH58"/>
          <cell r="BI58">
            <v>3.5</v>
          </cell>
          <cell r="BJ58">
            <v>22</v>
          </cell>
          <cell r="BK58">
            <v>0</v>
          </cell>
          <cell r="BL58">
            <v>1</v>
          </cell>
          <cell r="BM58">
            <v>2</v>
          </cell>
          <cell r="BN58"/>
          <cell r="BO58">
            <v>2.5</v>
          </cell>
          <cell r="BP58">
            <v>27</v>
          </cell>
          <cell r="BQ58">
            <v>0</v>
          </cell>
          <cell r="BR58">
            <v>1</v>
          </cell>
          <cell r="BS58">
            <v>0</v>
          </cell>
          <cell r="BT58"/>
          <cell r="BU58">
            <v>3.5</v>
          </cell>
          <cell r="BV58">
            <v>24</v>
          </cell>
          <cell r="BW58">
            <v>0</v>
          </cell>
          <cell r="BX58">
            <v>1</v>
          </cell>
          <cell r="BY58">
            <v>1</v>
          </cell>
          <cell r="BZ58"/>
          <cell r="CA58">
            <v>3.5</v>
          </cell>
          <cell r="CB58">
            <v>27</v>
          </cell>
          <cell r="CC58">
            <v>0</v>
          </cell>
          <cell r="CD58">
            <v>1</v>
          </cell>
          <cell r="CE58">
            <v>0</v>
          </cell>
          <cell r="CF58"/>
          <cell r="CG58">
            <v>4.5</v>
          </cell>
          <cell r="CH58">
            <v>25</v>
          </cell>
          <cell r="CI58">
            <v>0</v>
          </cell>
          <cell r="CJ58">
            <v>1</v>
          </cell>
          <cell r="CK58">
            <v>1</v>
          </cell>
          <cell r="CL58"/>
          <cell r="CM58">
            <v>4.5</v>
          </cell>
          <cell r="CN58">
            <v>18</v>
          </cell>
          <cell r="CO58">
            <v>0</v>
          </cell>
          <cell r="CP58">
            <v>1</v>
          </cell>
          <cell r="CQ58">
            <v>1</v>
          </cell>
          <cell r="CR58"/>
          <cell r="CS58">
            <v>4.5</v>
          </cell>
          <cell r="CT58">
            <v>24.5</v>
          </cell>
          <cell r="CU58">
            <v>0</v>
          </cell>
          <cell r="CV58">
            <v>1</v>
          </cell>
          <cell r="CW58">
            <v>1.5</v>
          </cell>
          <cell r="CX58"/>
          <cell r="CY58">
            <v>3</v>
          </cell>
          <cell r="CZ58">
            <v>23</v>
          </cell>
          <cell r="DA58">
            <v>0</v>
          </cell>
          <cell r="DB58">
            <v>1</v>
          </cell>
          <cell r="DC58">
            <v>1</v>
          </cell>
          <cell r="DD58"/>
          <cell r="DE58">
            <v>3</v>
          </cell>
          <cell r="DF58">
            <v>24.5</v>
          </cell>
          <cell r="DG58">
            <v>0</v>
          </cell>
          <cell r="DH58">
            <v>1</v>
          </cell>
          <cell r="DI58">
            <v>0.5</v>
          </cell>
          <cell r="DJ58"/>
          <cell r="DK58">
            <v>3.5</v>
          </cell>
          <cell r="DL58">
            <v>11.997222222222222</v>
          </cell>
        </row>
        <row r="59">
          <cell r="B59" t="str">
            <v>NV0933</v>
          </cell>
          <cell r="C59" t="str">
            <v>Văn Phòng</v>
          </cell>
          <cell r="D59" t="str">
            <v>Phùng Thị Thúy Quỳnh</v>
          </cell>
          <cell r="E59" t="str">
            <v>VP</v>
          </cell>
          <cell r="F59">
            <v>44994</v>
          </cell>
          <cell r="G59"/>
          <cell r="H59">
            <v>23.5</v>
          </cell>
          <cell r="I59">
            <v>0</v>
          </cell>
          <cell r="J59">
            <v>1</v>
          </cell>
          <cell r="K59">
            <v>2.5</v>
          </cell>
          <cell r="L59"/>
          <cell r="M59">
            <v>-2</v>
          </cell>
          <cell r="N59">
            <v>21</v>
          </cell>
          <cell r="O59">
            <v>0</v>
          </cell>
          <cell r="P59">
            <v>1</v>
          </cell>
          <cell r="Q59">
            <v>0</v>
          </cell>
          <cell r="R59"/>
          <cell r="S59">
            <v>-1</v>
          </cell>
          <cell r="T59" t="e">
            <v>#REF!</v>
          </cell>
          <cell r="U59">
            <v>0</v>
          </cell>
          <cell r="V59" t="e">
            <v>#REF!</v>
          </cell>
          <cell r="W59" t="e">
            <v>#REF!</v>
          </cell>
          <cell r="X59"/>
          <cell r="Y59">
            <v>-0.5</v>
          </cell>
          <cell r="Z59">
            <v>26</v>
          </cell>
          <cell r="AA59">
            <v>0</v>
          </cell>
          <cell r="AB59">
            <v>1</v>
          </cell>
          <cell r="AC59">
            <v>0</v>
          </cell>
          <cell r="AD59"/>
          <cell r="AE59">
            <v>0.5</v>
          </cell>
          <cell r="AF59">
            <v>24</v>
          </cell>
          <cell r="AG59">
            <v>0</v>
          </cell>
          <cell r="AH59">
            <v>1</v>
          </cell>
          <cell r="AI59">
            <v>0</v>
          </cell>
          <cell r="AJ59"/>
          <cell r="AK59">
            <v>1.5</v>
          </cell>
          <cell r="AL59">
            <v>25.5</v>
          </cell>
          <cell r="AM59">
            <v>0</v>
          </cell>
          <cell r="AN59">
            <v>1</v>
          </cell>
          <cell r="AO59">
            <v>0.5</v>
          </cell>
          <cell r="AP59"/>
          <cell r="AQ59">
            <v>2</v>
          </cell>
          <cell r="AR59">
            <v>25</v>
          </cell>
          <cell r="AS59">
            <v>0</v>
          </cell>
          <cell r="AT59">
            <v>1</v>
          </cell>
          <cell r="AU59">
            <v>0</v>
          </cell>
          <cell r="AV59"/>
          <cell r="AW59">
            <v>3</v>
          </cell>
          <cell r="AX59">
            <v>23</v>
          </cell>
          <cell r="AY59">
            <v>0</v>
          </cell>
          <cell r="AZ59">
            <v>1</v>
          </cell>
          <cell r="BA59">
            <v>4</v>
          </cell>
          <cell r="BB59"/>
          <cell r="BC59">
            <v>0</v>
          </cell>
          <cell r="BD59">
            <v>25.5</v>
          </cell>
          <cell r="BE59">
            <v>0</v>
          </cell>
          <cell r="BF59">
            <v>1</v>
          </cell>
          <cell r="BG59">
            <v>0.5</v>
          </cell>
          <cell r="BH59"/>
          <cell r="BI59">
            <v>0.5</v>
          </cell>
          <cell r="BJ59">
            <v>21.5</v>
          </cell>
          <cell r="BK59">
            <v>0</v>
          </cell>
          <cell r="BL59">
            <v>1</v>
          </cell>
          <cell r="BM59">
            <v>2.5</v>
          </cell>
          <cell r="BN59"/>
          <cell r="BO59">
            <v>-1</v>
          </cell>
          <cell r="BP59">
            <v>26.5</v>
          </cell>
          <cell r="BQ59">
            <v>0</v>
          </cell>
          <cell r="BR59">
            <v>1</v>
          </cell>
          <cell r="BS59">
            <v>0.5</v>
          </cell>
          <cell r="BT59"/>
          <cell r="BU59">
            <v>-0.5</v>
          </cell>
          <cell r="BV59">
            <v>24.5</v>
          </cell>
          <cell r="BW59">
            <v>0</v>
          </cell>
          <cell r="BX59">
            <v>1</v>
          </cell>
          <cell r="BY59">
            <v>0.5</v>
          </cell>
          <cell r="BZ59"/>
          <cell r="CA59">
            <v>0</v>
          </cell>
          <cell r="CB59">
            <v>26</v>
          </cell>
          <cell r="CC59">
            <v>0</v>
          </cell>
          <cell r="CD59">
            <v>1</v>
          </cell>
          <cell r="CE59">
            <v>1</v>
          </cell>
          <cell r="CF59"/>
          <cell r="CG59">
            <v>0</v>
          </cell>
          <cell r="CH59">
            <v>25</v>
          </cell>
          <cell r="CI59">
            <v>0</v>
          </cell>
          <cell r="CJ59">
            <v>1</v>
          </cell>
          <cell r="CK59">
            <v>1</v>
          </cell>
          <cell r="CL59"/>
          <cell r="CM59">
            <v>0</v>
          </cell>
          <cell r="CN59">
            <v>19</v>
          </cell>
          <cell r="CO59">
            <v>0</v>
          </cell>
          <cell r="CP59">
            <v>1</v>
          </cell>
          <cell r="CQ59">
            <v>0</v>
          </cell>
          <cell r="CR59"/>
          <cell r="CS59">
            <v>1</v>
          </cell>
          <cell r="CT59">
            <v>25</v>
          </cell>
          <cell r="CU59">
            <v>0</v>
          </cell>
          <cell r="CV59">
            <v>1</v>
          </cell>
          <cell r="CW59">
            <v>1</v>
          </cell>
          <cell r="CX59"/>
          <cell r="CY59">
            <v>1</v>
          </cell>
          <cell r="CZ59">
            <v>25</v>
          </cell>
          <cell r="DA59">
            <v>0</v>
          </cell>
          <cell r="DB59">
            <v>1</v>
          </cell>
          <cell r="DC59">
            <v>0</v>
          </cell>
          <cell r="DD59"/>
          <cell r="DE59">
            <v>2</v>
          </cell>
          <cell r="DF59">
            <v>2</v>
          </cell>
          <cell r="DG59">
            <v>0</v>
          </cell>
          <cell r="DH59">
            <v>0</v>
          </cell>
          <cell r="DI59">
            <v>0</v>
          </cell>
          <cell r="DJ59"/>
          <cell r="DK59">
            <v>2</v>
          </cell>
          <cell r="DL59">
            <v>3.2277777777777779</v>
          </cell>
        </row>
        <row r="60">
          <cell r="B60" t="str">
            <v>NV1357</v>
          </cell>
          <cell r="C60" t="str">
            <v>Văn Phòng</v>
          </cell>
          <cell r="D60" t="str">
            <v>Phan Thúy Quyên</v>
          </cell>
          <cell r="E60" t="str">
            <v>VP</v>
          </cell>
          <cell r="F60">
            <v>45616</v>
          </cell>
          <cell r="G60"/>
          <cell r="H60">
            <v>26</v>
          </cell>
          <cell r="I60" t="str">
            <v>x</v>
          </cell>
          <cell r="J60">
            <v>0</v>
          </cell>
          <cell r="K60">
            <v>0</v>
          </cell>
          <cell r="L60"/>
          <cell r="M60">
            <v>0</v>
          </cell>
          <cell r="N60">
            <v>22</v>
          </cell>
          <cell r="O60">
            <v>0</v>
          </cell>
          <cell r="P60">
            <v>1</v>
          </cell>
          <cell r="Q60">
            <v>0</v>
          </cell>
          <cell r="R60"/>
          <cell r="S60">
            <v>1</v>
          </cell>
          <cell r="T60" t="e">
            <v>#REF!</v>
          </cell>
          <cell r="U60">
            <v>0</v>
          </cell>
          <cell r="V60" t="e">
            <v>#REF!</v>
          </cell>
          <cell r="W60" t="e">
            <v>#REF!</v>
          </cell>
          <cell r="X60"/>
          <cell r="Y60">
            <v>2</v>
          </cell>
          <cell r="Z60">
            <v>25</v>
          </cell>
          <cell r="AA60">
            <v>0</v>
          </cell>
          <cell r="AB60">
            <v>1</v>
          </cell>
          <cell r="AC60">
            <v>1</v>
          </cell>
          <cell r="AD60"/>
          <cell r="AE60">
            <v>2</v>
          </cell>
          <cell r="AF60">
            <v>24</v>
          </cell>
          <cell r="AG60">
            <v>0</v>
          </cell>
          <cell r="AH60">
            <v>1</v>
          </cell>
          <cell r="AI60">
            <v>0</v>
          </cell>
          <cell r="AJ60"/>
          <cell r="AK60">
            <v>3</v>
          </cell>
          <cell r="AL60">
            <v>25.5</v>
          </cell>
          <cell r="AM60">
            <v>0</v>
          </cell>
          <cell r="AN60">
            <v>1</v>
          </cell>
          <cell r="AO60">
            <v>0.5</v>
          </cell>
          <cell r="AP60"/>
          <cell r="AQ60">
            <v>3.5</v>
          </cell>
          <cell r="AR60">
            <v>25</v>
          </cell>
          <cell r="AS60">
            <v>0</v>
          </cell>
          <cell r="AT60">
            <v>1</v>
          </cell>
          <cell r="AU60">
            <v>0</v>
          </cell>
          <cell r="AV60"/>
          <cell r="AW60">
            <v>4.5</v>
          </cell>
          <cell r="AX60">
            <v>26.5</v>
          </cell>
          <cell r="AY60">
            <v>0</v>
          </cell>
          <cell r="AZ60">
            <v>1</v>
          </cell>
          <cell r="BA60">
            <v>0.5</v>
          </cell>
          <cell r="BB60"/>
          <cell r="BC60">
            <v>5</v>
          </cell>
          <cell r="BD60">
            <v>26</v>
          </cell>
          <cell r="BE60">
            <v>0</v>
          </cell>
          <cell r="BF60">
            <v>1</v>
          </cell>
          <cell r="BG60">
            <v>0</v>
          </cell>
          <cell r="BH60"/>
          <cell r="BI60">
            <v>6</v>
          </cell>
          <cell r="BJ60">
            <v>22.5</v>
          </cell>
          <cell r="BK60">
            <v>0</v>
          </cell>
          <cell r="BL60">
            <v>1</v>
          </cell>
          <cell r="BM60">
            <v>1.5</v>
          </cell>
          <cell r="BN60"/>
          <cell r="BO60">
            <v>5.5</v>
          </cell>
          <cell r="BP60">
            <v>26.5</v>
          </cell>
          <cell r="BQ60">
            <v>0</v>
          </cell>
          <cell r="BR60">
            <v>1</v>
          </cell>
          <cell r="BS60">
            <v>0.5</v>
          </cell>
          <cell r="BT60"/>
          <cell r="BU60">
            <v>6</v>
          </cell>
          <cell r="BV60">
            <v>23</v>
          </cell>
          <cell r="BW60">
            <v>0</v>
          </cell>
          <cell r="BX60">
            <v>1</v>
          </cell>
          <cell r="BY60">
            <v>2</v>
          </cell>
          <cell r="BZ60"/>
          <cell r="CA60">
            <v>5</v>
          </cell>
          <cell r="CB60">
            <v>26</v>
          </cell>
          <cell r="CC60">
            <v>0</v>
          </cell>
          <cell r="CD60">
            <v>1</v>
          </cell>
          <cell r="CE60">
            <v>1</v>
          </cell>
          <cell r="CF60"/>
          <cell r="CG60">
            <v>5</v>
          </cell>
          <cell r="CH60">
            <v>25</v>
          </cell>
          <cell r="CI60">
            <v>0</v>
          </cell>
          <cell r="CJ60">
            <v>1</v>
          </cell>
          <cell r="CK60">
            <v>1</v>
          </cell>
          <cell r="CL60"/>
          <cell r="CM60">
            <v>5</v>
          </cell>
          <cell r="CN60">
            <v>19</v>
          </cell>
          <cell r="CO60">
            <v>0</v>
          </cell>
          <cell r="CP60">
            <v>1</v>
          </cell>
          <cell r="CQ60">
            <v>0</v>
          </cell>
          <cell r="CR60"/>
          <cell r="CS60">
            <v>6</v>
          </cell>
          <cell r="CT60">
            <v>24</v>
          </cell>
          <cell r="CU60">
            <v>0</v>
          </cell>
          <cell r="CV60">
            <v>1</v>
          </cell>
          <cell r="CW60">
            <v>2</v>
          </cell>
          <cell r="CX60"/>
          <cell r="CY60">
            <v>3</v>
          </cell>
          <cell r="CZ60">
            <v>25</v>
          </cell>
          <cell r="DA60">
            <v>0</v>
          </cell>
          <cell r="DB60">
            <v>1</v>
          </cell>
          <cell r="DC60">
            <v>0</v>
          </cell>
          <cell r="DD60"/>
          <cell r="DE60">
            <v>4</v>
          </cell>
          <cell r="DF60">
            <v>23.75</v>
          </cell>
          <cell r="DG60">
            <v>0</v>
          </cell>
          <cell r="DH60">
            <v>1</v>
          </cell>
          <cell r="DI60">
            <v>1</v>
          </cell>
          <cell r="DJ60"/>
          <cell r="DK60">
            <v>4</v>
          </cell>
          <cell r="DL60">
            <v>1.5305555555555554</v>
          </cell>
        </row>
        <row r="61">
          <cell r="B61" t="str">
            <v>NV1049</v>
          </cell>
          <cell r="C61" t="str">
            <v>Văn Phòng</v>
          </cell>
          <cell r="D61" t="str">
            <v>Nguyễn Tuấn Hiệp</v>
          </cell>
          <cell r="E61" t="str">
            <v>VP</v>
          </cell>
          <cell r="F61">
            <v>45148</v>
          </cell>
          <cell r="G61"/>
          <cell r="H61">
            <v>24</v>
          </cell>
          <cell r="I61">
            <v>0</v>
          </cell>
          <cell r="J61">
            <v>1</v>
          </cell>
          <cell r="K61">
            <v>2</v>
          </cell>
          <cell r="L61"/>
          <cell r="M61">
            <v>1</v>
          </cell>
          <cell r="N61">
            <v>22</v>
          </cell>
          <cell r="O61">
            <v>0</v>
          </cell>
          <cell r="P61">
            <v>1</v>
          </cell>
          <cell r="Q61">
            <v>0</v>
          </cell>
          <cell r="R61"/>
          <cell r="S61">
            <v>2</v>
          </cell>
          <cell r="T61" t="e">
            <v>#REF!</v>
          </cell>
          <cell r="U61">
            <v>0</v>
          </cell>
          <cell r="V61" t="e">
            <v>#REF!</v>
          </cell>
          <cell r="W61" t="e">
            <v>#REF!</v>
          </cell>
          <cell r="X61"/>
          <cell r="Y61">
            <v>3</v>
          </cell>
          <cell r="Z61">
            <v>26</v>
          </cell>
          <cell r="AA61">
            <v>0</v>
          </cell>
          <cell r="AB61">
            <v>1</v>
          </cell>
          <cell r="AC61">
            <v>0</v>
          </cell>
          <cell r="AD61"/>
          <cell r="AE61">
            <v>3</v>
          </cell>
          <cell r="AF61">
            <v>24</v>
          </cell>
          <cell r="AG61">
            <v>0</v>
          </cell>
          <cell r="AH61">
            <v>1</v>
          </cell>
          <cell r="AI61">
            <v>0</v>
          </cell>
          <cell r="AJ61"/>
          <cell r="AK61">
            <v>4</v>
          </cell>
          <cell r="AL61">
            <v>24</v>
          </cell>
          <cell r="AM61">
            <v>0</v>
          </cell>
          <cell r="AN61">
            <v>1</v>
          </cell>
          <cell r="AO61">
            <v>2</v>
          </cell>
          <cell r="AP61"/>
          <cell r="AQ61">
            <v>3</v>
          </cell>
          <cell r="AR61">
            <v>22</v>
          </cell>
          <cell r="AS61">
            <v>0</v>
          </cell>
          <cell r="AT61">
            <v>1</v>
          </cell>
          <cell r="AU61">
            <v>3</v>
          </cell>
          <cell r="AV61"/>
          <cell r="AW61">
            <v>1</v>
          </cell>
          <cell r="AX61">
            <v>27</v>
          </cell>
          <cell r="AY61">
            <v>0</v>
          </cell>
          <cell r="AZ61">
            <v>1</v>
          </cell>
          <cell r="BA61">
            <v>0</v>
          </cell>
          <cell r="BB61"/>
          <cell r="BC61">
            <v>2</v>
          </cell>
          <cell r="BD61">
            <v>26</v>
          </cell>
          <cell r="BE61">
            <v>0</v>
          </cell>
          <cell r="BF61">
            <v>1</v>
          </cell>
          <cell r="BG61">
            <v>0</v>
          </cell>
          <cell r="BH61"/>
          <cell r="BI61">
            <v>3</v>
          </cell>
          <cell r="BJ61">
            <v>24</v>
          </cell>
          <cell r="BK61">
            <v>0</v>
          </cell>
          <cell r="BL61">
            <v>1</v>
          </cell>
          <cell r="BM61">
            <v>0</v>
          </cell>
          <cell r="BN61"/>
          <cell r="BO61">
            <v>4</v>
          </cell>
          <cell r="BP61">
            <v>27</v>
          </cell>
          <cell r="BQ61">
            <v>0</v>
          </cell>
          <cell r="BR61">
            <v>1</v>
          </cell>
          <cell r="BS61">
            <v>0</v>
          </cell>
          <cell r="BT61"/>
          <cell r="BU61">
            <v>5</v>
          </cell>
          <cell r="BV61">
            <v>25</v>
          </cell>
          <cell r="BW61">
            <v>0</v>
          </cell>
          <cell r="BX61">
            <v>1</v>
          </cell>
          <cell r="BY61">
            <v>0</v>
          </cell>
          <cell r="BZ61"/>
          <cell r="CA61">
            <v>6</v>
          </cell>
          <cell r="CB61">
            <v>25</v>
          </cell>
          <cell r="CC61">
            <v>0</v>
          </cell>
          <cell r="CD61">
            <v>1</v>
          </cell>
          <cell r="CE61">
            <v>2</v>
          </cell>
          <cell r="CF61"/>
          <cell r="CG61">
            <v>5</v>
          </cell>
          <cell r="CH61">
            <v>26</v>
          </cell>
          <cell r="CI61">
            <v>0</v>
          </cell>
          <cell r="CJ61">
            <v>1</v>
          </cell>
          <cell r="CK61">
            <v>0</v>
          </cell>
          <cell r="CL61"/>
          <cell r="CM61">
            <v>6</v>
          </cell>
          <cell r="CN61">
            <v>19</v>
          </cell>
          <cell r="CO61">
            <v>0</v>
          </cell>
          <cell r="CP61">
            <v>1</v>
          </cell>
          <cell r="CQ61">
            <v>0</v>
          </cell>
          <cell r="CR61"/>
          <cell r="CS61">
            <v>7</v>
          </cell>
          <cell r="CT61">
            <v>24</v>
          </cell>
          <cell r="CU61">
            <v>0</v>
          </cell>
          <cell r="CV61">
            <v>1</v>
          </cell>
          <cell r="CW61">
            <v>2</v>
          </cell>
          <cell r="CX61"/>
          <cell r="CY61">
            <v>3</v>
          </cell>
          <cell r="CZ61">
            <v>24</v>
          </cell>
          <cell r="DA61">
            <v>0</v>
          </cell>
          <cell r="DB61">
            <v>1</v>
          </cell>
          <cell r="DC61">
            <v>0</v>
          </cell>
          <cell r="DD61"/>
          <cell r="DE61">
            <v>4</v>
          </cell>
          <cell r="DF61">
            <v>23.25</v>
          </cell>
          <cell r="DG61">
            <v>0</v>
          </cell>
          <cell r="DH61">
            <v>1</v>
          </cell>
          <cell r="DI61">
            <v>1.5</v>
          </cell>
          <cell r="DJ61"/>
          <cell r="DK61">
            <v>3.5</v>
          </cell>
          <cell r="DL61">
            <v>2.8083333333333331</v>
          </cell>
        </row>
        <row r="62">
          <cell r="B62" t="str">
            <v>NV0032</v>
          </cell>
          <cell r="C62" t="str">
            <v>Văn Phòng</v>
          </cell>
          <cell r="D62" t="str">
            <v>Huỳnh Ngọc Đến</v>
          </cell>
          <cell r="E62" t="str">
            <v>VP</v>
          </cell>
          <cell r="F62">
            <v>39387</v>
          </cell>
          <cell r="G62"/>
          <cell r="H62">
            <v>24</v>
          </cell>
          <cell r="I62">
            <v>0</v>
          </cell>
          <cell r="J62">
            <v>1</v>
          </cell>
          <cell r="K62">
            <v>2</v>
          </cell>
          <cell r="L62"/>
          <cell r="M62">
            <v>2.5</v>
          </cell>
          <cell r="N62">
            <v>22</v>
          </cell>
          <cell r="O62">
            <v>0</v>
          </cell>
          <cell r="P62">
            <v>1</v>
          </cell>
          <cell r="Q62">
            <v>0</v>
          </cell>
          <cell r="R62"/>
          <cell r="S62">
            <v>3.5</v>
          </cell>
          <cell r="T62" t="e">
            <v>#REF!</v>
          </cell>
          <cell r="U62">
            <v>0</v>
          </cell>
          <cell r="V62" t="e">
            <v>#REF!</v>
          </cell>
          <cell r="W62" t="e">
            <v>#REF!</v>
          </cell>
          <cell r="X62"/>
          <cell r="Y62">
            <v>4.5</v>
          </cell>
          <cell r="Z62">
            <v>26</v>
          </cell>
          <cell r="AA62">
            <v>0</v>
          </cell>
          <cell r="AB62">
            <v>1</v>
          </cell>
          <cell r="AC62">
            <v>0</v>
          </cell>
          <cell r="AD62"/>
          <cell r="AE62">
            <v>3</v>
          </cell>
          <cell r="AF62">
            <v>24</v>
          </cell>
          <cell r="AG62">
            <v>0</v>
          </cell>
          <cell r="AH62">
            <v>1</v>
          </cell>
          <cell r="AI62">
            <v>0</v>
          </cell>
          <cell r="AJ62"/>
          <cell r="AK62">
            <v>4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/>
          <cell r="AQ62">
            <v>4</v>
          </cell>
          <cell r="AR62">
            <v>25</v>
          </cell>
          <cell r="AS62">
            <v>0</v>
          </cell>
          <cell r="AT62">
            <v>1</v>
          </cell>
          <cell r="AU62">
            <v>0</v>
          </cell>
          <cell r="AV62"/>
          <cell r="AW62">
            <v>8</v>
          </cell>
          <cell r="AX62">
            <v>26</v>
          </cell>
          <cell r="AY62">
            <v>0</v>
          </cell>
          <cell r="AZ62">
            <v>1</v>
          </cell>
          <cell r="BA62">
            <v>1</v>
          </cell>
          <cell r="BB62"/>
          <cell r="BC62">
            <v>8</v>
          </cell>
          <cell r="BD62">
            <v>25</v>
          </cell>
          <cell r="BE62">
            <v>0</v>
          </cell>
          <cell r="BF62">
            <v>1</v>
          </cell>
          <cell r="BG62">
            <v>1</v>
          </cell>
          <cell r="BH62"/>
          <cell r="BI62">
            <v>8</v>
          </cell>
          <cell r="BJ62">
            <v>23</v>
          </cell>
          <cell r="BK62">
            <v>0</v>
          </cell>
          <cell r="BL62">
            <v>1</v>
          </cell>
          <cell r="BM62">
            <v>1</v>
          </cell>
          <cell r="BN62"/>
          <cell r="BO62">
            <v>8</v>
          </cell>
          <cell r="BP62">
            <v>27</v>
          </cell>
          <cell r="BQ62">
            <v>0</v>
          </cell>
          <cell r="BR62">
            <v>1</v>
          </cell>
          <cell r="BS62">
            <v>0</v>
          </cell>
          <cell r="BT62"/>
          <cell r="BU62">
            <v>9</v>
          </cell>
          <cell r="BV62">
            <v>24</v>
          </cell>
          <cell r="BW62">
            <v>0</v>
          </cell>
          <cell r="BX62">
            <v>1</v>
          </cell>
          <cell r="BY62">
            <v>1</v>
          </cell>
          <cell r="BZ62"/>
          <cell r="CA62">
            <v>9</v>
          </cell>
          <cell r="CB62">
            <v>26</v>
          </cell>
          <cell r="CC62">
            <v>0</v>
          </cell>
          <cell r="CD62">
            <v>1</v>
          </cell>
          <cell r="CE62">
            <v>1</v>
          </cell>
          <cell r="CF62"/>
          <cell r="CG62">
            <v>9</v>
          </cell>
          <cell r="CH62">
            <v>25</v>
          </cell>
          <cell r="CI62">
            <v>0</v>
          </cell>
          <cell r="CJ62">
            <v>1</v>
          </cell>
          <cell r="CK62">
            <v>1</v>
          </cell>
          <cell r="CL62"/>
          <cell r="CM62">
            <v>9</v>
          </cell>
          <cell r="CN62">
            <v>19</v>
          </cell>
          <cell r="CO62">
            <v>0</v>
          </cell>
          <cell r="CP62">
            <v>1</v>
          </cell>
          <cell r="CQ62">
            <v>0</v>
          </cell>
          <cell r="CR62"/>
          <cell r="CS62">
            <v>10</v>
          </cell>
          <cell r="CT62">
            <v>25</v>
          </cell>
          <cell r="CU62">
            <v>0</v>
          </cell>
          <cell r="CV62">
            <v>1</v>
          </cell>
          <cell r="CW62">
            <v>1</v>
          </cell>
          <cell r="CX62"/>
          <cell r="CY62">
            <v>1</v>
          </cell>
          <cell r="CZ62">
            <v>24</v>
          </cell>
          <cell r="DA62">
            <v>0</v>
          </cell>
          <cell r="DB62">
            <v>1</v>
          </cell>
          <cell r="DC62">
            <v>0</v>
          </cell>
          <cell r="DD62"/>
          <cell r="DE62">
            <v>2</v>
          </cell>
          <cell r="DF62">
            <v>24</v>
          </cell>
          <cell r="DG62">
            <v>0</v>
          </cell>
          <cell r="DH62">
            <v>1</v>
          </cell>
          <cell r="DI62">
            <v>1</v>
          </cell>
          <cell r="DJ62"/>
          <cell r="DK62">
            <v>2</v>
          </cell>
          <cell r="DL62">
            <v>18.583333333333332</v>
          </cell>
        </row>
        <row r="63">
          <cell r="B63" t="str">
            <v>NV0034</v>
          </cell>
          <cell r="C63" t="str">
            <v>Văn Phòng</v>
          </cell>
          <cell r="D63" t="str">
            <v>Huỳnh Ngọc Khánh</v>
          </cell>
          <cell r="E63" t="str">
            <v>VP</v>
          </cell>
          <cell r="F63">
            <v>39024</v>
          </cell>
          <cell r="G63"/>
          <cell r="H63">
            <v>26</v>
          </cell>
          <cell r="I63">
            <v>0</v>
          </cell>
          <cell r="J63">
            <v>1</v>
          </cell>
          <cell r="K63">
            <v>0</v>
          </cell>
          <cell r="L63"/>
          <cell r="M63">
            <v>-2</v>
          </cell>
          <cell r="N63">
            <v>21</v>
          </cell>
          <cell r="O63">
            <v>0</v>
          </cell>
          <cell r="P63">
            <v>1</v>
          </cell>
          <cell r="Q63">
            <v>1</v>
          </cell>
          <cell r="R63"/>
          <cell r="S63">
            <v>-2</v>
          </cell>
          <cell r="T63" t="e">
            <v>#REF!</v>
          </cell>
          <cell r="U63">
            <v>0</v>
          </cell>
          <cell r="V63" t="e">
            <v>#REF!</v>
          </cell>
          <cell r="W63" t="e">
            <v>#REF!</v>
          </cell>
          <cell r="X63"/>
          <cell r="Y63">
            <v>-1</v>
          </cell>
          <cell r="Z63">
            <v>26</v>
          </cell>
          <cell r="AA63">
            <v>0</v>
          </cell>
          <cell r="AB63">
            <v>1</v>
          </cell>
          <cell r="AC63">
            <v>0</v>
          </cell>
          <cell r="AD63"/>
          <cell r="AE63">
            <v>0</v>
          </cell>
          <cell r="AF63">
            <v>24</v>
          </cell>
          <cell r="AG63">
            <v>0</v>
          </cell>
          <cell r="AH63">
            <v>1</v>
          </cell>
          <cell r="AI63">
            <v>0</v>
          </cell>
          <cell r="AJ63"/>
          <cell r="AK63">
            <v>1</v>
          </cell>
          <cell r="AL63">
            <v>25</v>
          </cell>
          <cell r="AM63">
            <v>0</v>
          </cell>
          <cell r="AN63">
            <v>1</v>
          </cell>
          <cell r="AO63">
            <v>1</v>
          </cell>
          <cell r="AP63"/>
          <cell r="AQ63">
            <v>1</v>
          </cell>
          <cell r="AR63">
            <v>24</v>
          </cell>
          <cell r="AS63">
            <v>0</v>
          </cell>
          <cell r="AT63">
            <v>1</v>
          </cell>
          <cell r="AU63">
            <v>1</v>
          </cell>
          <cell r="AV63"/>
          <cell r="AW63">
            <v>4</v>
          </cell>
          <cell r="AX63">
            <v>25</v>
          </cell>
          <cell r="AY63">
            <v>0</v>
          </cell>
          <cell r="AZ63">
            <v>1</v>
          </cell>
          <cell r="BA63">
            <v>2</v>
          </cell>
          <cell r="BB63"/>
          <cell r="BC63">
            <v>3</v>
          </cell>
          <cell r="BD63">
            <v>26</v>
          </cell>
          <cell r="BE63">
            <v>0</v>
          </cell>
          <cell r="BF63">
            <v>1</v>
          </cell>
          <cell r="BG63">
            <v>0</v>
          </cell>
          <cell r="BH63"/>
          <cell r="BI63">
            <v>4</v>
          </cell>
          <cell r="BJ63">
            <v>23</v>
          </cell>
          <cell r="BK63">
            <v>0</v>
          </cell>
          <cell r="BL63">
            <v>1</v>
          </cell>
          <cell r="BM63">
            <v>1</v>
          </cell>
          <cell r="BN63"/>
          <cell r="BO63">
            <v>4</v>
          </cell>
          <cell r="BP63">
            <v>27</v>
          </cell>
          <cell r="BQ63">
            <v>0</v>
          </cell>
          <cell r="BR63">
            <v>1</v>
          </cell>
          <cell r="BS63">
            <v>0</v>
          </cell>
          <cell r="BT63"/>
          <cell r="BU63">
            <v>5</v>
          </cell>
          <cell r="BV63">
            <v>23</v>
          </cell>
          <cell r="BW63">
            <v>0</v>
          </cell>
          <cell r="BX63">
            <v>1</v>
          </cell>
          <cell r="BY63">
            <v>2</v>
          </cell>
          <cell r="BZ63"/>
          <cell r="CA63">
            <v>4</v>
          </cell>
          <cell r="CB63">
            <v>25</v>
          </cell>
          <cell r="CC63">
            <v>0</v>
          </cell>
          <cell r="CD63">
            <v>1</v>
          </cell>
          <cell r="CE63">
            <v>2</v>
          </cell>
          <cell r="CF63"/>
          <cell r="CG63">
            <v>3</v>
          </cell>
          <cell r="CH63">
            <v>26</v>
          </cell>
          <cell r="CI63">
            <v>0</v>
          </cell>
          <cell r="CJ63">
            <v>1</v>
          </cell>
          <cell r="CK63">
            <v>0</v>
          </cell>
          <cell r="CL63"/>
          <cell r="CM63">
            <v>4</v>
          </cell>
          <cell r="CN63">
            <v>19</v>
          </cell>
          <cell r="CO63">
            <v>0</v>
          </cell>
          <cell r="CP63">
            <v>1</v>
          </cell>
          <cell r="CQ63">
            <v>0</v>
          </cell>
          <cell r="CR63"/>
          <cell r="CS63">
            <v>5</v>
          </cell>
          <cell r="CT63">
            <v>25</v>
          </cell>
          <cell r="CU63">
            <v>0</v>
          </cell>
          <cell r="CV63">
            <v>1</v>
          </cell>
          <cell r="CW63">
            <v>1</v>
          </cell>
          <cell r="CX63"/>
          <cell r="CY63">
            <v>2</v>
          </cell>
          <cell r="CZ63">
            <v>24</v>
          </cell>
          <cell r="DA63">
            <v>0</v>
          </cell>
          <cell r="DB63">
            <v>1</v>
          </cell>
          <cell r="DC63">
            <v>0</v>
          </cell>
          <cell r="DD63"/>
          <cell r="DE63">
            <v>3</v>
          </cell>
          <cell r="DF63">
            <v>25</v>
          </cell>
          <cell r="DG63">
            <v>0</v>
          </cell>
          <cell r="DH63">
            <v>1</v>
          </cell>
          <cell r="DI63">
            <v>0</v>
          </cell>
          <cell r="DJ63"/>
          <cell r="DK63">
            <v>4</v>
          </cell>
          <cell r="DL63">
            <v>19.577777777777779</v>
          </cell>
        </row>
        <row r="64">
          <cell r="B64" t="str">
            <v>NV0036</v>
          </cell>
          <cell r="C64" t="str">
            <v>Văn Phòng</v>
          </cell>
          <cell r="D64" t="str">
            <v>Phạm Quốc Tuấn</v>
          </cell>
          <cell r="E64" t="str">
            <v>VP</v>
          </cell>
          <cell r="F64">
            <v>40765</v>
          </cell>
          <cell r="G64"/>
          <cell r="H64">
            <v>26</v>
          </cell>
          <cell r="I64">
            <v>0</v>
          </cell>
          <cell r="J64">
            <v>1</v>
          </cell>
          <cell r="K64">
            <v>0</v>
          </cell>
          <cell r="L64"/>
          <cell r="M64">
            <v>6.5</v>
          </cell>
          <cell r="N64">
            <v>22</v>
          </cell>
          <cell r="O64">
            <v>0</v>
          </cell>
          <cell r="P64">
            <v>1</v>
          </cell>
          <cell r="Q64">
            <v>0</v>
          </cell>
          <cell r="R64"/>
          <cell r="S64">
            <v>7.5</v>
          </cell>
          <cell r="T64" t="e">
            <v>#REF!</v>
          </cell>
          <cell r="U64">
            <v>0</v>
          </cell>
          <cell r="V64" t="e">
            <v>#REF!</v>
          </cell>
          <cell r="W64" t="e">
            <v>#REF!</v>
          </cell>
          <cell r="X64"/>
          <cell r="Y64">
            <v>6.5</v>
          </cell>
          <cell r="Z64">
            <v>23</v>
          </cell>
          <cell r="AA64">
            <v>0</v>
          </cell>
          <cell r="AB64">
            <v>1</v>
          </cell>
          <cell r="AC64">
            <v>3</v>
          </cell>
          <cell r="AD64"/>
          <cell r="AE64">
            <v>3</v>
          </cell>
          <cell r="AF64">
            <v>21.5</v>
          </cell>
          <cell r="AG64">
            <v>0</v>
          </cell>
          <cell r="AH64">
            <v>1</v>
          </cell>
          <cell r="AI64">
            <v>2.5</v>
          </cell>
          <cell r="AJ64"/>
          <cell r="AK64">
            <v>1.5</v>
          </cell>
          <cell r="AL64">
            <v>25</v>
          </cell>
          <cell r="AM64">
            <v>0</v>
          </cell>
          <cell r="AN64">
            <v>1</v>
          </cell>
          <cell r="AO64">
            <v>1</v>
          </cell>
          <cell r="AP64"/>
          <cell r="AQ64">
            <v>1.5</v>
          </cell>
          <cell r="AR64">
            <v>25</v>
          </cell>
          <cell r="AS64">
            <v>0</v>
          </cell>
          <cell r="AT64">
            <v>1</v>
          </cell>
          <cell r="AU64">
            <v>0</v>
          </cell>
          <cell r="AV64"/>
          <cell r="AW64">
            <v>4.5</v>
          </cell>
          <cell r="AX64">
            <v>26</v>
          </cell>
          <cell r="AY64">
            <v>0</v>
          </cell>
          <cell r="AZ64">
            <v>1</v>
          </cell>
          <cell r="BA64">
            <v>1</v>
          </cell>
          <cell r="BB64"/>
          <cell r="BC64">
            <v>4.5</v>
          </cell>
          <cell r="BD64">
            <v>25</v>
          </cell>
          <cell r="BE64">
            <v>0</v>
          </cell>
          <cell r="BF64">
            <v>1</v>
          </cell>
          <cell r="BG64">
            <v>1</v>
          </cell>
          <cell r="BH64"/>
          <cell r="BI64">
            <v>4.5</v>
          </cell>
          <cell r="BJ64">
            <v>23</v>
          </cell>
          <cell r="BK64">
            <v>0</v>
          </cell>
          <cell r="BL64">
            <v>1</v>
          </cell>
          <cell r="BM64">
            <v>1</v>
          </cell>
          <cell r="BN64"/>
          <cell r="BO64">
            <v>4.5</v>
          </cell>
          <cell r="BP64">
            <v>27</v>
          </cell>
          <cell r="BQ64">
            <v>0</v>
          </cell>
          <cell r="BR64">
            <v>1</v>
          </cell>
          <cell r="BS64">
            <v>0</v>
          </cell>
          <cell r="BT64"/>
          <cell r="BU64">
            <v>5.5</v>
          </cell>
          <cell r="BV64">
            <v>25</v>
          </cell>
          <cell r="BW64">
            <v>0</v>
          </cell>
          <cell r="BX64">
            <v>1</v>
          </cell>
          <cell r="BY64">
            <v>0</v>
          </cell>
          <cell r="BZ64"/>
          <cell r="CA64">
            <v>6.5</v>
          </cell>
          <cell r="CB64">
            <v>26</v>
          </cell>
          <cell r="CC64">
            <v>0</v>
          </cell>
          <cell r="CD64">
            <v>1</v>
          </cell>
          <cell r="CE64">
            <v>1</v>
          </cell>
          <cell r="CF64"/>
          <cell r="CG64">
            <v>6.5</v>
          </cell>
          <cell r="CH64">
            <v>25</v>
          </cell>
          <cell r="CI64">
            <v>0</v>
          </cell>
          <cell r="CJ64">
            <v>1</v>
          </cell>
          <cell r="CK64">
            <v>1</v>
          </cell>
          <cell r="CL64"/>
          <cell r="CM64">
            <v>6.5</v>
          </cell>
          <cell r="CN64">
            <v>19</v>
          </cell>
          <cell r="CO64">
            <v>0</v>
          </cell>
          <cell r="CP64">
            <v>1</v>
          </cell>
          <cell r="CQ64">
            <v>0</v>
          </cell>
          <cell r="CR64"/>
          <cell r="CS64">
            <v>7.5</v>
          </cell>
          <cell r="CT64">
            <v>26</v>
          </cell>
          <cell r="CU64">
            <v>0</v>
          </cell>
          <cell r="CV64">
            <v>1</v>
          </cell>
          <cell r="CW64">
            <v>0</v>
          </cell>
          <cell r="CX64"/>
          <cell r="CY64">
            <v>2</v>
          </cell>
          <cell r="CZ64">
            <v>23</v>
          </cell>
          <cell r="DA64">
            <v>0</v>
          </cell>
          <cell r="DB64">
            <v>1</v>
          </cell>
          <cell r="DC64">
            <v>1</v>
          </cell>
          <cell r="DD64"/>
          <cell r="DE64">
            <v>2</v>
          </cell>
          <cell r="DF64">
            <v>25</v>
          </cell>
          <cell r="DG64">
            <v>0</v>
          </cell>
          <cell r="DH64">
            <v>1</v>
          </cell>
          <cell r="DI64">
            <v>1</v>
          </cell>
          <cell r="DJ64"/>
          <cell r="DK64">
            <v>2</v>
          </cell>
          <cell r="DL64">
            <v>14.808333333333334</v>
          </cell>
        </row>
        <row r="65">
          <cell r="B65" t="str">
            <v>NV0038</v>
          </cell>
          <cell r="C65" t="str">
            <v>Văn Phòng</v>
          </cell>
          <cell r="D65" t="str">
            <v>Lê Hoàng Việt</v>
          </cell>
          <cell r="E65" t="str">
            <v>VP</v>
          </cell>
          <cell r="F65">
            <v>41863</v>
          </cell>
          <cell r="G65"/>
          <cell r="H65">
            <v>26</v>
          </cell>
          <cell r="I65">
            <v>0</v>
          </cell>
          <cell r="J65">
            <v>1</v>
          </cell>
          <cell r="K65">
            <v>0</v>
          </cell>
          <cell r="L65"/>
          <cell r="M65">
            <v>0.5</v>
          </cell>
          <cell r="N65">
            <v>22</v>
          </cell>
          <cell r="O65">
            <v>0</v>
          </cell>
          <cell r="P65">
            <v>1</v>
          </cell>
          <cell r="Q65">
            <v>0</v>
          </cell>
          <cell r="R65"/>
          <cell r="S65">
            <v>1.5</v>
          </cell>
          <cell r="T65" t="e">
            <v>#REF!</v>
          </cell>
          <cell r="U65">
            <v>0</v>
          </cell>
          <cell r="V65" t="e">
            <v>#REF!</v>
          </cell>
          <cell r="W65" t="e">
            <v>#REF!</v>
          </cell>
          <cell r="X65"/>
          <cell r="Y65">
            <v>1.5</v>
          </cell>
          <cell r="Z65">
            <v>24.5</v>
          </cell>
          <cell r="AA65">
            <v>0</v>
          </cell>
          <cell r="AB65">
            <v>1</v>
          </cell>
          <cell r="AC65">
            <v>1.5</v>
          </cell>
          <cell r="AD65"/>
          <cell r="AE65">
            <v>1</v>
          </cell>
          <cell r="AF65">
            <v>24</v>
          </cell>
          <cell r="AG65">
            <v>0</v>
          </cell>
          <cell r="AH65">
            <v>1</v>
          </cell>
          <cell r="AI65">
            <v>0</v>
          </cell>
          <cell r="AJ65"/>
          <cell r="AK65">
            <v>2</v>
          </cell>
          <cell r="AL65">
            <v>25</v>
          </cell>
          <cell r="AM65">
            <v>0</v>
          </cell>
          <cell r="AN65">
            <v>1</v>
          </cell>
          <cell r="AO65">
            <v>1</v>
          </cell>
          <cell r="AP65"/>
          <cell r="AQ65">
            <v>2</v>
          </cell>
          <cell r="AR65">
            <v>24</v>
          </cell>
          <cell r="AS65">
            <v>0</v>
          </cell>
          <cell r="AT65">
            <v>1</v>
          </cell>
          <cell r="AU65">
            <v>1</v>
          </cell>
          <cell r="AV65"/>
          <cell r="AW65">
            <v>4</v>
          </cell>
          <cell r="AX65">
            <v>26</v>
          </cell>
          <cell r="AY65">
            <v>0</v>
          </cell>
          <cell r="AZ65">
            <v>1</v>
          </cell>
          <cell r="BA65">
            <v>1</v>
          </cell>
          <cell r="BB65"/>
          <cell r="BC65">
            <v>4</v>
          </cell>
          <cell r="BD65">
            <v>26</v>
          </cell>
          <cell r="BE65">
            <v>0</v>
          </cell>
          <cell r="BF65">
            <v>1</v>
          </cell>
          <cell r="BG65">
            <v>0</v>
          </cell>
          <cell r="BH65"/>
          <cell r="BI65">
            <v>5</v>
          </cell>
          <cell r="BJ65">
            <v>15</v>
          </cell>
          <cell r="BK65">
            <v>0</v>
          </cell>
          <cell r="BL65">
            <v>1</v>
          </cell>
          <cell r="BM65">
            <v>7</v>
          </cell>
          <cell r="BN65"/>
          <cell r="BO65">
            <v>-1</v>
          </cell>
          <cell r="BP65">
            <v>15</v>
          </cell>
          <cell r="BQ65">
            <v>0</v>
          </cell>
          <cell r="BR65">
            <v>1</v>
          </cell>
          <cell r="BS65">
            <v>0</v>
          </cell>
          <cell r="BT65"/>
          <cell r="BU65">
            <v>0</v>
          </cell>
          <cell r="BV65">
            <v>24.5</v>
          </cell>
          <cell r="BW65">
            <v>0</v>
          </cell>
          <cell r="BX65">
            <v>1</v>
          </cell>
          <cell r="BY65">
            <v>0.5</v>
          </cell>
          <cell r="BZ65"/>
          <cell r="CA65">
            <v>0.5</v>
          </cell>
          <cell r="CB65">
            <v>27</v>
          </cell>
          <cell r="CC65">
            <v>0</v>
          </cell>
          <cell r="CD65">
            <v>1</v>
          </cell>
          <cell r="CE65">
            <v>0</v>
          </cell>
          <cell r="CF65"/>
          <cell r="CG65">
            <v>1.5</v>
          </cell>
          <cell r="CH65">
            <v>21</v>
          </cell>
          <cell r="CI65">
            <v>0</v>
          </cell>
          <cell r="CJ65">
            <v>1</v>
          </cell>
          <cell r="CK65">
            <v>1</v>
          </cell>
          <cell r="CL65"/>
          <cell r="CM65">
            <v>1.5</v>
          </cell>
          <cell r="CN65">
            <v>19</v>
          </cell>
          <cell r="CO65">
            <v>0</v>
          </cell>
          <cell r="CP65">
            <v>1</v>
          </cell>
          <cell r="CQ65">
            <v>0</v>
          </cell>
          <cell r="CR65"/>
          <cell r="CS65">
            <v>2.5</v>
          </cell>
          <cell r="CT65">
            <v>26</v>
          </cell>
          <cell r="CU65">
            <v>0</v>
          </cell>
          <cell r="CV65">
            <v>1</v>
          </cell>
          <cell r="CW65">
            <v>0</v>
          </cell>
          <cell r="CX65"/>
          <cell r="CY65">
            <v>2</v>
          </cell>
          <cell r="CZ65">
            <v>24</v>
          </cell>
          <cell r="DA65">
            <v>0</v>
          </cell>
          <cell r="DB65">
            <v>1</v>
          </cell>
          <cell r="DC65">
            <v>1</v>
          </cell>
          <cell r="DD65"/>
          <cell r="DE65">
            <v>2</v>
          </cell>
          <cell r="DF65">
            <v>25</v>
          </cell>
          <cell r="DG65">
            <v>0</v>
          </cell>
          <cell r="DH65">
            <v>1</v>
          </cell>
          <cell r="DI65">
            <v>0</v>
          </cell>
          <cell r="DJ65"/>
          <cell r="DK65">
            <v>3</v>
          </cell>
          <cell r="DL65">
            <v>11.802777777777777</v>
          </cell>
        </row>
        <row r="66">
          <cell r="B66" t="str">
            <v>NV0584</v>
          </cell>
          <cell r="C66" t="str">
            <v>Văn Phòng</v>
          </cell>
          <cell r="D66" t="str">
            <v>Phùng Văn Quyền</v>
          </cell>
          <cell r="E66" t="str">
            <v>VP</v>
          </cell>
          <cell r="F66">
            <v>43923</v>
          </cell>
          <cell r="G66"/>
          <cell r="H66">
            <v>26</v>
          </cell>
          <cell r="I66">
            <v>0</v>
          </cell>
          <cell r="J66">
            <v>1</v>
          </cell>
          <cell r="K66">
            <v>0</v>
          </cell>
          <cell r="L66"/>
          <cell r="M66">
            <v>5.5</v>
          </cell>
          <cell r="N66">
            <v>21</v>
          </cell>
          <cell r="O66">
            <v>0</v>
          </cell>
          <cell r="P66">
            <v>1</v>
          </cell>
          <cell r="Q66">
            <v>1</v>
          </cell>
          <cell r="R66"/>
          <cell r="S66">
            <v>5.5</v>
          </cell>
          <cell r="T66" t="e">
            <v>#REF!</v>
          </cell>
          <cell r="U66">
            <v>0</v>
          </cell>
          <cell r="V66" t="e">
            <v>#REF!</v>
          </cell>
          <cell r="W66" t="e">
            <v>#REF!</v>
          </cell>
          <cell r="X66"/>
          <cell r="Y66">
            <v>5.5</v>
          </cell>
          <cell r="Z66">
            <v>25</v>
          </cell>
          <cell r="AA66">
            <v>0</v>
          </cell>
          <cell r="AB66">
            <v>1</v>
          </cell>
          <cell r="AC66">
            <v>1</v>
          </cell>
          <cell r="AD66"/>
          <cell r="AE66">
            <v>3</v>
          </cell>
          <cell r="AF66">
            <v>23</v>
          </cell>
          <cell r="AG66">
            <v>0</v>
          </cell>
          <cell r="AH66">
            <v>1</v>
          </cell>
          <cell r="AI66">
            <v>1</v>
          </cell>
          <cell r="AJ66"/>
          <cell r="AK66">
            <v>3</v>
          </cell>
          <cell r="AL66">
            <v>26</v>
          </cell>
          <cell r="AM66">
            <v>0</v>
          </cell>
          <cell r="AN66">
            <v>1</v>
          </cell>
          <cell r="AO66">
            <v>0</v>
          </cell>
          <cell r="AP66"/>
          <cell r="AQ66">
            <v>4</v>
          </cell>
          <cell r="AR66">
            <v>24</v>
          </cell>
          <cell r="AS66">
            <v>0</v>
          </cell>
          <cell r="AT66">
            <v>1</v>
          </cell>
          <cell r="AU66">
            <v>1</v>
          </cell>
          <cell r="AV66"/>
          <cell r="AW66">
            <v>5</v>
          </cell>
          <cell r="AX66">
            <v>26</v>
          </cell>
          <cell r="AY66">
            <v>0</v>
          </cell>
          <cell r="AZ66">
            <v>1</v>
          </cell>
          <cell r="BA66">
            <v>1</v>
          </cell>
          <cell r="BB66"/>
          <cell r="BC66">
            <v>5</v>
          </cell>
          <cell r="BD66">
            <v>26</v>
          </cell>
          <cell r="BE66">
            <v>0</v>
          </cell>
          <cell r="BF66">
            <v>1</v>
          </cell>
          <cell r="BG66">
            <v>0</v>
          </cell>
          <cell r="BH66"/>
          <cell r="BI66">
            <v>6</v>
          </cell>
          <cell r="BJ66">
            <v>23</v>
          </cell>
          <cell r="BK66">
            <v>0</v>
          </cell>
          <cell r="BL66">
            <v>1</v>
          </cell>
          <cell r="BM66">
            <v>1</v>
          </cell>
          <cell r="BN66"/>
          <cell r="BO66">
            <v>6</v>
          </cell>
          <cell r="BP66">
            <v>26</v>
          </cell>
          <cell r="BQ66">
            <v>0</v>
          </cell>
          <cell r="BR66">
            <v>1</v>
          </cell>
          <cell r="BS66">
            <v>1</v>
          </cell>
          <cell r="BT66"/>
          <cell r="BU66">
            <v>6</v>
          </cell>
          <cell r="BV66">
            <v>25</v>
          </cell>
          <cell r="BW66">
            <v>0</v>
          </cell>
          <cell r="BX66">
            <v>1</v>
          </cell>
          <cell r="BY66">
            <v>0</v>
          </cell>
          <cell r="BZ66"/>
          <cell r="CA66">
            <v>7</v>
          </cell>
          <cell r="CB66">
            <v>26</v>
          </cell>
          <cell r="CC66">
            <v>0</v>
          </cell>
          <cell r="CD66">
            <v>1</v>
          </cell>
          <cell r="CE66">
            <v>1</v>
          </cell>
          <cell r="CF66"/>
          <cell r="CG66">
            <v>7</v>
          </cell>
          <cell r="CH66">
            <v>26</v>
          </cell>
          <cell r="CI66">
            <v>0</v>
          </cell>
          <cell r="CJ66">
            <v>1</v>
          </cell>
          <cell r="CK66">
            <v>0</v>
          </cell>
          <cell r="CL66"/>
          <cell r="CM66">
            <v>8</v>
          </cell>
          <cell r="CN66">
            <v>19</v>
          </cell>
          <cell r="CO66">
            <v>0</v>
          </cell>
          <cell r="CP66">
            <v>1</v>
          </cell>
          <cell r="CQ66">
            <v>0</v>
          </cell>
          <cell r="CR66"/>
          <cell r="CS66">
            <v>9</v>
          </cell>
          <cell r="CT66">
            <v>26</v>
          </cell>
          <cell r="CU66">
            <v>0</v>
          </cell>
          <cell r="CV66">
            <v>1</v>
          </cell>
          <cell r="CW66">
            <v>0</v>
          </cell>
          <cell r="CX66"/>
          <cell r="CY66">
            <v>3</v>
          </cell>
          <cell r="CZ66">
            <v>26</v>
          </cell>
          <cell r="DA66">
            <v>0</v>
          </cell>
          <cell r="DB66">
            <v>1</v>
          </cell>
          <cell r="DC66">
            <v>0</v>
          </cell>
          <cell r="DD66"/>
          <cell r="DE66">
            <v>4</v>
          </cell>
          <cell r="DF66">
            <v>26</v>
          </cell>
          <cell r="DG66">
            <v>0</v>
          </cell>
          <cell r="DH66">
            <v>1</v>
          </cell>
          <cell r="DI66">
            <v>0</v>
          </cell>
          <cell r="DJ66"/>
          <cell r="DK66">
            <v>5</v>
          </cell>
          <cell r="DL66">
            <v>6.1638888888888888</v>
          </cell>
        </row>
        <row r="67">
          <cell r="B67" t="str">
            <v>NV0603</v>
          </cell>
          <cell r="C67" t="str">
            <v>Văn Phòng</v>
          </cell>
          <cell r="D67" t="str">
            <v xml:space="preserve">Hoàng Phi Hải </v>
          </cell>
          <cell r="E67" t="str">
            <v>VP</v>
          </cell>
          <cell r="F67">
            <v>43969</v>
          </cell>
          <cell r="G67"/>
          <cell r="H67">
            <v>21</v>
          </cell>
          <cell r="I67">
            <v>0</v>
          </cell>
          <cell r="J67">
            <v>1</v>
          </cell>
          <cell r="K67">
            <v>2</v>
          </cell>
          <cell r="L67"/>
          <cell r="M67">
            <v>2</v>
          </cell>
          <cell r="N67">
            <v>22</v>
          </cell>
          <cell r="O67">
            <v>0</v>
          </cell>
          <cell r="P67">
            <v>1</v>
          </cell>
          <cell r="Q67">
            <v>0</v>
          </cell>
          <cell r="R67"/>
          <cell r="S67">
            <v>3</v>
          </cell>
          <cell r="T67" t="e">
            <v>#REF!</v>
          </cell>
          <cell r="U67">
            <v>0</v>
          </cell>
          <cell r="V67" t="e">
            <v>#REF!</v>
          </cell>
          <cell r="W67" t="e">
            <v>#REF!</v>
          </cell>
          <cell r="X67"/>
          <cell r="Y67">
            <v>3</v>
          </cell>
          <cell r="Z67">
            <v>25</v>
          </cell>
          <cell r="AA67">
            <v>0</v>
          </cell>
          <cell r="AB67">
            <v>1</v>
          </cell>
          <cell r="AC67">
            <v>1</v>
          </cell>
          <cell r="AD67"/>
          <cell r="AE67">
            <v>3</v>
          </cell>
          <cell r="AF67">
            <v>23</v>
          </cell>
          <cell r="AG67">
            <v>0</v>
          </cell>
          <cell r="AH67">
            <v>1</v>
          </cell>
          <cell r="AI67">
            <v>1</v>
          </cell>
          <cell r="AJ67"/>
          <cell r="AK67">
            <v>3</v>
          </cell>
          <cell r="AL67">
            <v>25</v>
          </cell>
          <cell r="AM67">
            <v>0</v>
          </cell>
          <cell r="AN67">
            <v>1</v>
          </cell>
          <cell r="AO67">
            <v>1</v>
          </cell>
          <cell r="AP67"/>
          <cell r="AQ67">
            <v>3</v>
          </cell>
          <cell r="AR67">
            <v>24</v>
          </cell>
          <cell r="AS67">
            <v>0</v>
          </cell>
          <cell r="AT67">
            <v>1</v>
          </cell>
          <cell r="AU67">
            <v>1</v>
          </cell>
          <cell r="AV67"/>
          <cell r="AW67">
            <v>4</v>
          </cell>
          <cell r="AX67">
            <v>26</v>
          </cell>
          <cell r="AY67">
            <v>0</v>
          </cell>
          <cell r="AZ67">
            <v>1</v>
          </cell>
          <cell r="BA67">
            <v>1</v>
          </cell>
          <cell r="BB67"/>
          <cell r="BC67">
            <v>4</v>
          </cell>
          <cell r="BD67">
            <v>26</v>
          </cell>
          <cell r="BE67">
            <v>0</v>
          </cell>
          <cell r="BF67">
            <v>1</v>
          </cell>
          <cell r="BG67">
            <v>0</v>
          </cell>
          <cell r="BH67"/>
          <cell r="BI67">
            <v>5</v>
          </cell>
          <cell r="BJ67">
            <v>22</v>
          </cell>
          <cell r="BK67">
            <v>0</v>
          </cell>
          <cell r="BL67">
            <v>1</v>
          </cell>
          <cell r="BM67">
            <v>1</v>
          </cell>
          <cell r="BN67"/>
          <cell r="BO67">
            <v>5</v>
          </cell>
          <cell r="BP67">
            <v>26</v>
          </cell>
          <cell r="BQ67">
            <v>0</v>
          </cell>
          <cell r="BR67">
            <v>1</v>
          </cell>
          <cell r="BS67">
            <v>1</v>
          </cell>
          <cell r="BT67"/>
          <cell r="BU67">
            <v>5</v>
          </cell>
          <cell r="BV67">
            <v>24</v>
          </cell>
          <cell r="BW67">
            <v>0</v>
          </cell>
          <cell r="BX67">
            <v>1</v>
          </cell>
          <cell r="BY67">
            <v>1</v>
          </cell>
          <cell r="BZ67"/>
          <cell r="CA67">
            <v>5</v>
          </cell>
          <cell r="CB67">
            <v>25</v>
          </cell>
          <cell r="CC67">
            <v>0</v>
          </cell>
          <cell r="CD67">
            <v>1</v>
          </cell>
          <cell r="CE67">
            <v>2</v>
          </cell>
          <cell r="CF67"/>
          <cell r="CG67">
            <v>4</v>
          </cell>
          <cell r="CH67">
            <v>25</v>
          </cell>
          <cell r="CI67">
            <v>0</v>
          </cell>
          <cell r="CJ67">
            <v>1</v>
          </cell>
          <cell r="CK67">
            <v>1</v>
          </cell>
          <cell r="CL67"/>
          <cell r="CM67">
            <v>4</v>
          </cell>
          <cell r="CN67">
            <v>18</v>
          </cell>
          <cell r="CO67">
            <v>0</v>
          </cell>
          <cell r="CP67">
            <v>1</v>
          </cell>
          <cell r="CQ67">
            <v>1</v>
          </cell>
          <cell r="CR67"/>
          <cell r="CS67">
            <v>4</v>
          </cell>
          <cell r="CT67">
            <v>25</v>
          </cell>
          <cell r="CU67">
            <v>0</v>
          </cell>
          <cell r="CV67">
            <v>1</v>
          </cell>
          <cell r="CW67">
            <v>1</v>
          </cell>
          <cell r="CX67"/>
          <cell r="CY67">
            <v>0</v>
          </cell>
          <cell r="CZ67">
            <v>25</v>
          </cell>
          <cell r="DA67">
            <v>0</v>
          </cell>
          <cell r="DB67">
            <v>1</v>
          </cell>
          <cell r="DC67">
            <v>0</v>
          </cell>
          <cell r="DD67"/>
          <cell r="DE67">
            <v>1</v>
          </cell>
          <cell r="DF67">
            <v>24.875</v>
          </cell>
          <cell r="DG67">
            <v>0</v>
          </cell>
          <cell r="DH67">
            <v>1</v>
          </cell>
          <cell r="DI67">
            <v>0</v>
          </cell>
          <cell r="DJ67"/>
          <cell r="DK67">
            <v>2</v>
          </cell>
          <cell r="DL67">
            <v>6.0361111111111114</v>
          </cell>
        </row>
        <row r="68">
          <cell r="B68" t="str">
            <v>NV0643</v>
          </cell>
          <cell r="C68" t="str">
            <v>Văn Phòng</v>
          </cell>
          <cell r="D68" t="str">
            <v xml:space="preserve">Nguyễn Văn Trắng </v>
          </cell>
          <cell r="E68" t="str">
            <v>VP</v>
          </cell>
          <cell r="F68">
            <v>44053</v>
          </cell>
          <cell r="G68"/>
          <cell r="H68">
            <v>25</v>
          </cell>
          <cell r="I68">
            <v>0</v>
          </cell>
          <cell r="J68">
            <v>1</v>
          </cell>
          <cell r="K68">
            <v>1</v>
          </cell>
          <cell r="L68"/>
          <cell r="M68">
            <v>2</v>
          </cell>
          <cell r="N68">
            <v>22</v>
          </cell>
          <cell r="O68">
            <v>0</v>
          </cell>
          <cell r="P68">
            <v>1</v>
          </cell>
          <cell r="Q68">
            <v>0</v>
          </cell>
          <cell r="R68"/>
          <cell r="S68">
            <v>3</v>
          </cell>
          <cell r="T68" t="e">
            <v>#REF!</v>
          </cell>
          <cell r="U68">
            <v>0</v>
          </cell>
          <cell r="V68" t="e">
            <v>#REF!</v>
          </cell>
          <cell r="W68" t="e">
            <v>#REF!</v>
          </cell>
          <cell r="X68"/>
          <cell r="Y68">
            <v>1</v>
          </cell>
          <cell r="Z68">
            <v>25</v>
          </cell>
          <cell r="AA68">
            <v>0</v>
          </cell>
          <cell r="AB68">
            <v>1</v>
          </cell>
          <cell r="AC68">
            <v>1</v>
          </cell>
          <cell r="AD68"/>
          <cell r="AE68">
            <v>1</v>
          </cell>
          <cell r="AF68">
            <v>24</v>
          </cell>
          <cell r="AG68">
            <v>0</v>
          </cell>
          <cell r="AH68">
            <v>1</v>
          </cell>
          <cell r="AI68">
            <v>0</v>
          </cell>
          <cell r="AJ68"/>
          <cell r="AK68">
            <v>2</v>
          </cell>
          <cell r="AL68">
            <v>26</v>
          </cell>
          <cell r="AM68">
            <v>0</v>
          </cell>
          <cell r="AN68">
            <v>1</v>
          </cell>
          <cell r="AO68">
            <v>0</v>
          </cell>
          <cell r="AP68"/>
          <cell r="AQ68">
            <v>3</v>
          </cell>
          <cell r="AR68">
            <v>21</v>
          </cell>
          <cell r="AS68">
            <v>0</v>
          </cell>
          <cell r="AT68">
            <v>1</v>
          </cell>
          <cell r="AU68">
            <v>4</v>
          </cell>
          <cell r="AV68"/>
          <cell r="AW68">
            <v>1</v>
          </cell>
          <cell r="AX68">
            <v>27</v>
          </cell>
          <cell r="AY68">
            <v>0</v>
          </cell>
          <cell r="AZ68">
            <v>1</v>
          </cell>
          <cell r="BA68">
            <v>0</v>
          </cell>
          <cell r="BB68"/>
          <cell r="BC68">
            <v>2</v>
          </cell>
          <cell r="BD68">
            <v>25</v>
          </cell>
          <cell r="BE68">
            <v>0</v>
          </cell>
          <cell r="BF68">
            <v>1</v>
          </cell>
          <cell r="BG68">
            <v>1</v>
          </cell>
          <cell r="BH68"/>
          <cell r="BI68">
            <v>2</v>
          </cell>
          <cell r="BJ68">
            <v>24</v>
          </cell>
          <cell r="BK68">
            <v>0</v>
          </cell>
          <cell r="BL68">
            <v>1</v>
          </cell>
          <cell r="BM68">
            <v>0</v>
          </cell>
          <cell r="BN68"/>
          <cell r="BO68">
            <v>3</v>
          </cell>
          <cell r="BP68">
            <v>27</v>
          </cell>
          <cell r="BQ68">
            <v>0</v>
          </cell>
          <cell r="BR68">
            <v>1</v>
          </cell>
          <cell r="BS68">
            <v>0</v>
          </cell>
          <cell r="BT68"/>
          <cell r="BU68">
            <v>4</v>
          </cell>
          <cell r="BV68">
            <v>24</v>
          </cell>
          <cell r="BW68">
            <v>0</v>
          </cell>
          <cell r="BX68">
            <v>1</v>
          </cell>
          <cell r="BY68">
            <v>1</v>
          </cell>
          <cell r="BZ68"/>
          <cell r="CA68">
            <v>4</v>
          </cell>
          <cell r="CB68">
            <v>27</v>
          </cell>
          <cell r="CC68">
            <v>0</v>
          </cell>
          <cell r="CD68">
            <v>1</v>
          </cell>
          <cell r="CE68">
            <v>0</v>
          </cell>
          <cell r="CF68"/>
          <cell r="CG68">
            <v>5</v>
          </cell>
          <cell r="CH68">
            <v>24</v>
          </cell>
          <cell r="CI68">
            <v>0</v>
          </cell>
          <cell r="CJ68">
            <v>1</v>
          </cell>
          <cell r="CK68">
            <v>2</v>
          </cell>
          <cell r="CL68"/>
          <cell r="CM68">
            <v>4</v>
          </cell>
          <cell r="CN68">
            <v>17</v>
          </cell>
          <cell r="CO68">
            <v>0</v>
          </cell>
          <cell r="CP68">
            <v>1</v>
          </cell>
          <cell r="CQ68">
            <v>2</v>
          </cell>
          <cell r="CR68"/>
          <cell r="CS68">
            <v>3</v>
          </cell>
          <cell r="CT68">
            <v>26</v>
          </cell>
          <cell r="CU68">
            <v>0</v>
          </cell>
          <cell r="CV68">
            <v>1</v>
          </cell>
          <cell r="CW68">
            <v>0</v>
          </cell>
          <cell r="CX68"/>
          <cell r="CY68">
            <v>-1</v>
          </cell>
          <cell r="CZ68">
            <v>23</v>
          </cell>
          <cell r="DA68">
            <v>0</v>
          </cell>
          <cell r="DB68">
            <v>1</v>
          </cell>
          <cell r="DC68">
            <v>0</v>
          </cell>
          <cell r="DD68"/>
          <cell r="DE68">
            <v>0</v>
          </cell>
          <cell r="DF68">
            <v>25</v>
          </cell>
          <cell r="DG68">
            <v>0</v>
          </cell>
          <cell r="DH68">
            <v>1</v>
          </cell>
          <cell r="DI68">
            <v>0</v>
          </cell>
          <cell r="DJ68"/>
          <cell r="DK68">
            <v>1</v>
          </cell>
          <cell r="DL68">
            <v>5.8083333333333336</v>
          </cell>
        </row>
        <row r="69">
          <cell r="B69" t="str">
            <v>NV0917</v>
          </cell>
          <cell r="C69" t="str">
            <v>Văn Phòng</v>
          </cell>
          <cell r="D69" t="str">
            <v>Hà Công Hậu</v>
          </cell>
          <cell r="E69" t="str">
            <v>VP</v>
          </cell>
          <cell r="F69">
            <v>44984</v>
          </cell>
          <cell r="G69"/>
          <cell r="H69">
            <v>26</v>
          </cell>
          <cell r="I69">
            <v>0</v>
          </cell>
          <cell r="J69">
            <v>1</v>
          </cell>
          <cell r="K69">
            <v>0</v>
          </cell>
          <cell r="L69"/>
          <cell r="M69">
            <v>2</v>
          </cell>
          <cell r="N69">
            <v>20</v>
          </cell>
          <cell r="O69">
            <v>0</v>
          </cell>
          <cell r="P69">
            <v>1</v>
          </cell>
          <cell r="Q69">
            <v>2</v>
          </cell>
          <cell r="R69"/>
          <cell r="S69">
            <v>1</v>
          </cell>
          <cell r="T69" t="e">
            <v>#REF!</v>
          </cell>
          <cell r="U69">
            <v>0</v>
          </cell>
          <cell r="V69" t="e">
            <v>#REF!</v>
          </cell>
          <cell r="W69" t="e">
            <v>#REF!</v>
          </cell>
          <cell r="X69"/>
          <cell r="Y69">
            <v>2</v>
          </cell>
          <cell r="Z69">
            <v>25</v>
          </cell>
          <cell r="AA69">
            <v>0</v>
          </cell>
          <cell r="AB69">
            <v>1</v>
          </cell>
          <cell r="AC69">
            <v>1</v>
          </cell>
          <cell r="AD69"/>
          <cell r="AE69">
            <v>2</v>
          </cell>
          <cell r="AF69">
            <v>22</v>
          </cell>
          <cell r="AG69">
            <v>0</v>
          </cell>
          <cell r="AH69">
            <v>1</v>
          </cell>
          <cell r="AI69">
            <v>2</v>
          </cell>
          <cell r="AJ69"/>
          <cell r="AK69">
            <v>1</v>
          </cell>
          <cell r="AL69">
            <v>16</v>
          </cell>
          <cell r="AM69">
            <v>0</v>
          </cell>
          <cell r="AN69">
            <v>1</v>
          </cell>
          <cell r="AO69">
            <v>0</v>
          </cell>
          <cell r="AP69"/>
          <cell r="AQ69">
            <v>2</v>
          </cell>
          <cell r="AR69">
            <v>13</v>
          </cell>
          <cell r="AS69">
            <v>0</v>
          </cell>
          <cell r="AT69">
            <v>0</v>
          </cell>
          <cell r="AU69">
            <v>0</v>
          </cell>
          <cell r="AV69"/>
          <cell r="AW69">
            <v>2</v>
          </cell>
          <cell r="AX69">
            <v>26</v>
          </cell>
          <cell r="AY69">
            <v>0</v>
          </cell>
          <cell r="AZ69">
            <v>1</v>
          </cell>
          <cell r="BA69">
            <v>1</v>
          </cell>
          <cell r="BB69"/>
          <cell r="BC69">
            <v>2</v>
          </cell>
          <cell r="BD69">
            <v>24</v>
          </cell>
          <cell r="BE69">
            <v>0</v>
          </cell>
          <cell r="BF69">
            <v>1</v>
          </cell>
          <cell r="BG69">
            <v>2</v>
          </cell>
          <cell r="BH69"/>
          <cell r="BI69">
            <v>1</v>
          </cell>
          <cell r="BJ69">
            <v>24</v>
          </cell>
          <cell r="BK69">
            <v>0</v>
          </cell>
          <cell r="BL69">
            <v>1</v>
          </cell>
          <cell r="BM69">
            <v>0</v>
          </cell>
          <cell r="BN69"/>
          <cell r="BO69">
            <v>2</v>
          </cell>
          <cell r="BP69">
            <v>27</v>
          </cell>
          <cell r="BQ69">
            <v>0</v>
          </cell>
          <cell r="BR69">
            <v>1</v>
          </cell>
          <cell r="BS69">
            <v>0</v>
          </cell>
          <cell r="BT69"/>
          <cell r="BU69">
            <v>3</v>
          </cell>
          <cell r="BV69">
            <v>25</v>
          </cell>
          <cell r="BW69">
            <v>0</v>
          </cell>
          <cell r="BX69">
            <v>1</v>
          </cell>
          <cell r="BY69">
            <v>0</v>
          </cell>
          <cell r="BZ69"/>
          <cell r="CA69">
            <v>4</v>
          </cell>
          <cell r="CB69">
            <v>25</v>
          </cell>
          <cell r="CC69">
            <v>0</v>
          </cell>
          <cell r="CD69">
            <v>1</v>
          </cell>
          <cell r="CE69">
            <v>2</v>
          </cell>
          <cell r="CF69"/>
          <cell r="CG69">
            <v>3</v>
          </cell>
          <cell r="CH69">
            <v>26</v>
          </cell>
          <cell r="CI69">
            <v>0</v>
          </cell>
          <cell r="CJ69">
            <v>1</v>
          </cell>
          <cell r="CK69">
            <v>0</v>
          </cell>
          <cell r="CL69"/>
          <cell r="CM69">
            <v>4</v>
          </cell>
          <cell r="CN69">
            <v>19</v>
          </cell>
          <cell r="CO69">
            <v>0</v>
          </cell>
          <cell r="CP69">
            <v>1</v>
          </cell>
          <cell r="CQ69">
            <v>0</v>
          </cell>
          <cell r="CR69"/>
          <cell r="CS69">
            <v>5</v>
          </cell>
          <cell r="CT69">
            <v>25</v>
          </cell>
          <cell r="CU69">
            <v>0</v>
          </cell>
          <cell r="CV69">
            <v>1</v>
          </cell>
          <cell r="CW69">
            <v>1</v>
          </cell>
          <cell r="CX69"/>
          <cell r="CY69">
            <v>2</v>
          </cell>
          <cell r="CZ69">
            <v>24</v>
          </cell>
          <cell r="DA69">
            <v>0</v>
          </cell>
          <cell r="DB69">
            <v>1</v>
          </cell>
          <cell r="DC69">
            <v>0</v>
          </cell>
          <cell r="DD69"/>
          <cell r="DE69">
            <v>3</v>
          </cell>
          <cell r="DF69">
            <v>24</v>
          </cell>
          <cell r="DG69">
            <v>0</v>
          </cell>
          <cell r="DH69">
            <v>1</v>
          </cell>
          <cell r="DI69">
            <v>1</v>
          </cell>
          <cell r="DJ69"/>
          <cell r="DK69">
            <v>3</v>
          </cell>
          <cell r="DL69">
            <v>3.2611111111111111</v>
          </cell>
        </row>
        <row r="70">
          <cell r="B70" t="str">
            <v>NV1145</v>
          </cell>
          <cell r="C70" t="str">
            <v>Văn Phòng</v>
          </cell>
          <cell r="D70" t="str">
            <v>Trương Quang Phơn</v>
          </cell>
          <cell r="E70" t="str">
            <v>VP</v>
          </cell>
          <cell r="F70">
            <v>45369</v>
          </cell>
          <cell r="G70"/>
          <cell r="H70">
            <v>26</v>
          </cell>
          <cell r="I70">
            <v>0</v>
          </cell>
          <cell r="J70">
            <v>1</v>
          </cell>
          <cell r="K70">
            <v>0</v>
          </cell>
          <cell r="L70"/>
          <cell r="M70">
            <v>3</v>
          </cell>
          <cell r="N70">
            <v>21</v>
          </cell>
          <cell r="O70">
            <v>0</v>
          </cell>
          <cell r="P70">
            <v>1</v>
          </cell>
          <cell r="Q70">
            <v>1</v>
          </cell>
          <cell r="R70"/>
          <cell r="S70">
            <v>3</v>
          </cell>
          <cell r="T70" t="e">
            <v>#REF!</v>
          </cell>
          <cell r="U70">
            <v>0</v>
          </cell>
          <cell r="V70" t="e">
            <v>#REF!</v>
          </cell>
          <cell r="W70" t="e">
            <v>#REF!</v>
          </cell>
          <cell r="X70"/>
          <cell r="Y70">
            <v>3</v>
          </cell>
          <cell r="Z70">
            <v>25</v>
          </cell>
          <cell r="AA70">
            <v>0</v>
          </cell>
          <cell r="AB70">
            <v>1</v>
          </cell>
          <cell r="AC70">
            <v>1</v>
          </cell>
          <cell r="AD70"/>
          <cell r="AE70">
            <v>3</v>
          </cell>
          <cell r="AF70">
            <v>23</v>
          </cell>
          <cell r="AG70">
            <v>0</v>
          </cell>
          <cell r="AH70">
            <v>1</v>
          </cell>
          <cell r="AI70">
            <v>1</v>
          </cell>
          <cell r="AJ70"/>
          <cell r="AK70">
            <v>3</v>
          </cell>
          <cell r="AL70">
            <v>24</v>
          </cell>
          <cell r="AM70">
            <v>0</v>
          </cell>
          <cell r="AN70">
            <v>1</v>
          </cell>
          <cell r="AO70">
            <v>2</v>
          </cell>
          <cell r="AP70"/>
          <cell r="AQ70">
            <v>2</v>
          </cell>
          <cell r="AR70">
            <v>25</v>
          </cell>
          <cell r="AS70">
            <v>0</v>
          </cell>
          <cell r="AT70">
            <v>1</v>
          </cell>
          <cell r="AU70">
            <v>0</v>
          </cell>
          <cell r="AV70"/>
          <cell r="AW70">
            <v>3</v>
          </cell>
          <cell r="AX70">
            <v>27</v>
          </cell>
          <cell r="AY70">
            <v>0</v>
          </cell>
          <cell r="AZ70">
            <v>1</v>
          </cell>
          <cell r="BA70">
            <v>0</v>
          </cell>
          <cell r="BB70"/>
          <cell r="BC70">
            <v>4</v>
          </cell>
          <cell r="BD70">
            <v>25</v>
          </cell>
          <cell r="BE70">
            <v>0</v>
          </cell>
          <cell r="BF70">
            <v>1</v>
          </cell>
          <cell r="BG70">
            <v>1</v>
          </cell>
          <cell r="BH70"/>
          <cell r="BI70">
            <v>4</v>
          </cell>
          <cell r="BJ70">
            <v>24</v>
          </cell>
          <cell r="BK70">
            <v>0</v>
          </cell>
          <cell r="BL70">
            <v>1</v>
          </cell>
          <cell r="BM70">
            <v>0</v>
          </cell>
          <cell r="BN70"/>
          <cell r="BO70">
            <v>5</v>
          </cell>
          <cell r="BP70">
            <v>26</v>
          </cell>
          <cell r="BQ70">
            <v>0</v>
          </cell>
          <cell r="BR70">
            <v>1</v>
          </cell>
          <cell r="BS70">
            <v>1</v>
          </cell>
          <cell r="BT70"/>
          <cell r="BU70">
            <v>5</v>
          </cell>
          <cell r="BV70">
            <v>23</v>
          </cell>
          <cell r="BW70">
            <v>0</v>
          </cell>
          <cell r="BX70">
            <v>1</v>
          </cell>
          <cell r="BY70">
            <v>1</v>
          </cell>
          <cell r="BZ70"/>
          <cell r="CA70">
            <v>5</v>
          </cell>
          <cell r="CB70">
            <v>26</v>
          </cell>
          <cell r="CC70">
            <v>0</v>
          </cell>
          <cell r="CD70">
            <v>1</v>
          </cell>
          <cell r="CE70">
            <v>1</v>
          </cell>
          <cell r="CF70"/>
          <cell r="CG70">
            <v>5</v>
          </cell>
          <cell r="CH70">
            <v>25</v>
          </cell>
          <cell r="CI70">
            <v>0</v>
          </cell>
          <cell r="CJ70">
            <v>1</v>
          </cell>
          <cell r="CK70">
            <v>1</v>
          </cell>
          <cell r="CL70"/>
          <cell r="CM70">
            <v>5</v>
          </cell>
          <cell r="CN70">
            <v>19</v>
          </cell>
          <cell r="CO70">
            <v>0</v>
          </cell>
          <cell r="CP70">
            <v>1</v>
          </cell>
          <cell r="CQ70">
            <v>0</v>
          </cell>
          <cell r="CR70"/>
          <cell r="CS70">
            <v>6</v>
          </cell>
          <cell r="CT70">
            <v>26</v>
          </cell>
          <cell r="CU70">
            <v>0</v>
          </cell>
          <cell r="CV70">
            <v>1</v>
          </cell>
          <cell r="CW70">
            <v>0</v>
          </cell>
          <cell r="CX70"/>
          <cell r="CY70">
            <v>2</v>
          </cell>
          <cell r="CZ70">
            <v>25</v>
          </cell>
          <cell r="DA70">
            <v>0</v>
          </cell>
          <cell r="DB70">
            <v>1</v>
          </cell>
          <cell r="DC70">
            <v>0</v>
          </cell>
          <cell r="DD70"/>
          <cell r="DE70">
            <v>3</v>
          </cell>
          <cell r="DF70">
            <v>25</v>
          </cell>
          <cell r="DG70">
            <v>0</v>
          </cell>
          <cell r="DH70">
            <v>1</v>
          </cell>
          <cell r="DI70">
            <v>0</v>
          </cell>
          <cell r="DJ70"/>
          <cell r="DK70">
            <v>4</v>
          </cell>
          <cell r="DL70">
            <v>2.2027777777777779</v>
          </cell>
        </row>
        <row r="71">
          <cell r="B71" t="str">
            <v>NV1028</v>
          </cell>
          <cell r="C71" t="str">
            <v>Văn Phòng</v>
          </cell>
          <cell r="D71" t="str">
            <v>Nguyễn Văn Doãn</v>
          </cell>
          <cell r="E71" t="str">
            <v>VP</v>
          </cell>
          <cell r="F71">
            <v>45139</v>
          </cell>
          <cell r="G71"/>
          <cell r="H71">
            <v>26</v>
          </cell>
          <cell r="I71">
            <v>0</v>
          </cell>
          <cell r="J71">
            <v>1</v>
          </cell>
          <cell r="K71">
            <v>0</v>
          </cell>
          <cell r="L71"/>
          <cell r="M71">
            <v>3</v>
          </cell>
          <cell r="N71">
            <v>22</v>
          </cell>
          <cell r="O71">
            <v>0</v>
          </cell>
          <cell r="P71">
            <v>1</v>
          </cell>
          <cell r="Q71">
            <v>0</v>
          </cell>
          <cell r="R71"/>
          <cell r="S71">
            <v>4</v>
          </cell>
          <cell r="T71" t="e">
            <v>#REF!</v>
          </cell>
          <cell r="U71">
            <v>0</v>
          </cell>
          <cell r="V71" t="e">
            <v>#REF!</v>
          </cell>
          <cell r="W71" t="e">
            <v>#REF!</v>
          </cell>
          <cell r="X71"/>
          <cell r="Y71">
            <v>2</v>
          </cell>
          <cell r="Z71">
            <v>26</v>
          </cell>
          <cell r="AA71">
            <v>0</v>
          </cell>
          <cell r="AB71">
            <v>1</v>
          </cell>
          <cell r="AC71">
            <v>0</v>
          </cell>
          <cell r="AD71"/>
          <cell r="AE71">
            <v>3</v>
          </cell>
          <cell r="AF71">
            <v>24</v>
          </cell>
          <cell r="AG71">
            <v>0</v>
          </cell>
          <cell r="AH71">
            <v>1</v>
          </cell>
          <cell r="AI71">
            <v>0</v>
          </cell>
          <cell r="AJ71"/>
          <cell r="AK71">
            <v>4</v>
          </cell>
          <cell r="AL71">
            <v>26</v>
          </cell>
          <cell r="AM71">
            <v>0</v>
          </cell>
          <cell r="AN71">
            <v>1</v>
          </cell>
          <cell r="AO71">
            <v>0</v>
          </cell>
          <cell r="AP71"/>
          <cell r="AQ71">
            <v>5</v>
          </cell>
          <cell r="AR71">
            <v>25</v>
          </cell>
          <cell r="AS71">
            <v>0</v>
          </cell>
          <cell r="AT71">
            <v>1</v>
          </cell>
          <cell r="AU71">
            <v>0</v>
          </cell>
          <cell r="AV71"/>
          <cell r="AW71">
            <v>6</v>
          </cell>
          <cell r="AX71">
            <v>26</v>
          </cell>
          <cell r="AY71">
            <v>0</v>
          </cell>
          <cell r="AZ71">
            <v>1</v>
          </cell>
          <cell r="BA71">
            <v>1</v>
          </cell>
          <cell r="BB71"/>
          <cell r="BC71">
            <v>6</v>
          </cell>
          <cell r="BD71">
            <v>26</v>
          </cell>
          <cell r="BE71">
            <v>0</v>
          </cell>
          <cell r="BF71">
            <v>1</v>
          </cell>
          <cell r="BG71">
            <v>0</v>
          </cell>
          <cell r="BH71"/>
          <cell r="BI71">
            <v>7</v>
          </cell>
          <cell r="BJ71">
            <v>23</v>
          </cell>
          <cell r="BK71">
            <v>0</v>
          </cell>
          <cell r="BL71">
            <v>1</v>
          </cell>
          <cell r="BM71">
            <v>1</v>
          </cell>
          <cell r="BN71"/>
          <cell r="BO71">
            <v>7</v>
          </cell>
          <cell r="BP71">
            <v>26</v>
          </cell>
          <cell r="BQ71">
            <v>0</v>
          </cell>
          <cell r="BR71">
            <v>1</v>
          </cell>
          <cell r="BS71">
            <v>1</v>
          </cell>
          <cell r="BT71"/>
          <cell r="BU71">
            <v>7</v>
          </cell>
          <cell r="BV71">
            <v>25</v>
          </cell>
          <cell r="BW71">
            <v>0</v>
          </cell>
          <cell r="BX71">
            <v>1</v>
          </cell>
          <cell r="BY71">
            <v>0</v>
          </cell>
          <cell r="BZ71"/>
          <cell r="CA71">
            <v>8</v>
          </cell>
          <cell r="CB71">
            <v>27</v>
          </cell>
          <cell r="CC71">
            <v>0</v>
          </cell>
          <cell r="CD71">
            <v>1</v>
          </cell>
          <cell r="CE71">
            <v>0</v>
          </cell>
          <cell r="CF71"/>
          <cell r="CG71">
            <v>9</v>
          </cell>
          <cell r="CH71">
            <v>26</v>
          </cell>
          <cell r="CI71">
            <v>0</v>
          </cell>
          <cell r="CJ71">
            <v>1</v>
          </cell>
          <cell r="CK71">
            <v>0</v>
          </cell>
          <cell r="CL71"/>
          <cell r="CM71">
            <v>10</v>
          </cell>
          <cell r="CN71">
            <v>15</v>
          </cell>
          <cell r="CO71">
            <v>0</v>
          </cell>
          <cell r="CP71">
            <v>1</v>
          </cell>
          <cell r="CQ71">
            <v>4</v>
          </cell>
          <cell r="CR71"/>
          <cell r="CS71">
            <v>7</v>
          </cell>
          <cell r="CT71">
            <v>25</v>
          </cell>
          <cell r="CU71">
            <v>0</v>
          </cell>
          <cell r="CV71">
            <v>1</v>
          </cell>
          <cell r="CW71">
            <v>1</v>
          </cell>
          <cell r="CX71"/>
          <cell r="CY71">
            <v>-2</v>
          </cell>
          <cell r="CZ71">
            <v>26</v>
          </cell>
          <cell r="DA71">
            <v>0</v>
          </cell>
          <cell r="DB71">
            <v>1</v>
          </cell>
          <cell r="DC71">
            <v>0</v>
          </cell>
          <cell r="DD71"/>
          <cell r="DE71">
            <v>-1</v>
          </cell>
          <cell r="DF71">
            <v>26</v>
          </cell>
          <cell r="DG71">
            <v>0</v>
          </cell>
          <cell r="DH71">
            <v>1</v>
          </cell>
          <cell r="DI71">
            <v>0</v>
          </cell>
          <cell r="DJ71"/>
          <cell r="DK71">
            <v>0</v>
          </cell>
          <cell r="DL71">
            <v>2.8333333333333335</v>
          </cell>
        </row>
        <row r="72">
          <cell r="B72" t="str">
            <v>NV1306</v>
          </cell>
          <cell r="C72" t="str">
            <v>Văn Phòng</v>
          </cell>
          <cell r="D72" t="str">
            <v>Bùi Minh Toàn</v>
          </cell>
          <cell r="E72" t="str">
            <v>VP</v>
          </cell>
          <cell r="F72">
            <v>45552</v>
          </cell>
          <cell r="G72"/>
          <cell r="H72">
            <v>26</v>
          </cell>
          <cell r="I72">
            <v>0</v>
          </cell>
          <cell r="J72">
            <v>1</v>
          </cell>
          <cell r="K72">
            <v>0</v>
          </cell>
          <cell r="L72"/>
          <cell r="M72">
            <v>1.5</v>
          </cell>
          <cell r="N72">
            <v>22</v>
          </cell>
          <cell r="O72">
            <v>0</v>
          </cell>
          <cell r="P72">
            <v>1</v>
          </cell>
          <cell r="Q72">
            <v>0</v>
          </cell>
          <cell r="R72"/>
          <cell r="S72">
            <v>2.5</v>
          </cell>
          <cell r="T72" t="e">
            <v>#REF!</v>
          </cell>
          <cell r="U72">
            <v>0</v>
          </cell>
          <cell r="V72" t="e">
            <v>#REF!</v>
          </cell>
          <cell r="W72" t="e">
            <v>#REF!</v>
          </cell>
          <cell r="X72"/>
          <cell r="Y72">
            <v>2.5</v>
          </cell>
          <cell r="Z72">
            <v>25</v>
          </cell>
          <cell r="AA72">
            <v>0</v>
          </cell>
          <cell r="AB72">
            <v>1</v>
          </cell>
          <cell r="AC72">
            <v>1</v>
          </cell>
          <cell r="AD72"/>
          <cell r="AE72">
            <v>2.5</v>
          </cell>
          <cell r="AF72">
            <v>24</v>
          </cell>
          <cell r="AG72">
            <v>0</v>
          </cell>
          <cell r="AH72">
            <v>1</v>
          </cell>
          <cell r="AI72">
            <v>0</v>
          </cell>
          <cell r="AJ72"/>
          <cell r="AK72">
            <v>3.5</v>
          </cell>
          <cell r="AL72">
            <v>26</v>
          </cell>
          <cell r="AM72">
            <v>0</v>
          </cell>
          <cell r="AN72">
            <v>1</v>
          </cell>
          <cell r="AO72">
            <v>0</v>
          </cell>
          <cell r="AP72"/>
          <cell r="AQ72">
            <v>4.5</v>
          </cell>
          <cell r="AR72">
            <v>23</v>
          </cell>
          <cell r="AS72">
            <v>0</v>
          </cell>
          <cell r="AT72">
            <v>1</v>
          </cell>
          <cell r="AU72">
            <v>2</v>
          </cell>
          <cell r="AV72"/>
          <cell r="AW72">
            <v>3.5</v>
          </cell>
          <cell r="AX72">
            <v>27</v>
          </cell>
          <cell r="AY72">
            <v>0</v>
          </cell>
          <cell r="AZ72">
            <v>1</v>
          </cell>
          <cell r="BA72">
            <v>0</v>
          </cell>
          <cell r="BB72"/>
          <cell r="BC72">
            <v>4.5</v>
          </cell>
          <cell r="BD72">
            <v>26</v>
          </cell>
          <cell r="BE72">
            <v>0</v>
          </cell>
          <cell r="BF72">
            <v>1</v>
          </cell>
          <cell r="BG72">
            <v>0</v>
          </cell>
          <cell r="BH72"/>
          <cell r="BI72">
            <v>5.5</v>
          </cell>
          <cell r="BJ72">
            <v>23</v>
          </cell>
          <cell r="BK72">
            <v>0</v>
          </cell>
          <cell r="BL72">
            <v>1</v>
          </cell>
          <cell r="BM72">
            <v>1</v>
          </cell>
          <cell r="BN72"/>
          <cell r="BO72">
            <v>5.5</v>
          </cell>
          <cell r="BP72">
            <v>26</v>
          </cell>
          <cell r="BQ72">
            <v>0</v>
          </cell>
          <cell r="BR72">
            <v>1</v>
          </cell>
          <cell r="BS72">
            <v>1</v>
          </cell>
          <cell r="BT72"/>
          <cell r="BU72">
            <v>5.5</v>
          </cell>
          <cell r="BV72">
            <v>24</v>
          </cell>
          <cell r="BW72">
            <v>0</v>
          </cell>
          <cell r="BX72">
            <v>1</v>
          </cell>
          <cell r="BY72">
            <v>1</v>
          </cell>
          <cell r="BZ72"/>
          <cell r="CA72">
            <v>5.5</v>
          </cell>
          <cell r="CB72">
            <v>26</v>
          </cell>
          <cell r="CC72">
            <v>0</v>
          </cell>
          <cell r="CD72">
            <v>1</v>
          </cell>
          <cell r="CE72">
            <v>1</v>
          </cell>
          <cell r="CF72"/>
          <cell r="CG72">
            <v>5.5</v>
          </cell>
          <cell r="CH72">
            <v>26</v>
          </cell>
          <cell r="CI72">
            <v>0</v>
          </cell>
          <cell r="CJ72">
            <v>1</v>
          </cell>
          <cell r="CK72">
            <v>0</v>
          </cell>
          <cell r="CL72"/>
          <cell r="CM72">
            <v>6.5</v>
          </cell>
          <cell r="CN72">
            <v>19</v>
          </cell>
          <cell r="CO72">
            <v>0</v>
          </cell>
          <cell r="CP72">
            <v>1</v>
          </cell>
          <cell r="CQ72">
            <v>0</v>
          </cell>
          <cell r="CR72"/>
          <cell r="CS72">
            <v>7.5</v>
          </cell>
          <cell r="CT72">
            <v>25</v>
          </cell>
          <cell r="CU72">
            <v>0</v>
          </cell>
          <cell r="CV72">
            <v>1</v>
          </cell>
          <cell r="CW72">
            <v>1</v>
          </cell>
          <cell r="CX72"/>
          <cell r="CY72">
            <v>2</v>
          </cell>
          <cell r="CZ72">
            <v>25</v>
          </cell>
          <cell r="DA72">
            <v>0</v>
          </cell>
          <cell r="DB72">
            <v>1</v>
          </cell>
          <cell r="DC72">
            <v>0</v>
          </cell>
          <cell r="DD72"/>
          <cell r="DE72">
            <v>3</v>
          </cell>
          <cell r="DF72">
            <v>25</v>
          </cell>
          <cell r="DG72">
            <v>0</v>
          </cell>
          <cell r="DH72">
            <v>1</v>
          </cell>
          <cell r="DI72">
            <v>1</v>
          </cell>
          <cell r="DJ72"/>
          <cell r="DK72">
            <v>3</v>
          </cell>
          <cell r="DL72">
            <v>1.7055555555555555</v>
          </cell>
        </row>
        <row r="73">
          <cell r="B73" t="str">
            <v>NV1326</v>
          </cell>
          <cell r="C73" t="str">
            <v>Văn Phòng</v>
          </cell>
          <cell r="D73" t="str">
            <v>Võ Thị Thùy Linh</v>
          </cell>
          <cell r="E73" t="str">
            <v>VP</v>
          </cell>
          <cell r="F73">
            <v>45594</v>
          </cell>
          <cell r="G73"/>
          <cell r="H73">
            <v>26</v>
          </cell>
          <cell r="I73">
            <v>0</v>
          </cell>
          <cell r="J73">
            <v>1</v>
          </cell>
          <cell r="K73">
            <v>0</v>
          </cell>
          <cell r="L73"/>
          <cell r="M73">
            <v>1</v>
          </cell>
          <cell r="N73">
            <v>22</v>
          </cell>
          <cell r="O73">
            <v>0</v>
          </cell>
          <cell r="P73">
            <v>1</v>
          </cell>
          <cell r="Q73">
            <v>0</v>
          </cell>
          <cell r="R73"/>
          <cell r="S73">
            <v>2</v>
          </cell>
          <cell r="T73" t="e">
            <v>#REF!</v>
          </cell>
          <cell r="U73">
            <v>0</v>
          </cell>
          <cell r="V73" t="e">
            <v>#REF!</v>
          </cell>
          <cell r="W73" t="e">
            <v>#REF!</v>
          </cell>
          <cell r="X73"/>
          <cell r="Y73">
            <v>3</v>
          </cell>
          <cell r="Z73">
            <v>25</v>
          </cell>
          <cell r="AA73">
            <v>0</v>
          </cell>
          <cell r="AB73">
            <v>1</v>
          </cell>
          <cell r="AC73">
            <v>1</v>
          </cell>
          <cell r="AD73"/>
          <cell r="AE73">
            <v>3</v>
          </cell>
          <cell r="AF73">
            <v>24</v>
          </cell>
          <cell r="AG73">
            <v>0</v>
          </cell>
          <cell r="AH73">
            <v>1</v>
          </cell>
          <cell r="AI73">
            <v>0</v>
          </cell>
          <cell r="AJ73"/>
          <cell r="AK73">
            <v>4</v>
          </cell>
          <cell r="AL73">
            <v>25</v>
          </cell>
          <cell r="AM73">
            <v>0</v>
          </cell>
          <cell r="AN73">
            <v>1</v>
          </cell>
          <cell r="AO73">
            <v>1</v>
          </cell>
          <cell r="AP73"/>
          <cell r="AQ73">
            <v>4</v>
          </cell>
          <cell r="AR73">
            <v>23</v>
          </cell>
          <cell r="AS73">
            <v>0</v>
          </cell>
          <cell r="AT73">
            <v>1</v>
          </cell>
          <cell r="AU73">
            <v>2</v>
          </cell>
          <cell r="AV73"/>
          <cell r="AW73">
            <v>3</v>
          </cell>
          <cell r="AX73">
            <v>27</v>
          </cell>
          <cell r="AY73">
            <v>0</v>
          </cell>
          <cell r="AZ73">
            <v>1</v>
          </cell>
          <cell r="BA73">
            <v>0</v>
          </cell>
          <cell r="BB73"/>
          <cell r="BC73">
            <v>4</v>
          </cell>
          <cell r="BD73">
            <v>25</v>
          </cell>
          <cell r="BE73">
            <v>0</v>
          </cell>
          <cell r="BF73">
            <v>1</v>
          </cell>
          <cell r="BG73">
            <v>1</v>
          </cell>
          <cell r="BH73"/>
          <cell r="BI73">
            <v>4</v>
          </cell>
          <cell r="BJ73">
            <v>24</v>
          </cell>
          <cell r="BK73">
            <v>0</v>
          </cell>
          <cell r="BL73">
            <v>1</v>
          </cell>
          <cell r="BM73">
            <v>0</v>
          </cell>
          <cell r="BN73"/>
          <cell r="BO73">
            <v>5</v>
          </cell>
          <cell r="BP73">
            <v>26</v>
          </cell>
          <cell r="BQ73">
            <v>0</v>
          </cell>
          <cell r="BR73">
            <v>1</v>
          </cell>
          <cell r="BS73">
            <v>1</v>
          </cell>
          <cell r="BT73"/>
          <cell r="BU73">
            <v>5</v>
          </cell>
          <cell r="BV73">
            <v>23.5</v>
          </cell>
          <cell r="BW73">
            <v>0</v>
          </cell>
          <cell r="BX73">
            <v>1</v>
          </cell>
          <cell r="BY73">
            <v>1.5</v>
          </cell>
          <cell r="BZ73"/>
          <cell r="CA73">
            <v>4.5</v>
          </cell>
          <cell r="CB73">
            <v>27</v>
          </cell>
          <cell r="CC73">
            <v>0</v>
          </cell>
          <cell r="CD73">
            <v>1</v>
          </cell>
          <cell r="CE73">
            <v>0</v>
          </cell>
          <cell r="CF73"/>
          <cell r="CG73">
            <v>5.5</v>
          </cell>
          <cell r="CH73">
            <v>25.5</v>
          </cell>
          <cell r="CI73">
            <v>0</v>
          </cell>
          <cell r="CJ73">
            <v>1</v>
          </cell>
          <cell r="CK73">
            <v>0.5</v>
          </cell>
          <cell r="CL73"/>
          <cell r="CM73">
            <v>6</v>
          </cell>
          <cell r="CN73">
            <v>17</v>
          </cell>
          <cell r="CO73">
            <v>0</v>
          </cell>
          <cell r="CP73">
            <v>1</v>
          </cell>
          <cell r="CQ73">
            <v>2</v>
          </cell>
          <cell r="CR73"/>
          <cell r="CS73">
            <v>5</v>
          </cell>
          <cell r="CT73">
            <v>26</v>
          </cell>
          <cell r="CU73">
            <v>0</v>
          </cell>
          <cell r="CV73">
            <v>1</v>
          </cell>
          <cell r="CW73">
            <v>0</v>
          </cell>
          <cell r="CX73"/>
          <cell r="CY73">
            <v>0.5</v>
          </cell>
          <cell r="CZ73">
            <v>24</v>
          </cell>
          <cell r="DA73">
            <v>0</v>
          </cell>
          <cell r="DB73">
            <v>1</v>
          </cell>
          <cell r="DC73">
            <v>0</v>
          </cell>
          <cell r="DD73"/>
          <cell r="DE73">
            <v>1.5</v>
          </cell>
          <cell r="DF73">
            <v>25</v>
          </cell>
          <cell r="DG73">
            <v>0</v>
          </cell>
          <cell r="DH73">
            <v>1</v>
          </cell>
          <cell r="DI73">
            <v>0</v>
          </cell>
          <cell r="DJ73"/>
          <cell r="DK73">
            <v>2.5</v>
          </cell>
          <cell r="DL73">
            <v>1.5888888888888888</v>
          </cell>
        </row>
        <row r="74">
          <cell r="B74" t="str">
            <v>NV1580</v>
          </cell>
          <cell r="C74" t="str">
            <v>Văn Phòng</v>
          </cell>
          <cell r="D74" t="str">
            <v>Huỳnh Minh Đồng</v>
          </cell>
          <cell r="E74" t="str">
            <v>SX</v>
          </cell>
          <cell r="F74">
            <v>45831</v>
          </cell>
          <cell r="G74"/>
          <cell r="H74">
            <v>7</v>
          </cell>
          <cell r="I74" t="str">
            <v>x</v>
          </cell>
          <cell r="J74">
            <v>0</v>
          </cell>
          <cell r="K74">
            <v>0</v>
          </cell>
          <cell r="L74"/>
          <cell r="M74">
            <v>0</v>
          </cell>
          <cell r="N74">
            <v>0</v>
          </cell>
          <cell r="O74" t="str">
            <v>x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/>
          <cell r="U74"/>
          <cell r="V74"/>
          <cell r="W74"/>
          <cell r="X74"/>
          <cell r="Y74">
            <v>0</v>
          </cell>
          <cell r="Z74">
            <v>2</v>
          </cell>
          <cell r="AA74" t="str">
            <v>x</v>
          </cell>
          <cell r="AB74">
            <v>0</v>
          </cell>
          <cell r="AC74">
            <v>0</v>
          </cell>
          <cell r="AD74"/>
          <cell r="AE74">
            <v>0</v>
          </cell>
          <cell r="AF74"/>
          <cell r="AG74" t="str">
            <v>x</v>
          </cell>
          <cell r="AH74">
            <v>0</v>
          </cell>
          <cell r="AI74">
            <v>0</v>
          </cell>
          <cell r="AJ74"/>
          <cell r="AK74">
            <v>0</v>
          </cell>
          <cell r="AL74" t="e">
            <v>#N/A</v>
          </cell>
          <cell r="AM74" t="str">
            <v>x</v>
          </cell>
          <cell r="AN74">
            <v>0</v>
          </cell>
          <cell r="AO74" t="e">
            <v>#N/A</v>
          </cell>
          <cell r="AP74"/>
          <cell r="AQ74">
            <v>0</v>
          </cell>
          <cell r="AR74">
            <v>7</v>
          </cell>
          <cell r="AS74" t="str">
            <v>x</v>
          </cell>
          <cell r="AT74">
            <v>0</v>
          </cell>
          <cell r="AU74">
            <v>0</v>
          </cell>
          <cell r="AV74"/>
          <cell r="AW74">
            <v>0</v>
          </cell>
          <cell r="AX74">
            <v>25</v>
          </cell>
          <cell r="AY74" t="str">
            <v>x</v>
          </cell>
          <cell r="AZ74">
            <v>0</v>
          </cell>
          <cell r="BA74">
            <v>0</v>
          </cell>
          <cell r="BB74"/>
          <cell r="BC74">
            <v>0</v>
          </cell>
          <cell r="BD74">
            <v>26</v>
          </cell>
          <cell r="BE74">
            <v>0</v>
          </cell>
          <cell r="BF74">
            <v>1</v>
          </cell>
          <cell r="BG74">
            <v>0</v>
          </cell>
          <cell r="BH74"/>
          <cell r="BI74">
            <v>1</v>
          </cell>
          <cell r="BJ74">
            <v>23.5</v>
          </cell>
          <cell r="BK74">
            <v>0</v>
          </cell>
          <cell r="BL74">
            <v>1</v>
          </cell>
          <cell r="BM74">
            <v>0.5</v>
          </cell>
          <cell r="BN74"/>
          <cell r="BO74">
            <v>1.5</v>
          </cell>
          <cell r="BP74">
            <v>27</v>
          </cell>
          <cell r="BQ74">
            <v>0</v>
          </cell>
          <cell r="BR74">
            <v>1</v>
          </cell>
          <cell r="BS74">
            <v>0</v>
          </cell>
          <cell r="BT74"/>
          <cell r="BU74">
            <v>2.5</v>
          </cell>
          <cell r="BV74">
            <v>25</v>
          </cell>
          <cell r="BW74">
            <v>0</v>
          </cell>
          <cell r="BX74">
            <v>1</v>
          </cell>
          <cell r="BY74">
            <v>0</v>
          </cell>
          <cell r="BZ74"/>
          <cell r="CA74">
            <v>3.5</v>
          </cell>
          <cell r="CB74">
            <v>27</v>
          </cell>
          <cell r="CC74">
            <v>0</v>
          </cell>
          <cell r="CD74">
            <v>1</v>
          </cell>
          <cell r="CE74">
            <v>0</v>
          </cell>
          <cell r="CF74"/>
          <cell r="CG74">
            <v>4.5</v>
          </cell>
          <cell r="CH74">
            <v>25</v>
          </cell>
          <cell r="CI74">
            <v>0</v>
          </cell>
          <cell r="CJ74">
            <v>1</v>
          </cell>
          <cell r="CK74">
            <v>1</v>
          </cell>
          <cell r="CL74"/>
          <cell r="CM74">
            <v>4.5</v>
          </cell>
          <cell r="CN74">
            <v>19</v>
          </cell>
          <cell r="CO74">
            <v>0</v>
          </cell>
          <cell r="CP74">
            <v>1</v>
          </cell>
          <cell r="CQ74">
            <v>0</v>
          </cell>
          <cell r="CR74"/>
          <cell r="CS74">
            <v>5.5</v>
          </cell>
          <cell r="CT74">
            <v>26</v>
          </cell>
          <cell r="CU74">
            <v>0</v>
          </cell>
          <cell r="CV74">
            <v>1</v>
          </cell>
          <cell r="CW74">
            <v>0</v>
          </cell>
          <cell r="CX74"/>
          <cell r="CY74">
            <v>2</v>
          </cell>
          <cell r="CZ74">
            <v>25</v>
          </cell>
          <cell r="DA74">
            <v>0</v>
          </cell>
          <cell r="DB74">
            <v>1</v>
          </cell>
          <cell r="DC74">
            <v>0</v>
          </cell>
          <cell r="DD74"/>
          <cell r="DE74">
            <v>3</v>
          </cell>
          <cell r="DF74">
            <v>25</v>
          </cell>
          <cell r="DG74">
            <v>0</v>
          </cell>
          <cell r="DH74">
            <v>1</v>
          </cell>
          <cell r="DI74">
            <v>0</v>
          </cell>
          <cell r="DJ74"/>
          <cell r="DK74">
            <v>4</v>
          </cell>
          <cell r="DL74">
            <v>0.93888888888888888</v>
          </cell>
        </row>
        <row r="75">
          <cell r="B75" t="str">
            <v>NV1347</v>
          </cell>
          <cell r="C75" t="str">
            <v>Văn Phòng</v>
          </cell>
          <cell r="D75" t="str">
            <v>Kim Thanh Tuấn</v>
          </cell>
          <cell r="E75" t="str">
            <v>VP</v>
          </cell>
          <cell r="F75">
            <v>45609</v>
          </cell>
          <cell r="G75"/>
          <cell r="H75">
            <v>24</v>
          </cell>
          <cell r="I75" t="str">
            <v>x</v>
          </cell>
          <cell r="J75">
            <v>0</v>
          </cell>
          <cell r="K75">
            <v>2</v>
          </cell>
          <cell r="L75"/>
          <cell r="M75">
            <v>-2</v>
          </cell>
          <cell r="N75">
            <v>22</v>
          </cell>
          <cell r="O75">
            <v>0</v>
          </cell>
          <cell r="P75">
            <v>1</v>
          </cell>
          <cell r="Q75">
            <v>0</v>
          </cell>
          <cell r="R75"/>
          <cell r="S75">
            <v>-1</v>
          </cell>
          <cell r="T75" t="e">
            <v>#REF!</v>
          </cell>
          <cell r="U75">
            <v>0</v>
          </cell>
          <cell r="V75" t="e">
            <v>#REF!</v>
          </cell>
          <cell r="W75" t="e">
            <v>#REF!</v>
          </cell>
          <cell r="X75"/>
          <cell r="Y75">
            <v>0</v>
          </cell>
          <cell r="Z75">
            <v>26</v>
          </cell>
          <cell r="AA75">
            <v>0</v>
          </cell>
          <cell r="AB75">
            <v>1</v>
          </cell>
          <cell r="AC75">
            <v>0</v>
          </cell>
          <cell r="AD75"/>
          <cell r="AE75">
            <v>1</v>
          </cell>
          <cell r="AF75">
            <v>24</v>
          </cell>
          <cell r="AG75">
            <v>0</v>
          </cell>
          <cell r="AH75">
            <v>1</v>
          </cell>
          <cell r="AI75">
            <v>0</v>
          </cell>
          <cell r="AJ75"/>
          <cell r="AK75">
            <v>2</v>
          </cell>
          <cell r="AL75">
            <v>26</v>
          </cell>
          <cell r="AM75">
            <v>0</v>
          </cell>
          <cell r="AN75">
            <v>1</v>
          </cell>
          <cell r="AO75">
            <v>0</v>
          </cell>
          <cell r="AP75"/>
          <cell r="AQ75">
            <v>3</v>
          </cell>
          <cell r="AR75">
            <v>25</v>
          </cell>
          <cell r="AS75">
            <v>0</v>
          </cell>
          <cell r="AT75">
            <v>1</v>
          </cell>
          <cell r="AU75">
            <v>0</v>
          </cell>
          <cell r="AV75"/>
          <cell r="AW75">
            <v>4</v>
          </cell>
          <cell r="AX75">
            <v>27</v>
          </cell>
          <cell r="AY75">
            <v>0</v>
          </cell>
          <cell r="AZ75">
            <v>1</v>
          </cell>
          <cell r="BA75">
            <v>0</v>
          </cell>
          <cell r="BB75"/>
          <cell r="BC75">
            <v>5</v>
          </cell>
          <cell r="BD75">
            <v>26</v>
          </cell>
          <cell r="BE75">
            <v>0</v>
          </cell>
          <cell r="BF75">
            <v>1</v>
          </cell>
          <cell r="BG75">
            <v>0</v>
          </cell>
          <cell r="BH75"/>
          <cell r="BI75">
            <v>6</v>
          </cell>
          <cell r="BJ75">
            <v>23</v>
          </cell>
          <cell r="BK75">
            <v>0</v>
          </cell>
          <cell r="BL75">
            <v>1</v>
          </cell>
          <cell r="BM75">
            <v>1</v>
          </cell>
          <cell r="BN75"/>
          <cell r="BO75">
            <v>6</v>
          </cell>
          <cell r="BP75">
            <v>27</v>
          </cell>
          <cell r="BQ75">
            <v>0</v>
          </cell>
          <cell r="BR75">
            <v>1</v>
          </cell>
          <cell r="BS75">
            <v>0</v>
          </cell>
          <cell r="BT75"/>
          <cell r="BU75">
            <v>7</v>
          </cell>
          <cell r="BV75">
            <v>25</v>
          </cell>
          <cell r="BW75">
            <v>0</v>
          </cell>
          <cell r="BX75">
            <v>1</v>
          </cell>
          <cell r="BY75">
            <v>0</v>
          </cell>
          <cell r="BZ75"/>
          <cell r="CA75">
            <v>8</v>
          </cell>
          <cell r="CB75">
            <v>27</v>
          </cell>
          <cell r="CC75">
            <v>0</v>
          </cell>
          <cell r="CD75">
            <v>1</v>
          </cell>
          <cell r="CE75">
            <v>0</v>
          </cell>
          <cell r="CF75"/>
          <cell r="CG75">
            <v>9</v>
          </cell>
          <cell r="CH75">
            <v>24</v>
          </cell>
          <cell r="CI75">
            <v>0</v>
          </cell>
          <cell r="CJ75">
            <v>1</v>
          </cell>
          <cell r="CK75">
            <v>2</v>
          </cell>
          <cell r="CL75"/>
          <cell r="CM75">
            <v>8</v>
          </cell>
          <cell r="CN75">
            <v>19</v>
          </cell>
          <cell r="CO75">
            <v>0</v>
          </cell>
          <cell r="CP75">
            <v>1</v>
          </cell>
          <cell r="CQ75">
            <v>0</v>
          </cell>
          <cell r="CR75"/>
          <cell r="CS75">
            <v>9</v>
          </cell>
          <cell r="CT75">
            <v>26</v>
          </cell>
          <cell r="CU75">
            <v>0</v>
          </cell>
          <cell r="CV75">
            <v>1</v>
          </cell>
          <cell r="CW75">
            <v>0</v>
          </cell>
          <cell r="CX75"/>
          <cell r="CY75">
            <v>3</v>
          </cell>
          <cell r="CZ75">
            <v>21</v>
          </cell>
          <cell r="DA75">
            <v>0</v>
          </cell>
          <cell r="DB75">
            <v>1</v>
          </cell>
          <cell r="DC75">
            <v>3</v>
          </cell>
          <cell r="DD75"/>
          <cell r="DE75">
            <v>1</v>
          </cell>
          <cell r="DF75">
            <v>25</v>
          </cell>
          <cell r="DG75">
            <v>0</v>
          </cell>
          <cell r="DH75">
            <v>1</v>
          </cell>
          <cell r="DI75">
            <v>0</v>
          </cell>
          <cell r="DJ75"/>
          <cell r="DK75">
            <v>2</v>
          </cell>
          <cell r="DL75">
            <v>1.55</v>
          </cell>
        </row>
        <row r="76">
          <cell r="B76" t="str">
            <v>NV1583</v>
          </cell>
          <cell r="C76" t="str">
            <v>Văn Phòng</v>
          </cell>
          <cell r="D76" t="str">
            <v>Nguyễn Công Hậu</v>
          </cell>
          <cell r="E76" t="str">
            <v>VP</v>
          </cell>
          <cell r="F76">
            <v>45839</v>
          </cell>
          <cell r="G76"/>
          <cell r="H76">
            <v>24</v>
          </cell>
          <cell r="I76" t="str">
            <v>x</v>
          </cell>
          <cell r="J76">
            <v>0</v>
          </cell>
          <cell r="K76">
            <v>2</v>
          </cell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>
            <v>26</v>
          </cell>
          <cell r="AY76" t="str">
            <v>x</v>
          </cell>
          <cell r="AZ76">
            <v>0</v>
          </cell>
          <cell r="BA76">
            <v>0</v>
          </cell>
          <cell r="BB76"/>
          <cell r="BC76">
            <v>0</v>
          </cell>
          <cell r="BD76">
            <v>24</v>
          </cell>
          <cell r="BE76">
            <v>0</v>
          </cell>
          <cell r="BF76">
            <v>1</v>
          </cell>
          <cell r="BG76">
            <v>1</v>
          </cell>
          <cell r="BH76"/>
          <cell r="BI76">
            <v>0</v>
          </cell>
          <cell r="BJ76">
            <v>22.5</v>
          </cell>
          <cell r="BK76">
            <v>0</v>
          </cell>
          <cell r="BL76">
            <v>1</v>
          </cell>
          <cell r="BM76">
            <v>1.5</v>
          </cell>
          <cell r="BN76"/>
          <cell r="BO76">
            <v>-0.5</v>
          </cell>
          <cell r="BP76">
            <v>25</v>
          </cell>
          <cell r="BQ76">
            <v>0</v>
          </cell>
          <cell r="BR76">
            <v>1</v>
          </cell>
          <cell r="BS76">
            <v>2</v>
          </cell>
          <cell r="BT76"/>
          <cell r="BU76">
            <v>-1.5</v>
          </cell>
          <cell r="BV76">
            <v>23</v>
          </cell>
          <cell r="BW76">
            <v>0</v>
          </cell>
          <cell r="BX76">
            <v>1</v>
          </cell>
          <cell r="BY76">
            <v>0</v>
          </cell>
          <cell r="BZ76"/>
          <cell r="CA76">
            <v>-0.5</v>
          </cell>
          <cell r="CB76">
            <v>26</v>
          </cell>
          <cell r="CC76">
            <v>0</v>
          </cell>
          <cell r="CD76">
            <v>1</v>
          </cell>
          <cell r="CE76">
            <v>1</v>
          </cell>
          <cell r="CF76"/>
          <cell r="CG76">
            <v>-0.5</v>
          </cell>
          <cell r="CH76">
            <v>24</v>
          </cell>
          <cell r="CI76">
            <v>0</v>
          </cell>
          <cell r="CJ76">
            <v>1</v>
          </cell>
          <cell r="CK76">
            <v>2</v>
          </cell>
          <cell r="CL76"/>
          <cell r="CM76">
            <v>-1.5</v>
          </cell>
          <cell r="CN76">
            <v>18</v>
          </cell>
          <cell r="CO76">
            <v>0</v>
          </cell>
          <cell r="CP76">
            <v>1</v>
          </cell>
          <cell r="CQ76">
            <v>1</v>
          </cell>
          <cell r="CR76"/>
          <cell r="CS76">
            <v>-1.5</v>
          </cell>
          <cell r="CT76">
            <v>25</v>
          </cell>
          <cell r="CU76">
            <v>0</v>
          </cell>
          <cell r="CV76">
            <v>1</v>
          </cell>
          <cell r="CW76">
            <v>1</v>
          </cell>
          <cell r="CX76"/>
          <cell r="CY76">
            <v>-1.5</v>
          </cell>
          <cell r="CZ76">
            <v>23</v>
          </cell>
          <cell r="DA76">
            <v>0</v>
          </cell>
          <cell r="DB76">
            <v>1</v>
          </cell>
          <cell r="DC76">
            <v>1</v>
          </cell>
          <cell r="DD76"/>
          <cell r="DE76">
            <v>-1.5</v>
          </cell>
          <cell r="DF76">
            <v>25</v>
          </cell>
          <cell r="DG76">
            <v>0</v>
          </cell>
          <cell r="DH76">
            <v>1</v>
          </cell>
          <cell r="DI76">
            <v>0</v>
          </cell>
          <cell r="DJ76"/>
          <cell r="DK76">
            <v>-0.5</v>
          </cell>
          <cell r="DL76">
            <v>0.91666666666666663</v>
          </cell>
        </row>
        <row r="77">
          <cell r="B77" t="str">
            <v>NV1595</v>
          </cell>
          <cell r="C77" t="str">
            <v>Văn Phòng</v>
          </cell>
          <cell r="D77" t="str">
            <v>Dương Nguyễn Thanh Trúc</v>
          </cell>
          <cell r="E77" t="str">
            <v>VP</v>
          </cell>
          <cell r="F77">
            <v>45852</v>
          </cell>
          <cell r="G77"/>
          <cell r="H77">
            <v>24</v>
          </cell>
          <cell r="I77" t="str">
            <v>x</v>
          </cell>
          <cell r="J77">
            <v>0</v>
          </cell>
          <cell r="K77">
            <v>2</v>
          </cell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>
            <v>16</v>
          </cell>
          <cell r="AY77" t="str">
            <v>x</v>
          </cell>
          <cell r="AZ77">
            <v>0</v>
          </cell>
          <cell r="BA77">
            <v>0</v>
          </cell>
          <cell r="BB77"/>
          <cell r="BC77">
            <v>0</v>
          </cell>
          <cell r="BD77">
            <v>26</v>
          </cell>
          <cell r="BE77" t="str">
            <v>x</v>
          </cell>
          <cell r="BF77">
            <v>0</v>
          </cell>
          <cell r="BG77">
            <v>0</v>
          </cell>
          <cell r="BH77"/>
          <cell r="BI77">
            <v>0</v>
          </cell>
          <cell r="BJ77">
            <v>23</v>
          </cell>
          <cell r="BK77">
            <v>0</v>
          </cell>
          <cell r="BL77">
            <v>1</v>
          </cell>
          <cell r="BM77">
            <v>0</v>
          </cell>
          <cell r="BN77"/>
          <cell r="BO77">
            <v>1</v>
          </cell>
          <cell r="BP77">
            <v>27</v>
          </cell>
          <cell r="BQ77">
            <v>0</v>
          </cell>
          <cell r="BR77">
            <v>1</v>
          </cell>
          <cell r="BS77">
            <v>0</v>
          </cell>
          <cell r="BT77"/>
          <cell r="BU77">
            <v>2</v>
          </cell>
          <cell r="BV77">
            <v>25</v>
          </cell>
          <cell r="BW77">
            <v>0</v>
          </cell>
          <cell r="BX77">
            <v>1</v>
          </cell>
          <cell r="BY77">
            <v>0</v>
          </cell>
          <cell r="BZ77"/>
          <cell r="CA77">
            <v>3</v>
          </cell>
          <cell r="CB77">
            <v>27</v>
          </cell>
          <cell r="CC77">
            <v>0</v>
          </cell>
          <cell r="CD77">
            <v>1</v>
          </cell>
          <cell r="CE77">
            <v>0</v>
          </cell>
          <cell r="CF77"/>
          <cell r="CG77">
            <v>4</v>
          </cell>
          <cell r="CH77">
            <v>26</v>
          </cell>
          <cell r="CI77">
            <v>0</v>
          </cell>
          <cell r="CJ77">
            <v>1</v>
          </cell>
          <cell r="CK77">
            <v>0</v>
          </cell>
          <cell r="CL77"/>
          <cell r="CM77">
            <v>5</v>
          </cell>
          <cell r="CN77">
            <v>18</v>
          </cell>
          <cell r="CO77">
            <v>0</v>
          </cell>
          <cell r="CP77">
            <v>1</v>
          </cell>
          <cell r="CQ77">
            <v>1</v>
          </cell>
          <cell r="CR77"/>
          <cell r="CS77">
            <v>5</v>
          </cell>
          <cell r="CT77">
            <v>23</v>
          </cell>
          <cell r="CU77">
            <v>0</v>
          </cell>
          <cell r="CV77">
            <v>1</v>
          </cell>
          <cell r="CW77">
            <v>3</v>
          </cell>
          <cell r="CX77"/>
          <cell r="CY77">
            <v>3</v>
          </cell>
          <cell r="CZ77">
            <v>23</v>
          </cell>
          <cell r="DA77">
            <v>0</v>
          </cell>
          <cell r="DB77">
            <v>1</v>
          </cell>
          <cell r="DC77">
            <v>1</v>
          </cell>
          <cell r="DD77"/>
          <cell r="DE77">
            <v>3</v>
          </cell>
          <cell r="DF77">
            <v>24</v>
          </cell>
          <cell r="DG77">
            <v>0</v>
          </cell>
          <cell r="DH77">
            <v>1</v>
          </cell>
          <cell r="DI77">
            <v>1</v>
          </cell>
          <cell r="DJ77"/>
          <cell r="DK77">
            <v>3</v>
          </cell>
          <cell r="DL77">
            <v>0.88055555555555554</v>
          </cell>
        </row>
        <row r="78">
          <cell r="B78" t="str">
            <v>NV1596</v>
          </cell>
          <cell r="C78" t="str">
            <v>Văn Phòng</v>
          </cell>
          <cell r="D78" t="str">
            <v>Nguyễn Hoàng Hà</v>
          </cell>
          <cell r="E78" t="str">
            <v>VP</v>
          </cell>
          <cell r="F78">
            <v>45852</v>
          </cell>
          <cell r="G78"/>
          <cell r="H78">
            <v>24</v>
          </cell>
          <cell r="I78" t="str">
            <v>x</v>
          </cell>
          <cell r="J78">
            <v>0</v>
          </cell>
          <cell r="K78">
            <v>2</v>
          </cell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>
            <v>16</v>
          </cell>
          <cell r="AY78" t="str">
            <v>x</v>
          </cell>
          <cell r="AZ78">
            <v>0</v>
          </cell>
          <cell r="BA78">
            <v>0</v>
          </cell>
          <cell r="BB78"/>
          <cell r="BC78">
            <v>0</v>
          </cell>
          <cell r="BD78">
            <v>26</v>
          </cell>
          <cell r="BE78" t="str">
            <v>x</v>
          </cell>
          <cell r="BF78">
            <v>0</v>
          </cell>
          <cell r="BG78">
            <v>0</v>
          </cell>
          <cell r="BH78"/>
          <cell r="BI78">
            <v>0</v>
          </cell>
          <cell r="BJ78">
            <v>23</v>
          </cell>
          <cell r="BK78">
            <v>0</v>
          </cell>
          <cell r="BL78">
            <v>1</v>
          </cell>
          <cell r="BM78">
            <v>1</v>
          </cell>
          <cell r="BN78"/>
          <cell r="BO78">
            <v>0</v>
          </cell>
          <cell r="BP78">
            <v>27</v>
          </cell>
          <cell r="BQ78">
            <v>0</v>
          </cell>
          <cell r="BR78">
            <v>1</v>
          </cell>
          <cell r="BS78">
            <v>0</v>
          </cell>
          <cell r="BT78"/>
          <cell r="BU78">
            <v>1</v>
          </cell>
          <cell r="BV78">
            <v>25</v>
          </cell>
          <cell r="BW78">
            <v>0</v>
          </cell>
          <cell r="BX78">
            <v>1</v>
          </cell>
          <cell r="BY78">
            <v>0</v>
          </cell>
          <cell r="BZ78"/>
          <cell r="CA78">
            <v>2</v>
          </cell>
          <cell r="CB78">
            <v>27</v>
          </cell>
          <cell r="CC78">
            <v>0</v>
          </cell>
          <cell r="CD78">
            <v>1</v>
          </cell>
          <cell r="CE78">
            <v>0</v>
          </cell>
          <cell r="CF78"/>
          <cell r="CG78">
            <v>3</v>
          </cell>
          <cell r="CH78">
            <v>24</v>
          </cell>
          <cell r="CI78">
            <v>0</v>
          </cell>
          <cell r="CJ78">
            <v>1</v>
          </cell>
          <cell r="CK78">
            <v>2</v>
          </cell>
          <cell r="CL78"/>
          <cell r="CM78">
            <v>2</v>
          </cell>
          <cell r="CN78">
            <v>19</v>
          </cell>
          <cell r="CO78">
            <v>0</v>
          </cell>
          <cell r="CP78">
            <v>1</v>
          </cell>
          <cell r="CQ78">
            <v>0</v>
          </cell>
          <cell r="CR78"/>
          <cell r="CS78">
            <v>3</v>
          </cell>
          <cell r="CT78">
            <v>24</v>
          </cell>
          <cell r="CU78">
            <v>0</v>
          </cell>
          <cell r="CV78">
            <v>1</v>
          </cell>
          <cell r="CW78">
            <v>2</v>
          </cell>
          <cell r="CX78"/>
          <cell r="CY78">
            <v>2</v>
          </cell>
          <cell r="CZ78">
            <v>26</v>
          </cell>
          <cell r="DA78">
            <v>0</v>
          </cell>
          <cell r="DB78">
            <v>1</v>
          </cell>
          <cell r="DC78">
            <v>0</v>
          </cell>
          <cell r="DD78"/>
          <cell r="DE78">
            <v>3</v>
          </cell>
          <cell r="DF78">
            <v>26</v>
          </cell>
          <cell r="DG78">
            <v>0</v>
          </cell>
          <cell r="DH78">
            <v>1</v>
          </cell>
          <cell r="DI78">
            <v>0</v>
          </cell>
          <cell r="DJ78"/>
          <cell r="DK78">
            <v>4</v>
          </cell>
          <cell r="DL78">
            <v>0.88055555555555554</v>
          </cell>
        </row>
        <row r="79">
          <cell r="B79" t="str">
            <v>NV1591</v>
          </cell>
          <cell r="C79" t="str">
            <v>Văn Phòng</v>
          </cell>
          <cell r="D79" t="str">
            <v>Nguyễn Thị Thanh Lam</v>
          </cell>
          <cell r="E79" t="str">
            <v>VP</v>
          </cell>
          <cell r="F79">
            <v>45831</v>
          </cell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>
            <v>27</v>
          </cell>
          <cell r="AY79" t="str">
            <v>x</v>
          </cell>
          <cell r="AZ79">
            <v>0</v>
          </cell>
          <cell r="BA79">
            <v>0</v>
          </cell>
          <cell r="BB79"/>
          <cell r="BC79">
            <v>1</v>
          </cell>
          <cell r="BD79">
            <v>25</v>
          </cell>
          <cell r="BE79">
            <v>0</v>
          </cell>
          <cell r="BF79">
            <v>1</v>
          </cell>
          <cell r="BG79">
            <v>1</v>
          </cell>
          <cell r="BH79"/>
          <cell r="BI79">
            <v>1</v>
          </cell>
          <cell r="BJ79">
            <v>21</v>
          </cell>
          <cell r="BK79">
            <v>0</v>
          </cell>
          <cell r="BL79">
            <v>1</v>
          </cell>
          <cell r="BM79">
            <v>3</v>
          </cell>
          <cell r="BN79"/>
          <cell r="BO79">
            <v>-1</v>
          </cell>
          <cell r="BP79">
            <v>27</v>
          </cell>
          <cell r="BQ79">
            <v>0</v>
          </cell>
          <cell r="BR79">
            <v>1</v>
          </cell>
          <cell r="BS79">
            <v>0</v>
          </cell>
          <cell r="BT79"/>
          <cell r="BU79">
            <v>0</v>
          </cell>
          <cell r="BV79">
            <v>25</v>
          </cell>
          <cell r="BW79">
            <v>0</v>
          </cell>
          <cell r="BX79">
            <v>1</v>
          </cell>
          <cell r="BY79">
            <v>0</v>
          </cell>
          <cell r="BZ79"/>
          <cell r="CA79">
            <v>1</v>
          </cell>
          <cell r="CB79">
            <v>27</v>
          </cell>
          <cell r="CC79">
            <v>0</v>
          </cell>
          <cell r="CD79">
            <v>1</v>
          </cell>
          <cell r="CE79">
            <v>0</v>
          </cell>
          <cell r="CF79"/>
          <cell r="CG79">
            <v>2</v>
          </cell>
          <cell r="CH79">
            <v>26</v>
          </cell>
          <cell r="CI79">
            <v>0</v>
          </cell>
          <cell r="CJ79">
            <v>1</v>
          </cell>
          <cell r="CK79">
            <v>0</v>
          </cell>
          <cell r="CL79"/>
          <cell r="CM79">
            <v>3</v>
          </cell>
          <cell r="CN79">
            <v>18</v>
          </cell>
          <cell r="CO79">
            <v>0</v>
          </cell>
          <cell r="CP79">
            <v>1</v>
          </cell>
          <cell r="CQ79">
            <v>1</v>
          </cell>
          <cell r="CR79"/>
          <cell r="CS79">
            <v>3</v>
          </cell>
          <cell r="CT79">
            <v>24</v>
          </cell>
          <cell r="CU79">
            <v>0</v>
          </cell>
          <cell r="CV79">
            <v>1</v>
          </cell>
          <cell r="CW79">
            <v>2</v>
          </cell>
          <cell r="CX79"/>
          <cell r="CY79">
            <v>1</v>
          </cell>
          <cell r="CZ79">
            <v>24</v>
          </cell>
          <cell r="DA79">
            <v>0</v>
          </cell>
          <cell r="DB79">
            <v>1</v>
          </cell>
          <cell r="DC79">
            <v>0</v>
          </cell>
          <cell r="DD79"/>
          <cell r="DE79">
            <v>2</v>
          </cell>
          <cell r="DF79">
            <v>25</v>
          </cell>
          <cell r="DG79">
            <v>0</v>
          </cell>
          <cell r="DH79">
            <v>1</v>
          </cell>
          <cell r="DI79">
            <v>0</v>
          </cell>
          <cell r="DJ79"/>
          <cell r="DK79">
            <v>3</v>
          </cell>
          <cell r="DL79">
            <v>0.93888888888888888</v>
          </cell>
        </row>
        <row r="80">
          <cell r="B80" t="str">
            <v>NV1615</v>
          </cell>
          <cell r="C80" t="str">
            <v>Văn Phòng</v>
          </cell>
          <cell r="D80" t="str">
            <v>Ngô Việt Thi</v>
          </cell>
          <cell r="E80" t="str">
            <v>VP</v>
          </cell>
          <cell r="F80">
            <v>45880</v>
          </cell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>
            <v>17</v>
          </cell>
          <cell r="BE80" t="str">
            <v>x</v>
          </cell>
          <cell r="BF80">
            <v>0</v>
          </cell>
          <cell r="BG80">
            <v>0</v>
          </cell>
          <cell r="BH80"/>
          <cell r="BI80">
            <v>0</v>
          </cell>
          <cell r="BJ80">
            <v>22</v>
          </cell>
          <cell r="BK80" t="str">
            <v>x</v>
          </cell>
          <cell r="BL80">
            <v>0</v>
          </cell>
          <cell r="BM80">
            <v>0</v>
          </cell>
          <cell r="BN80"/>
          <cell r="BO80">
            <v>0</v>
          </cell>
          <cell r="BP80">
            <v>27</v>
          </cell>
          <cell r="BQ80">
            <v>0</v>
          </cell>
          <cell r="BR80">
            <v>1</v>
          </cell>
          <cell r="BS80">
            <v>0</v>
          </cell>
          <cell r="BT80"/>
          <cell r="BU80">
            <v>1</v>
          </cell>
          <cell r="BV80">
            <v>25</v>
          </cell>
          <cell r="BW80">
            <v>0</v>
          </cell>
          <cell r="BX80">
            <v>1</v>
          </cell>
          <cell r="BY80">
            <v>0</v>
          </cell>
          <cell r="BZ80"/>
          <cell r="CA80">
            <v>2</v>
          </cell>
          <cell r="CB80">
            <v>26</v>
          </cell>
          <cell r="CC80">
            <v>0</v>
          </cell>
          <cell r="CD80">
            <v>1</v>
          </cell>
          <cell r="CE80">
            <v>1</v>
          </cell>
          <cell r="CF80"/>
          <cell r="CG80">
            <v>2</v>
          </cell>
          <cell r="CH80">
            <v>25</v>
          </cell>
          <cell r="CI80">
            <v>0</v>
          </cell>
          <cell r="CJ80">
            <v>1</v>
          </cell>
          <cell r="CK80">
            <v>1</v>
          </cell>
          <cell r="CL80"/>
          <cell r="CM80">
            <v>2</v>
          </cell>
          <cell r="CN80">
            <v>18</v>
          </cell>
          <cell r="CO80">
            <v>0</v>
          </cell>
          <cell r="CP80">
            <v>1</v>
          </cell>
          <cell r="CQ80">
            <v>1</v>
          </cell>
          <cell r="CR80"/>
          <cell r="CS80">
            <v>2</v>
          </cell>
          <cell r="CT80">
            <v>26</v>
          </cell>
          <cell r="CU80">
            <v>0</v>
          </cell>
          <cell r="CV80">
            <v>1</v>
          </cell>
          <cell r="CW80">
            <v>0</v>
          </cell>
          <cell r="CX80"/>
          <cell r="CY80">
            <v>3</v>
          </cell>
          <cell r="CZ80">
            <v>23</v>
          </cell>
          <cell r="DA80">
            <v>0</v>
          </cell>
          <cell r="DB80">
            <v>1</v>
          </cell>
          <cell r="DC80">
            <v>1</v>
          </cell>
          <cell r="DD80"/>
          <cell r="DE80">
            <v>3</v>
          </cell>
          <cell r="DF80">
            <v>25</v>
          </cell>
          <cell r="DG80">
            <v>0</v>
          </cell>
          <cell r="DH80">
            <v>1</v>
          </cell>
          <cell r="DI80">
            <v>0</v>
          </cell>
          <cell r="DJ80"/>
          <cell r="DK80">
            <v>4</v>
          </cell>
          <cell r="DL80">
            <v>0.80555555555555558</v>
          </cell>
        </row>
        <row r="81">
          <cell r="B81" t="str">
            <v>NV1620</v>
          </cell>
          <cell r="C81" t="str">
            <v>Văn Phòng</v>
          </cell>
          <cell r="D81" t="str">
            <v>Trần Lan Anh</v>
          </cell>
          <cell r="E81" t="str">
            <v>VP</v>
          </cell>
          <cell r="F81">
            <v>45890</v>
          </cell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>
            <v>9</v>
          </cell>
          <cell r="BE81" t="str">
            <v>x</v>
          </cell>
          <cell r="BF81">
            <v>0</v>
          </cell>
          <cell r="BG81">
            <v>0</v>
          </cell>
          <cell r="BH81"/>
          <cell r="BI81">
            <v>0</v>
          </cell>
          <cell r="BJ81">
            <v>24</v>
          </cell>
          <cell r="BK81" t="str">
            <v>x</v>
          </cell>
          <cell r="BL81">
            <v>0</v>
          </cell>
          <cell r="BM81">
            <v>0</v>
          </cell>
          <cell r="BN81"/>
          <cell r="BO81">
            <v>0</v>
          </cell>
          <cell r="BP81">
            <v>27</v>
          </cell>
          <cell r="BQ81">
            <v>0</v>
          </cell>
          <cell r="BR81">
            <v>1</v>
          </cell>
          <cell r="BS81">
            <v>0</v>
          </cell>
          <cell r="BT81"/>
          <cell r="BU81">
            <v>1</v>
          </cell>
          <cell r="BV81">
            <v>25</v>
          </cell>
          <cell r="BW81">
            <v>0</v>
          </cell>
          <cell r="BX81">
            <v>1</v>
          </cell>
          <cell r="BY81">
            <v>0</v>
          </cell>
          <cell r="BZ81"/>
          <cell r="CA81">
            <v>2</v>
          </cell>
          <cell r="CB81">
            <v>25</v>
          </cell>
          <cell r="CC81">
            <v>0</v>
          </cell>
          <cell r="CD81">
            <v>1</v>
          </cell>
          <cell r="CE81">
            <v>2</v>
          </cell>
          <cell r="CF81"/>
          <cell r="CG81">
            <v>1</v>
          </cell>
          <cell r="CH81">
            <v>26</v>
          </cell>
          <cell r="CI81">
            <v>0</v>
          </cell>
          <cell r="CJ81">
            <v>1</v>
          </cell>
          <cell r="CK81">
            <v>0</v>
          </cell>
          <cell r="CL81"/>
          <cell r="CM81">
            <v>2</v>
          </cell>
          <cell r="CN81">
            <v>17</v>
          </cell>
          <cell r="CO81">
            <v>0</v>
          </cell>
          <cell r="CP81">
            <v>1</v>
          </cell>
          <cell r="CQ81">
            <v>2</v>
          </cell>
          <cell r="CR81"/>
          <cell r="CS81">
            <v>1</v>
          </cell>
          <cell r="CT81">
            <v>25</v>
          </cell>
          <cell r="CU81">
            <v>0</v>
          </cell>
          <cell r="CV81">
            <v>1</v>
          </cell>
          <cell r="CW81">
            <v>1</v>
          </cell>
          <cell r="CX81"/>
          <cell r="CY81">
            <v>1</v>
          </cell>
          <cell r="CZ81">
            <v>23</v>
          </cell>
          <cell r="DA81">
            <v>0</v>
          </cell>
          <cell r="DB81">
            <v>1</v>
          </cell>
          <cell r="DC81">
            <v>1</v>
          </cell>
          <cell r="DD81"/>
          <cell r="DE81">
            <v>1</v>
          </cell>
          <cell r="DF81">
            <v>24.5</v>
          </cell>
          <cell r="DG81">
            <v>0</v>
          </cell>
          <cell r="DH81">
            <v>1</v>
          </cell>
          <cell r="DI81">
            <v>0.5</v>
          </cell>
          <cell r="DJ81"/>
          <cell r="DK81">
            <v>1.5</v>
          </cell>
          <cell r="DL81">
            <v>0.77777777777777779</v>
          </cell>
        </row>
        <row r="82">
          <cell r="B82" t="str">
            <v>NV1636</v>
          </cell>
          <cell r="C82" t="str">
            <v>Văn Phòng</v>
          </cell>
          <cell r="D82" t="str">
            <v>Đặng Văn Bình</v>
          </cell>
          <cell r="E82" t="str">
            <v>VP</v>
          </cell>
          <cell r="F82">
            <v>45908</v>
          </cell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>
            <v>27</v>
          </cell>
          <cell r="BQ82" t="str">
            <v>x</v>
          </cell>
          <cell r="BR82">
            <v>0</v>
          </cell>
          <cell r="BS82">
            <v>0</v>
          </cell>
          <cell r="BT82"/>
          <cell r="BU82">
            <v>0</v>
          </cell>
          <cell r="BV82">
            <v>25</v>
          </cell>
          <cell r="BW82">
            <v>0</v>
          </cell>
          <cell r="BX82">
            <v>1</v>
          </cell>
          <cell r="BY82">
            <v>0</v>
          </cell>
          <cell r="BZ82"/>
          <cell r="CA82">
            <v>1</v>
          </cell>
          <cell r="CB82">
            <v>27</v>
          </cell>
          <cell r="CC82">
            <v>0</v>
          </cell>
          <cell r="CD82">
            <v>1</v>
          </cell>
          <cell r="CE82">
            <v>0</v>
          </cell>
          <cell r="CF82"/>
          <cell r="CG82">
            <v>2</v>
          </cell>
          <cell r="CH82">
            <v>26</v>
          </cell>
          <cell r="CI82">
            <v>0</v>
          </cell>
          <cell r="CJ82">
            <v>1</v>
          </cell>
          <cell r="CK82">
            <v>0</v>
          </cell>
          <cell r="CL82"/>
          <cell r="CM82">
            <v>3</v>
          </cell>
          <cell r="CN82">
            <v>12</v>
          </cell>
          <cell r="CO82">
            <v>0</v>
          </cell>
          <cell r="CP82">
            <v>0</v>
          </cell>
          <cell r="CQ82">
            <v>7</v>
          </cell>
          <cell r="CR82"/>
          <cell r="CS82">
            <v>-4</v>
          </cell>
          <cell r="CT82">
            <v>26</v>
          </cell>
          <cell r="CU82">
            <v>0</v>
          </cell>
          <cell r="CV82">
            <v>1</v>
          </cell>
          <cell r="CW82">
            <v>0</v>
          </cell>
          <cell r="CX82"/>
          <cell r="CY82">
            <v>-4</v>
          </cell>
          <cell r="CZ82">
            <v>25</v>
          </cell>
          <cell r="DA82">
            <v>0</v>
          </cell>
          <cell r="DB82">
            <v>1</v>
          </cell>
          <cell r="DC82">
            <v>0</v>
          </cell>
          <cell r="DD82"/>
          <cell r="DE82">
            <v>-3</v>
          </cell>
          <cell r="DF82">
            <v>26</v>
          </cell>
          <cell r="DG82">
            <v>0</v>
          </cell>
          <cell r="DH82">
            <v>1</v>
          </cell>
          <cell r="DI82">
            <v>0</v>
          </cell>
          <cell r="DJ82"/>
          <cell r="DK82">
            <v>-2</v>
          </cell>
          <cell r="DL82">
            <v>0.73055555555555551</v>
          </cell>
        </row>
        <row r="83">
          <cell r="B83" t="str">
            <v>NV1627</v>
          </cell>
          <cell r="C83" t="str">
            <v>Văn Phòng</v>
          </cell>
          <cell r="D83" t="str">
            <v>Chu Thị Kim Nga</v>
          </cell>
          <cell r="E83" t="str">
            <v>VP</v>
          </cell>
          <cell r="F83">
            <v>45908</v>
          </cell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>
            <v>27</v>
          </cell>
          <cell r="BQ83" t="str">
            <v>x</v>
          </cell>
          <cell r="BR83">
            <v>0</v>
          </cell>
          <cell r="BS83">
            <v>0</v>
          </cell>
          <cell r="BT83"/>
          <cell r="BU83">
            <v>0</v>
          </cell>
          <cell r="BV83">
            <v>25</v>
          </cell>
          <cell r="BW83">
            <v>0</v>
          </cell>
          <cell r="BX83">
            <v>1</v>
          </cell>
          <cell r="BY83">
            <v>0</v>
          </cell>
          <cell r="BZ83"/>
          <cell r="CA83">
            <v>1</v>
          </cell>
          <cell r="CB83">
            <v>26</v>
          </cell>
          <cell r="CC83">
            <v>0</v>
          </cell>
          <cell r="CD83">
            <v>1</v>
          </cell>
          <cell r="CE83">
            <v>1</v>
          </cell>
          <cell r="CF83"/>
          <cell r="CG83">
            <v>1</v>
          </cell>
          <cell r="CH83">
            <v>26</v>
          </cell>
          <cell r="CI83">
            <v>0</v>
          </cell>
          <cell r="CJ83">
            <v>1</v>
          </cell>
          <cell r="CK83">
            <v>0</v>
          </cell>
          <cell r="CL83"/>
          <cell r="CM83">
            <v>2</v>
          </cell>
          <cell r="CN83">
            <v>18</v>
          </cell>
          <cell r="CO83">
            <v>0</v>
          </cell>
          <cell r="CP83">
            <v>1</v>
          </cell>
          <cell r="CQ83">
            <v>1</v>
          </cell>
          <cell r="CR83"/>
          <cell r="CS83">
            <v>2</v>
          </cell>
          <cell r="CT83">
            <v>24.5</v>
          </cell>
          <cell r="CU83">
            <v>0</v>
          </cell>
          <cell r="CV83">
            <v>1</v>
          </cell>
          <cell r="CW83">
            <v>1.5</v>
          </cell>
          <cell r="CX83"/>
          <cell r="CY83">
            <v>1</v>
          </cell>
          <cell r="CZ83">
            <v>24</v>
          </cell>
          <cell r="DA83">
            <v>0</v>
          </cell>
          <cell r="DB83">
            <v>1</v>
          </cell>
          <cell r="DC83">
            <v>0</v>
          </cell>
          <cell r="DD83"/>
          <cell r="DE83">
            <v>2</v>
          </cell>
          <cell r="DF83">
            <v>22</v>
          </cell>
          <cell r="DG83">
            <v>0</v>
          </cell>
          <cell r="DH83">
            <v>1</v>
          </cell>
          <cell r="DI83">
            <v>3</v>
          </cell>
          <cell r="DJ83"/>
          <cell r="DK83">
            <v>0</v>
          </cell>
          <cell r="DL83">
            <v>0.73055555555555551</v>
          </cell>
        </row>
        <row r="84">
          <cell r="B84" t="str">
            <v>NV1635</v>
          </cell>
          <cell r="C84" t="str">
            <v>Văn Phòng</v>
          </cell>
          <cell r="D84" t="str">
            <v>Lê Thị Hồng Quyến</v>
          </cell>
          <cell r="E84" t="str">
            <v>VP</v>
          </cell>
          <cell r="F84">
            <v>45904</v>
          </cell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>
            <v>27</v>
          </cell>
          <cell r="BQ84" t="str">
            <v>x</v>
          </cell>
          <cell r="BR84">
            <v>0</v>
          </cell>
          <cell r="BS84">
            <v>0</v>
          </cell>
          <cell r="BT84"/>
          <cell r="BU84">
            <v>0</v>
          </cell>
          <cell r="BV84">
            <v>25</v>
          </cell>
          <cell r="BW84">
            <v>0</v>
          </cell>
          <cell r="BX84">
            <v>1</v>
          </cell>
          <cell r="BY84">
            <v>0</v>
          </cell>
          <cell r="BZ84"/>
          <cell r="CA84">
            <v>1</v>
          </cell>
          <cell r="CB84">
            <v>25.5</v>
          </cell>
          <cell r="CC84">
            <v>0</v>
          </cell>
          <cell r="CD84">
            <v>1</v>
          </cell>
          <cell r="CE84">
            <v>1.5</v>
          </cell>
          <cell r="CF84"/>
          <cell r="CG84">
            <v>0.5</v>
          </cell>
          <cell r="CH84">
            <v>25</v>
          </cell>
          <cell r="CI84">
            <v>0</v>
          </cell>
          <cell r="CJ84">
            <v>1</v>
          </cell>
          <cell r="CK84">
            <v>1</v>
          </cell>
          <cell r="CL84"/>
          <cell r="CM84">
            <v>0.5</v>
          </cell>
          <cell r="CN84">
            <v>19</v>
          </cell>
          <cell r="CO84">
            <v>0</v>
          </cell>
          <cell r="CP84">
            <v>1</v>
          </cell>
          <cell r="CQ84">
            <v>0</v>
          </cell>
          <cell r="CR84"/>
          <cell r="CS84">
            <v>1.5</v>
          </cell>
          <cell r="CT84">
            <v>24</v>
          </cell>
          <cell r="CU84">
            <v>0</v>
          </cell>
          <cell r="CV84">
            <v>1</v>
          </cell>
          <cell r="CW84">
            <v>2</v>
          </cell>
          <cell r="CX84"/>
          <cell r="CY84">
            <v>0.5</v>
          </cell>
          <cell r="CZ84">
            <v>22.5</v>
          </cell>
          <cell r="DA84">
            <v>0</v>
          </cell>
          <cell r="DB84">
            <v>1</v>
          </cell>
          <cell r="DC84">
            <v>0.5</v>
          </cell>
          <cell r="DD84"/>
          <cell r="DE84">
            <v>1</v>
          </cell>
          <cell r="DF84">
            <v>25</v>
          </cell>
          <cell r="DG84">
            <v>0</v>
          </cell>
          <cell r="DH84">
            <v>1</v>
          </cell>
          <cell r="DI84">
            <v>0</v>
          </cell>
          <cell r="DJ84"/>
          <cell r="DK84">
            <v>2</v>
          </cell>
          <cell r="DL84">
            <v>0.7416666666666667</v>
          </cell>
        </row>
        <row r="85">
          <cell r="B85" t="str">
            <v>NV0002</v>
          </cell>
          <cell r="C85" t="str">
            <v>Văn Phòng</v>
          </cell>
          <cell r="D85" t="str">
            <v>Nguyễn Thị Châu Linh</v>
          </cell>
          <cell r="E85" t="str">
            <v>VP</v>
          </cell>
          <cell r="F85">
            <v>45962</v>
          </cell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 t="e">
            <v>#REF!</v>
          </cell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>
            <v>0</v>
          </cell>
          <cell r="BS85"/>
          <cell r="BT85"/>
          <cell r="BU85"/>
          <cell r="BV85">
            <v>25</v>
          </cell>
          <cell r="BW85"/>
          <cell r="BX85">
            <v>1</v>
          </cell>
          <cell r="BY85">
            <v>0</v>
          </cell>
          <cell r="BZ85"/>
          <cell r="CA85">
            <v>1</v>
          </cell>
          <cell r="CB85">
            <v>25</v>
          </cell>
          <cell r="CC85"/>
          <cell r="CD85">
            <v>1</v>
          </cell>
          <cell r="CE85">
            <v>2</v>
          </cell>
          <cell r="CF85"/>
          <cell r="CG85">
            <v>0</v>
          </cell>
          <cell r="CH85">
            <v>26</v>
          </cell>
          <cell r="CI85">
            <v>0</v>
          </cell>
          <cell r="CJ85">
            <v>1</v>
          </cell>
          <cell r="CK85">
            <v>0</v>
          </cell>
          <cell r="CL85"/>
          <cell r="CM85">
            <v>1</v>
          </cell>
          <cell r="CN85">
            <v>19</v>
          </cell>
          <cell r="CO85">
            <v>0</v>
          </cell>
          <cell r="CP85">
            <v>1</v>
          </cell>
          <cell r="CQ85">
            <v>0</v>
          </cell>
          <cell r="CR85"/>
          <cell r="CS85">
            <v>2</v>
          </cell>
          <cell r="CT85">
            <v>26</v>
          </cell>
          <cell r="CU85">
            <v>0</v>
          </cell>
          <cell r="CV85">
            <v>1</v>
          </cell>
          <cell r="CW85">
            <v>0</v>
          </cell>
          <cell r="CX85"/>
          <cell r="CY85">
            <v>3</v>
          </cell>
          <cell r="CZ85">
            <v>24</v>
          </cell>
          <cell r="DA85">
            <v>0</v>
          </cell>
          <cell r="DB85">
            <v>1</v>
          </cell>
          <cell r="DC85">
            <v>0</v>
          </cell>
          <cell r="DD85"/>
          <cell r="DE85">
            <v>4</v>
          </cell>
          <cell r="DF85">
            <v>25</v>
          </cell>
          <cell r="DG85">
            <v>0</v>
          </cell>
          <cell r="DH85">
            <v>1</v>
          </cell>
          <cell r="DI85">
            <v>0</v>
          </cell>
          <cell r="DJ85"/>
          <cell r="DK85">
            <v>5</v>
          </cell>
          <cell r="DL85">
            <v>0.58333333333333337</v>
          </cell>
        </row>
        <row r="86">
          <cell r="B86" t="str">
            <v>NV1678</v>
          </cell>
          <cell r="C86" t="str">
            <v>Văn Phòng</v>
          </cell>
          <cell r="D86" t="str">
            <v>Nguyễn Khánh Hưng</v>
          </cell>
          <cell r="E86" t="str">
            <v>VP</v>
          </cell>
          <cell r="F86">
            <v>46006</v>
          </cell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>
            <v>27</v>
          </cell>
          <cell r="BQ86" t="str">
            <v>x</v>
          </cell>
          <cell r="BR86">
            <v>0</v>
          </cell>
          <cell r="BS86">
            <v>0</v>
          </cell>
          <cell r="BT86"/>
          <cell r="BU86">
            <v>0</v>
          </cell>
          <cell r="BV86"/>
          <cell r="BW86"/>
          <cell r="BX86">
            <v>0</v>
          </cell>
          <cell r="BY86"/>
          <cell r="BZ86"/>
          <cell r="CA86">
            <v>0</v>
          </cell>
          <cell r="CB86">
            <v>15</v>
          </cell>
          <cell r="CC86" t="str">
            <v>x</v>
          </cell>
          <cell r="CD86">
            <v>0</v>
          </cell>
          <cell r="CE86">
            <v>0</v>
          </cell>
          <cell r="CF86"/>
          <cell r="CG86">
            <v>0</v>
          </cell>
          <cell r="CH86">
            <v>26</v>
          </cell>
          <cell r="CI86" t="str">
            <v>x</v>
          </cell>
          <cell r="CJ86">
            <v>0</v>
          </cell>
          <cell r="CK86">
            <v>0</v>
          </cell>
          <cell r="CL86"/>
          <cell r="CM86">
            <v>0</v>
          </cell>
          <cell r="CN86">
            <v>17</v>
          </cell>
          <cell r="CO86">
            <v>0</v>
          </cell>
          <cell r="CP86">
            <v>1</v>
          </cell>
          <cell r="CQ86">
            <v>2</v>
          </cell>
          <cell r="CR86"/>
          <cell r="CS86">
            <v>-1</v>
          </cell>
          <cell r="CT86">
            <v>26</v>
          </cell>
          <cell r="CU86">
            <v>0</v>
          </cell>
          <cell r="CV86">
            <v>1</v>
          </cell>
          <cell r="CW86">
            <v>0</v>
          </cell>
          <cell r="CX86"/>
          <cell r="CY86">
            <v>0</v>
          </cell>
          <cell r="CZ86">
            <v>24</v>
          </cell>
          <cell r="DA86">
            <v>0</v>
          </cell>
          <cell r="DB86">
            <v>1</v>
          </cell>
          <cell r="DC86">
            <v>0</v>
          </cell>
          <cell r="DD86"/>
          <cell r="DE86">
            <v>1</v>
          </cell>
          <cell r="DF86">
            <v>25</v>
          </cell>
          <cell r="DG86">
            <v>0</v>
          </cell>
          <cell r="DH86">
            <v>1</v>
          </cell>
          <cell r="DI86">
            <v>0</v>
          </cell>
          <cell r="DJ86"/>
          <cell r="DK86">
            <v>2</v>
          </cell>
          <cell r="DL86">
            <v>0.46111111111111114</v>
          </cell>
        </row>
        <row r="87">
          <cell r="B87" t="str">
            <v>NV1672</v>
          </cell>
          <cell r="C87" t="str">
            <v>Văn Phòng</v>
          </cell>
          <cell r="D87" t="str">
            <v>Võ Văn Lợi</v>
          </cell>
          <cell r="E87" t="str">
            <v>VP</v>
          </cell>
          <cell r="F87">
            <v>45996</v>
          </cell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>
            <v>27</v>
          </cell>
          <cell r="BQ87" t="str">
            <v>x</v>
          </cell>
          <cell r="BR87">
            <v>0</v>
          </cell>
          <cell r="BS87">
            <v>0</v>
          </cell>
          <cell r="BT87"/>
          <cell r="BU87">
            <v>0</v>
          </cell>
          <cell r="BV87"/>
          <cell r="BW87"/>
          <cell r="BX87">
            <v>0</v>
          </cell>
          <cell r="BY87"/>
          <cell r="BZ87"/>
          <cell r="CA87">
            <v>0</v>
          </cell>
          <cell r="CB87">
            <v>21</v>
          </cell>
          <cell r="CC87" t="str">
            <v>x</v>
          </cell>
          <cell r="CD87">
            <v>0</v>
          </cell>
          <cell r="CE87">
            <v>0</v>
          </cell>
          <cell r="CF87"/>
          <cell r="CG87">
            <v>0</v>
          </cell>
          <cell r="CH87">
            <v>26</v>
          </cell>
          <cell r="CI87" t="str">
            <v>x</v>
          </cell>
          <cell r="CJ87">
            <v>0</v>
          </cell>
          <cell r="CK87">
            <v>0</v>
          </cell>
          <cell r="CL87"/>
          <cell r="CM87">
            <v>0</v>
          </cell>
          <cell r="CN87">
            <v>19</v>
          </cell>
          <cell r="CO87">
            <v>0</v>
          </cell>
          <cell r="CP87">
            <v>1</v>
          </cell>
          <cell r="CQ87">
            <v>0</v>
          </cell>
          <cell r="CR87"/>
          <cell r="CS87">
            <v>1</v>
          </cell>
          <cell r="CT87">
            <v>26</v>
          </cell>
          <cell r="CU87">
            <v>0</v>
          </cell>
          <cell r="CV87">
            <v>1</v>
          </cell>
          <cell r="CW87">
            <v>0</v>
          </cell>
          <cell r="CX87"/>
          <cell r="CY87">
            <v>3</v>
          </cell>
          <cell r="CZ87">
            <v>22.5</v>
          </cell>
          <cell r="DA87">
            <v>0</v>
          </cell>
          <cell r="DB87">
            <v>1</v>
          </cell>
          <cell r="DC87">
            <v>1.5</v>
          </cell>
          <cell r="DD87"/>
          <cell r="DE87">
            <v>2.5</v>
          </cell>
          <cell r="DF87">
            <v>24</v>
          </cell>
          <cell r="DG87">
            <v>0</v>
          </cell>
          <cell r="DH87">
            <v>1</v>
          </cell>
          <cell r="DI87">
            <v>1</v>
          </cell>
          <cell r="DJ87"/>
          <cell r="DK87">
            <v>2.5</v>
          </cell>
          <cell r="DL87">
            <v>0.48888888888888887</v>
          </cell>
        </row>
        <row r="88">
          <cell r="B88" t="str">
            <v>NV1673</v>
          </cell>
          <cell r="C88" t="str">
            <v>Văn Phòng</v>
          </cell>
          <cell r="D88" t="str">
            <v>Lê Thị Bạch Tuyết</v>
          </cell>
          <cell r="E88" t="str">
            <v>VP</v>
          </cell>
          <cell r="F88">
            <v>45996</v>
          </cell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>
            <v>27</v>
          </cell>
          <cell r="BQ88" t="str">
            <v>x</v>
          </cell>
          <cell r="BR88">
            <v>0</v>
          </cell>
          <cell r="BS88">
            <v>0</v>
          </cell>
          <cell r="BT88"/>
          <cell r="BU88">
            <v>0</v>
          </cell>
          <cell r="BV88"/>
          <cell r="BW88"/>
          <cell r="BX88">
            <v>0</v>
          </cell>
          <cell r="BY88"/>
          <cell r="BZ88"/>
          <cell r="CA88">
            <v>0</v>
          </cell>
          <cell r="CB88">
            <v>22</v>
          </cell>
          <cell r="CC88" t="str">
            <v>x</v>
          </cell>
          <cell r="CD88">
            <v>0</v>
          </cell>
          <cell r="CE88">
            <v>0</v>
          </cell>
          <cell r="CF88"/>
          <cell r="CG88">
            <v>0</v>
          </cell>
          <cell r="CH88">
            <v>26</v>
          </cell>
          <cell r="CI88" t="str">
            <v>x</v>
          </cell>
          <cell r="CJ88">
            <v>0</v>
          </cell>
          <cell r="CK88">
            <v>0</v>
          </cell>
          <cell r="CL88"/>
          <cell r="CM88">
            <v>0</v>
          </cell>
          <cell r="CN88">
            <v>19</v>
          </cell>
          <cell r="CO88">
            <v>0</v>
          </cell>
          <cell r="CP88">
            <v>1</v>
          </cell>
          <cell r="CQ88">
            <v>0</v>
          </cell>
          <cell r="CR88"/>
          <cell r="CS88">
            <v>1</v>
          </cell>
          <cell r="CT88">
            <v>25</v>
          </cell>
          <cell r="CU88">
            <v>0</v>
          </cell>
          <cell r="CV88">
            <v>1</v>
          </cell>
          <cell r="CW88">
            <v>1</v>
          </cell>
          <cell r="CX88"/>
          <cell r="CY88">
            <v>0</v>
          </cell>
          <cell r="CZ88">
            <v>20</v>
          </cell>
          <cell r="DA88">
            <v>0</v>
          </cell>
          <cell r="DB88">
            <v>0</v>
          </cell>
          <cell r="DC88">
            <v>0</v>
          </cell>
          <cell r="DD88"/>
          <cell r="DE88">
            <v>0</v>
          </cell>
          <cell r="DF88">
            <v>24</v>
          </cell>
          <cell r="DG88">
            <v>0</v>
          </cell>
          <cell r="DH88">
            <v>1</v>
          </cell>
          <cell r="DI88">
            <v>0.5</v>
          </cell>
          <cell r="DJ88"/>
          <cell r="DK88">
            <v>0.5</v>
          </cell>
          <cell r="DL88">
            <v>0.48888888888888887</v>
          </cell>
        </row>
        <row r="89">
          <cell r="B89" t="str">
            <v>NV1677</v>
          </cell>
          <cell r="C89" t="str">
            <v>Văn Phòng</v>
          </cell>
          <cell r="D89" t="str">
            <v>Nguyễn Viết Thanh Tùng</v>
          </cell>
          <cell r="E89" t="str">
            <v>VP</v>
          </cell>
          <cell r="F89">
            <v>46006</v>
          </cell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>
            <v>27</v>
          </cell>
          <cell r="BQ89" t="str">
            <v>x</v>
          </cell>
          <cell r="BR89">
            <v>0</v>
          </cell>
          <cell r="BS89">
            <v>0</v>
          </cell>
          <cell r="BT89"/>
          <cell r="BU89">
            <v>0</v>
          </cell>
          <cell r="BV89"/>
          <cell r="BW89"/>
          <cell r="BX89">
            <v>0</v>
          </cell>
          <cell r="BY89"/>
          <cell r="BZ89"/>
          <cell r="CA89">
            <v>0</v>
          </cell>
          <cell r="CB89">
            <v>14</v>
          </cell>
          <cell r="CC89" t="str">
            <v>x</v>
          </cell>
          <cell r="CD89">
            <v>0</v>
          </cell>
          <cell r="CE89">
            <v>0</v>
          </cell>
          <cell r="CF89"/>
          <cell r="CG89">
            <v>0</v>
          </cell>
          <cell r="CH89">
            <v>26</v>
          </cell>
          <cell r="CI89" t="str">
            <v>x</v>
          </cell>
          <cell r="CJ89">
            <v>0</v>
          </cell>
          <cell r="CK89">
            <v>0</v>
          </cell>
          <cell r="CL89"/>
          <cell r="CM89">
            <v>0</v>
          </cell>
          <cell r="CN89">
            <v>19</v>
          </cell>
          <cell r="CO89">
            <v>0</v>
          </cell>
          <cell r="CP89">
            <v>1</v>
          </cell>
          <cell r="CQ89">
            <v>0</v>
          </cell>
          <cell r="CR89"/>
          <cell r="CS89">
            <v>1</v>
          </cell>
          <cell r="CT89">
            <v>26</v>
          </cell>
          <cell r="CU89">
            <v>0</v>
          </cell>
          <cell r="CV89">
            <v>1</v>
          </cell>
          <cell r="CW89">
            <v>0</v>
          </cell>
          <cell r="CX89"/>
          <cell r="CY89">
            <v>3</v>
          </cell>
          <cell r="CZ89">
            <v>24</v>
          </cell>
          <cell r="DA89">
            <v>0</v>
          </cell>
          <cell r="DB89">
            <v>1</v>
          </cell>
          <cell r="DC89">
            <v>0</v>
          </cell>
          <cell r="DD89"/>
          <cell r="DE89">
            <v>4</v>
          </cell>
          <cell r="DF89">
            <v>25</v>
          </cell>
          <cell r="DG89">
            <v>0</v>
          </cell>
          <cell r="DH89">
            <v>1</v>
          </cell>
          <cell r="DI89">
            <v>0</v>
          </cell>
          <cell r="DJ89"/>
          <cell r="DK89">
            <v>5</v>
          </cell>
          <cell r="DL89">
            <v>0.46111111111111114</v>
          </cell>
        </row>
        <row r="90">
          <cell r="B90" t="str">
            <v>NV1680</v>
          </cell>
          <cell r="C90" t="str">
            <v>Văn Phòng</v>
          </cell>
          <cell r="D90" t="str">
            <v>Nguyễn Trọng Hoàng</v>
          </cell>
          <cell r="E90" t="str">
            <v>VP</v>
          </cell>
          <cell r="F90">
            <v>46030</v>
          </cell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>
            <v>27</v>
          </cell>
          <cell r="BQ90" t="str">
            <v>x</v>
          </cell>
          <cell r="BR90">
            <v>0</v>
          </cell>
          <cell r="BS90">
            <v>0</v>
          </cell>
          <cell r="BT90"/>
          <cell r="BU90">
            <v>0</v>
          </cell>
          <cell r="BV90"/>
          <cell r="BW90"/>
          <cell r="BX90">
            <v>0</v>
          </cell>
          <cell r="BY90"/>
          <cell r="BZ90"/>
          <cell r="CA90">
            <v>0</v>
          </cell>
          <cell r="CB90">
            <v>19</v>
          </cell>
          <cell r="CC90" t="str">
            <v>x</v>
          </cell>
          <cell r="CD90">
            <v>0</v>
          </cell>
          <cell r="CE90">
            <v>0</v>
          </cell>
          <cell r="CF90"/>
          <cell r="CG90">
            <v>0</v>
          </cell>
          <cell r="CH90">
            <v>21</v>
          </cell>
          <cell r="CI90" t="str">
            <v>x</v>
          </cell>
          <cell r="CJ90">
            <v>0</v>
          </cell>
          <cell r="CK90">
            <v>0</v>
          </cell>
          <cell r="CL90"/>
          <cell r="CM90">
            <v>0</v>
          </cell>
          <cell r="CN90">
            <v>19</v>
          </cell>
          <cell r="CO90" t="str">
            <v>x</v>
          </cell>
          <cell r="CP90">
            <v>0</v>
          </cell>
          <cell r="CQ90">
            <v>0</v>
          </cell>
          <cell r="CR90"/>
          <cell r="CS90">
            <v>0</v>
          </cell>
          <cell r="CT90">
            <v>26</v>
          </cell>
          <cell r="CU90">
            <v>0</v>
          </cell>
          <cell r="CV90">
            <v>1</v>
          </cell>
          <cell r="CW90">
            <v>0</v>
          </cell>
          <cell r="CX90"/>
          <cell r="CY90">
            <v>3</v>
          </cell>
          <cell r="CZ90">
            <v>24</v>
          </cell>
          <cell r="DA90">
            <v>0</v>
          </cell>
          <cell r="DB90">
            <v>1</v>
          </cell>
          <cell r="DC90">
            <v>0</v>
          </cell>
          <cell r="DD90"/>
          <cell r="DE90">
            <v>4</v>
          </cell>
          <cell r="DF90">
            <v>25</v>
          </cell>
          <cell r="DG90">
            <v>0</v>
          </cell>
          <cell r="DH90">
            <v>1</v>
          </cell>
          <cell r="DI90">
            <v>0</v>
          </cell>
          <cell r="DJ90"/>
          <cell r="DK90">
            <v>5</v>
          </cell>
          <cell r="DL90">
            <v>0.3972222222222222</v>
          </cell>
        </row>
        <row r="91">
          <cell r="B91" t="str">
            <v>NV1679</v>
          </cell>
          <cell r="C91" t="str">
            <v>Văn Phòng</v>
          </cell>
          <cell r="D91" t="str">
            <v>Trần Thị Ngọc Hân</v>
          </cell>
          <cell r="E91" t="str">
            <v>VP</v>
          </cell>
          <cell r="F91">
            <v>46027</v>
          </cell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>
            <v>27</v>
          </cell>
          <cell r="BQ91" t="str">
            <v>x</v>
          </cell>
          <cell r="BR91">
            <v>0</v>
          </cell>
          <cell r="BS91">
            <v>0</v>
          </cell>
          <cell r="BT91"/>
          <cell r="BU91">
            <v>0</v>
          </cell>
          <cell r="BV91"/>
          <cell r="BW91"/>
          <cell r="BX91">
            <v>0</v>
          </cell>
          <cell r="BY91"/>
          <cell r="BZ91"/>
          <cell r="CA91">
            <v>0</v>
          </cell>
          <cell r="CB91">
            <v>19</v>
          </cell>
          <cell r="CC91" t="str">
            <v>x</v>
          </cell>
          <cell r="CD91">
            <v>0</v>
          </cell>
          <cell r="CE91">
            <v>0</v>
          </cell>
          <cell r="CF91"/>
          <cell r="CG91">
            <v>0</v>
          </cell>
          <cell r="CH91">
            <v>24</v>
          </cell>
          <cell r="CI91" t="str">
            <v>x</v>
          </cell>
          <cell r="CJ91">
            <v>0</v>
          </cell>
          <cell r="CK91">
            <v>0</v>
          </cell>
          <cell r="CL91"/>
          <cell r="CM91">
            <v>0</v>
          </cell>
          <cell r="CN91">
            <v>19</v>
          </cell>
          <cell r="CO91" t="str">
            <v>x</v>
          </cell>
          <cell r="CP91">
            <v>0</v>
          </cell>
          <cell r="CQ91">
            <v>0</v>
          </cell>
          <cell r="CR91"/>
          <cell r="CS91">
            <v>0</v>
          </cell>
          <cell r="CT91">
            <v>25</v>
          </cell>
          <cell r="CU91">
            <v>0</v>
          </cell>
          <cell r="CV91">
            <v>1</v>
          </cell>
          <cell r="CW91">
            <v>1</v>
          </cell>
          <cell r="CX91"/>
          <cell r="CY91">
            <v>2</v>
          </cell>
          <cell r="CZ91">
            <v>23.5</v>
          </cell>
          <cell r="DA91">
            <v>0</v>
          </cell>
          <cell r="DB91">
            <v>1</v>
          </cell>
          <cell r="DC91">
            <v>0.5</v>
          </cell>
          <cell r="DD91"/>
          <cell r="DE91">
            <v>2.5</v>
          </cell>
          <cell r="DF91">
            <v>24.5</v>
          </cell>
          <cell r="DG91">
            <v>0</v>
          </cell>
          <cell r="DH91">
            <v>1</v>
          </cell>
          <cell r="DI91">
            <v>0.5</v>
          </cell>
          <cell r="DJ91"/>
          <cell r="DK91">
            <v>3</v>
          </cell>
          <cell r="DL91">
            <v>0.40555555555555556</v>
          </cell>
        </row>
        <row r="92">
          <cell r="B92" t="str">
            <v>NV1736</v>
          </cell>
          <cell r="C92" t="str">
            <v>Văn Phòng</v>
          </cell>
          <cell r="D92" t="str">
            <v>Trần Hồng Thủy</v>
          </cell>
          <cell r="E92" t="str">
            <v>VP</v>
          </cell>
          <cell r="F92">
            <v>46127</v>
          </cell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>
            <v>0</v>
          </cell>
          <cell r="DF92">
            <v>25</v>
          </cell>
          <cell r="DG92" t="str">
            <v>x</v>
          </cell>
          <cell r="DH92">
            <v>0</v>
          </cell>
          <cell r="DI92">
            <v>0</v>
          </cell>
          <cell r="DJ92"/>
          <cell r="DK92">
            <v>0</v>
          </cell>
          <cell r="DL92">
            <v>0.12777777777777777</v>
          </cell>
        </row>
        <row r="93">
          <cell r="B93" t="str">
            <v>NV1738</v>
          </cell>
          <cell r="C93" t="str">
            <v>Văn Phòng</v>
          </cell>
          <cell r="D93" t="str">
            <v>Nguyễn Thành Trung</v>
          </cell>
          <cell r="E93" t="str">
            <v>VP</v>
          </cell>
          <cell r="F93">
            <v>46132</v>
          </cell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>
            <v>0</v>
          </cell>
          <cell r="DF93">
            <v>25</v>
          </cell>
          <cell r="DG93" t="str">
            <v>x</v>
          </cell>
          <cell r="DH93">
            <v>0</v>
          </cell>
          <cell r="DI93">
            <v>0</v>
          </cell>
          <cell r="DJ93"/>
          <cell r="DK93">
            <v>0</v>
          </cell>
          <cell r="DL93">
            <v>0.11388888888888889</v>
          </cell>
        </row>
        <row r="94">
          <cell r="B94" t="str">
            <v>NV1715</v>
          </cell>
          <cell r="C94" t="str">
            <v>Văn Phòng</v>
          </cell>
          <cell r="D94" t="str">
            <v>Lê Minh Ngọc</v>
          </cell>
          <cell r="E94" t="str">
            <v>VP</v>
          </cell>
          <cell r="F94">
            <v>46099</v>
          </cell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>
            <v>0</v>
          </cell>
          <cell r="DF94">
            <v>23</v>
          </cell>
          <cell r="DG94">
            <v>0</v>
          </cell>
          <cell r="DH94">
            <v>2</v>
          </cell>
          <cell r="DI94">
            <v>2</v>
          </cell>
          <cell r="DJ94"/>
          <cell r="DK94">
            <v>0</v>
          </cell>
          <cell r="DL94">
            <v>0.20277777777777778</v>
          </cell>
        </row>
        <row r="95">
          <cell r="B95" t="str">
            <v>NV1729</v>
          </cell>
          <cell r="C95" t="str">
            <v>Văn Phòng</v>
          </cell>
          <cell r="D95" t="str">
            <v>Trần Minh Khoa</v>
          </cell>
          <cell r="E95" t="str">
            <v>VP</v>
          </cell>
          <cell r="F95">
            <v>46120</v>
          </cell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>
            <v>0</v>
          </cell>
          <cell r="DF95">
            <v>25</v>
          </cell>
          <cell r="DG95" t="str">
            <v>x</v>
          </cell>
          <cell r="DH95">
            <v>0</v>
          </cell>
          <cell r="DI95">
            <v>0</v>
          </cell>
          <cell r="DJ95"/>
          <cell r="DK95">
            <v>0</v>
          </cell>
          <cell r="DL95">
            <v>0.14722222222222223</v>
          </cell>
        </row>
        <row r="96"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>
            <v>0</v>
          </cell>
          <cell r="DF96" t="e">
            <v>#N/A</v>
          </cell>
          <cell r="DG96">
            <v>0</v>
          </cell>
          <cell r="DH96" t="e">
            <v>#N/A</v>
          </cell>
          <cell r="DI96" t="e">
            <v>#N/A</v>
          </cell>
          <cell r="DJ96"/>
          <cell r="DK96" t="e">
            <v>#N/A</v>
          </cell>
          <cell r="DL96">
            <v>126.41944444444445</v>
          </cell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/>
          <cell r="DC97"/>
          <cell r="DD97"/>
          <cell r="DE97">
            <v>0</v>
          </cell>
          <cell r="DF97" t="e">
            <v>#N/A</v>
          </cell>
          <cell r="DG97">
            <v>0</v>
          </cell>
          <cell r="DH97" t="e">
            <v>#N/A</v>
          </cell>
          <cell r="DI97" t="e">
            <v>#N/A</v>
          </cell>
          <cell r="DJ97"/>
          <cell r="DK97" t="e">
            <v>#N/A</v>
          </cell>
          <cell r="DL97">
            <v>126.41944444444445</v>
          </cell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>
            <v>0</v>
          </cell>
          <cell r="DF98" t="e">
            <v>#N/A</v>
          </cell>
          <cell r="DG98">
            <v>0</v>
          </cell>
          <cell r="DH98" t="e">
            <v>#N/A</v>
          </cell>
          <cell r="DI98" t="e">
            <v>#N/A</v>
          </cell>
          <cell r="DJ98"/>
          <cell r="DK98" t="e">
            <v>#N/A</v>
          </cell>
          <cell r="DL98">
            <v>126.41944444444445</v>
          </cell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>
            <v>0</v>
          </cell>
          <cell r="DF99" t="e">
            <v>#N/A</v>
          </cell>
          <cell r="DG99">
            <v>0</v>
          </cell>
          <cell r="DH99" t="e">
            <v>#N/A</v>
          </cell>
          <cell r="DI99" t="e">
            <v>#N/A</v>
          </cell>
          <cell r="DJ99"/>
          <cell r="DK99" t="e">
            <v>#N/A</v>
          </cell>
          <cell r="DL99">
            <v>126.41944444444445</v>
          </cell>
        </row>
        <row r="100"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>
            <v>0</v>
          </cell>
          <cell r="DF100" t="e">
            <v>#N/A</v>
          </cell>
          <cell r="DG100">
            <v>0</v>
          </cell>
          <cell r="DH100" t="e">
            <v>#N/A</v>
          </cell>
          <cell r="DI100" t="e">
            <v>#N/A</v>
          </cell>
          <cell r="DJ100"/>
          <cell r="DK100" t="e">
            <v>#N/A</v>
          </cell>
          <cell r="DL100">
            <v>126.41944444444445</v>
          </cell>
        </row>
        <row r="101"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>
            <v>0</v>
          </cell>
          <cell r="DF101" t="e">
            <v>#N/A</v>
          </cell>
          <cell r="DG101">
            <v>0</v>
          </cell>
          <cell r="DH101" t="e">
            <v>#N/A</v>
          </cell>
          <cell r="DI101" t="e">
            <v>#N/A</v>
          </cell>
          <cell r="DJ101"/>
          <cell r="DK101" t="e">
            <v>#N/A</v>
          </cell>
          <cell r="DL101">
            <v>126.41944444444445</v>
          </cell>
        </row>
        <row r="102"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>
            <v>0</v>
          </cell>
          <cell r="DF102" t="e">
            <v>#N/A</v>
          </cell>
          <cell r="DG102">
            <v>0</v>
          </cell>
          <cell r="DH102" t="e">
            <v>#N/A</v>
          </cell>
          <cell r="DI102" t="e">
            <v>#N/A</v>
          </cell>
          <cell r="DJ102"/>
          <cell r="DK102" t="e">
            <v>#N/A</v>
          </cell>
          <cell r="DL102">
            <v>126.41944444444445</v>
          </cell>
        </row>
      </sheetData>
      <sheetData sheetId="1">
        <row r="9">
          <cell r="B9" t="str">
            <v>CN0352</v>
          </cell>
          <cell r="C9" t="str">
            <v>Khối sản xuất</v>
          </cell>
          <cell r="D9" t="str">
            <v>Sơn Đi</v>
          </cell>
          <cell r="E9" t="str">
            <v>SX</v>
          </cell>
          <cell r="F9">
            <v>41682</v>
          </cell>
          <cell r="G9"/>
          <cell r="H9">
            <v>25</v>
          </cell>
          <cell r="I9">
            <v>0</v>
          </cell>
          <cell r="J9">
            <v>1</v>
          </cell>
          <cell r="K9">
            <v>1</v>
          </cell>
          <cell r="L9"/>
          <cell r="M9">
            <v>3.5</v>
          </cell>
          <cell r="N9">
            <v>24.5</v>
          </cell>
          <cell r="O9">
            <v>0</v>
          </cell>
          <cell r="P9">
            <v>1</v>
          </cell>
          <cell r="Q9">
            <v>1.5</v>
          </cell>
          <cell r="R9"/>
          <cell r="S9">
            <v>3</v>
          </cell>
          <cell r="T9" t="e">
            <v>#REF!</v>
          </cell>
          <cell r="U9">
            <v>0</v>
          </cell>
          <cell r="V9" t="e">
            <v>#REF!</v>
          </cell>
          <cell r="W9" t="e">
            <v>#REF!</v>
          </cell>
          <cell r="X9"/>
          <cell r="Y9">
            <v>2</v>
          </cell>
          <cell r="Z9">
            <v>21</v>
          </cell>
          <cell r="AA9">
            <v>0</v>
          </cell>
          <cell r="AB9">
            <v>1</v>
          </cell>
          <cell r="AC9">
            <v>3</v>
          </cell>
          <cell r="AD9"/>
          <cell r="AE9">
            <v>0</v>
          </cell>
          <cell r="AF9">
            <v>25.5</v>
          </cell>
          <cell r="AG9">
            <v>0</v>
          </cell>
          <cell r="AH9">
            <v>1</v>
          </cell>
          <cell r="AI9">
            <v>0.5</v>
          </cell>
          <cell r="AJ9"/>
          <cell r="AK9">
            <v>0.5</v>
          </cell>
          <cell r="AL9">
            <v>21</v>
          </cell>
          <cell r="AM9">
            <v>0</v>
          </cell>
          <cell r="AN9">
            <v>1</v>
          </cell>
          <cell r="AO9">
            <v>2</v>
          </cell>
          <cell r="AP9"/>
          <cell r="AQ9">
            <v>-0.5</v>
          </cell>
          <cell r="AR9">
            <v>27</v>
          </cell>
          <cell r="AS9">
            <v>0</v>
          </cell>
          <cell r="AT9">
            <v>1</v>
          </cell>
          <cell r="AU9">
            <v>0</v>
          </cell>
          <cell r="AV9"/>
          <cell r="AW9">
            <v>2.5</v>
          </cell>
          <cell r="AX9">
            <v>26</v>
          </cell>
          <cell r="AY9">
            <v>0</v>
          </cell>
          <cell r="AZ9">
            <v>1</v>
          </cell>
          <cell r="BA9">
            <v>0</v>
          </cell>
          <cell r="BB9"/>
          <cell r="BC9">
            <v>11.5</v>
          </cell>
          <cell r="BD9">
            <v>23</v>
          </cell>
          <cell r="BE9">
            <v>0</v>
          </cell>
          <cell r="BF9">
            <v>1</v>
          </cell>
          <cell r="BG9">
            <v>3</v>
          </cell>
          <cell r="BH9"/>
          <cell r="BI9">
            <v>1.5</v>
          </cell>
          <cell r="BJ9">
            <v>26</v>
          </cell>
          <cell r="BK9">
            <v>0</v>
          </cell>
          <cell r="BL9">
            <v>1</v>
          </cell>
          <cell r="BM9">
            <v>0</v>
          </cell>
          <cell r="BN9"/>
          <cell r="BO9">
            <v>4.5</v>
          </cell>
          <cell r="BP9">
            <v>26</v>
          </cell>
          <cell r="BQ9">
            <v>0</v>
          </cell>
          <cell r="BR9">
            <v>1</v>
          </cell>
          <cell r="BS9">
            <v>0</v>
          </cell>
          <cell r="BT9"/>
          <cell r="BU9">
            <v>5.5</v>
          </cell>
          <cell r="BV9">
            <v>24.5</v>
          </cell>
          <cell r="BW9">
            <v>0</v>
          </cell>
          <cell r="BX9">
            <v>1</v>
          </cell>
          <cell r="BY9">
            <v>1.5</v>
          </cell>
          <cell r="BZ9"/>
          <cell r="CA9">
            <v>5</v>
          </cell>
          <cell r="CB9">
            <v>26</v>
          </cell>
          <cell r="CC9">
            <v>0</v>
          </cell>
          <cell r="CD9">
            <v>1</v>
          </cell>
          <cell r="CE9">
            <v>0</v>
          </cell>
          <cell r="CF9"/>
          <cell r="CG9">
            <v>6</v>
          </cell>
          <cell r="CH9">
            <v>24.5</v>
          </cell>
          <cell r="CI9">
            <v>0</v>
          </cell>
          <cell r="CJ9">
            <v>1</v>
          </cell>
          <cell r="CK9">
            <v>0.5</v>
          </cell>
          <cell r="CL9"/>
          <cell r="CM9">
            <v>0.5</v>
          </cell>
          <cell r="CN9">
            <v>19</v>
          </cell>
          <cell r="CO9">
            <v>0</v>
          </cell>
          <cell r="CP9">
            <v>1</v>
          </cell>
          <cell r="CQ9">
            <v>2.5</v>
          </cell>
          <cell r="CR9"/>
          <cell r="CS9">
            <v>-1</v>
          </cell>
          <cell r="CT9">
            <v>23.5</v>
          </cell>
          <cell r="CU9">
            <v>0</v>
          </cell>
          <cell r="CV9">
            <v>1</v>
          </cell>
          <cell r="CW9">
            <v>0.5</v>
          </cell>
          <cell r="CX9"/>
          <cell r="CY9">
            <v>-0.5</v>
          </cell>
          <cell r="CZ9">
            <v>25</v>
          </cell>
          <cell r="DA9">
            <v>0</v>
          </cell>
          <cell r="DB9">
            <v>3</v>
          </cell>
          <cell r="DC9">
            <v>2</v>
          </cell>
          <cell r="DD9"/>
          <cell r="DE9">
            <v>0.5</v>
          </cell>
          <cell r="DF9">
            <v>21.5</v>
          </cell>
          <cell r="DG9">
            <v>0</v>
          </cell>
          <cell r="DH9">
            <v>1</v>
          </cell>
          <cell r="DI9">
            <v>1.5</v>
          </cell>
          <cell r="DJ9"/>
          <cell r="DK9">
            <v>0</v>
          </cell>
        </row>
        <row r="10">
          <cell r="B10" t="str">
            <v>CN0354</v>
          </cell>
          <cell r="C10" t="str">
            <v>Khối sản xuất</v>
          </cell>
          <cell r="D10" t="str">
            <v>Lê Thanh Chất</v>
          </cell>
          <cell r="E10" t="str">
            <v>SX</v>
          </cell>
          <cell r="F10">
            <v>43335</v>
          </cell>
          <cell r="G10"/>
          <cell r="H10">
            <v>26</v>
          </cell>
          <cell r="I10">
            <v>0</v>
          </cell>
          <cell r="J10">
            <v>1</v>
          </cell>
          <cell r="K10">
            <v>0</v>
          </cell>
          <cell r="L10"/>
          <cell r="M10">
            <v>7</v>
          </cell>
          <cell r="N10">
            <v>25.888888888888889</v>
          </cell>
          <cell r="O10">
            <v>0</v>
          </cell>
          <cell r="P10">
            <v>1</v>
          </cell>
          <cell r="Q10">
            <v>0</v>
          </cell>
          <cell r="R10"/>
          <cell r="S10">
            <v>8</v>
          </cell>
          <cell r="T10" t="e">
            <v>#REF!</v>
          </cell>
          <cell r="U10">
            <v>0</v>
          </cell>
          <cell r="V10" t="e">
            <v>#REF!</v>
          </cell>
          <cell r="W10" t="e">
            <v>#REF!</v>
          </cell>
          <cell r="X10"/>
          <cell r="Y10">
            <v>2</v>
          </cell>
          <cell r="Z10">
            <v>24</v>
          </cell>
          <cell r="AA10">
            <v>0</v>
          </cell>
          <cell r="AB10">
            <v>1</v>
          </cell>
          <cell r="AC10">
            <v>0</v>
          </cell>
          <cell r="AD10"/>
          <cell r="AE10">
            <v>3</v>
          </cell>
          <cell r="AF10">
            <v>26</v>
          </cell>
          <cell r="AG10">
            <v>0</v>
          </cell>
          <cell r="AH10">
            <v>1</v>
          </cell>
          <cell r="AI10">
            <v>0</v>
          </cell>
          <cell r="AJ10"/>
          <cell r="AK10">
            <v>4</v>
          </cell>
          <cell r="AL10">
            <v>23</v>
          </cell>
          <cell r="AM10">
            <v>0</v>
          </cell>
          <cell r="AN10">
            <v>1</v>
          </cell>
          <cell r="AO10">
            <v>0</v>
          </cell>
          <cell r="AP10"/>
          <cell r="AQ10">
            <v>5</v>
          </cell>
          <cell r="AR10">
            <v>25</v>
          </cell>
          <cell r="AS10">
            <v>0</v>
          </cell>
          <cell r="AT10">
            <v>1</v>
          </cell>
          <cell r="AU10">
            <v>2</v>
          </cell>
          <cell r="AV10"/>
          <cell r="AW10">
            <v>5</v>
          </cell>
          <cell r="AX10">
            <v>26</v>
          </cell>
          <cell r="AY10">
            <v>0</v>
          </cell>
          <cell r="AZ10">
            <v>1</v>
          </cell>
          <cell r="BA10">
            <v>0</v>
          </cell>
          <cell r="BB10"/>
          <cell r="BC10">
            <v>16</v>
          </cell>
          <cell r="BD10">
            <v>26</v>
          </cell>
          <cell r="BE10">
            <v>0</v>
          </cell>
          <cell r="BF10">
            <v>1</v>
          </cell>
          <cell r="BG10">
            <v>0</v>
          </cell>
          <cell r="BH10"/>
          <cell r="BI10">
            <v>7</v>
          </cell>
          <cell r="BJ10">
            <v>26</v>
          </cell>
          <cell r="BK10">
            <v>0</v>
          </cell>
          <cell r="BL10">
            <v>1</v>
          </cell>
          <cell r="BM10">
            <v>0</v>
          </cell>
          <cell r="BN10"/>
          <cell r="BO10">
            <v>7</v>
          </cell>
          <cell r="BP10">
            <v>26</v>
          </cell>
          <cell r="BQ10">
            <v>0</v>
          </cell>
          <cell r="BR10">
            <v>1</v>
          </cell>
          <cell r="BS10">
            <v>0</v>
          </cell>
          <cell r="BT10"/>
          <cell r="BU10">
            <v>8</v>
          </cell>
          <cell r="BV10">
            <v>25</v>
          </cell>
          <cell r="BW10">
            <v>0</v>
          </cell>
          <cell r="BX10">
            <v>1</v>
          </cell>
          <cell r="BY10">
            <v>1</v>
          </cell>
          <cell r="BZ10"/>
          <cell r="CA10">
            <v>8</v>
          </cell>
          <cell r="CB10">
            <v>26</v>
          </cell>
          <cell r="CC10">
            <v>0</v>
          </cell>
          <cell r="CD10">
            <v>1</v>
          </cell>
          <cell r="CE10">
            <v>0</v>
          </cell>
          <cell r="CF10"/>
          <cell r="CG10">
            <v>9</v>
          </cell>
          <cell r="CH10">
            <v>24</v>
          </cell>
          <cell r="CI10">
            <v>0</v>
          </cell>
          <cell r="CJ10">
            <v>1</v>
          </cell>
          <cell r="CK10">
            <v>1</v>
          </cell>
          <cell r="CL10"/>
          <cell r="CM10">
            <v>0</v>
          </cell>
          <cell r="CN10">
            <v>21</v>
          </cell>
          <cell r="CO10">
            <v>0</v>
          </cell>
          <cell r="CP10">
            <v>1</v>
          </cell>
          <cell r="CQ10">
            <v>1</v>
          </cell>
          <cell r="CR10"/>
          <cell r="CS10">
            <v>0</v>
          </cell>
          <cell r="CT10">
            <v>23</v>
          </cell>
          <cell r="CU10">
            <v>0</v>
          </cell>
          <cell r="CV10">
            <v>1</v>
          </cell>
          <cell r="CW10">
            <v>1</v>
          </cell>
          <cell r="CX10"/>
          <cell r="CY10">
            <v>0</v>
          </cell>
          <cell r="CZ10">
            <v>27</v>
          </cell>
          <cell r="DA10">
            <v>0</v>
          </cell>
          <cell r="DB10">
            <v>2</v>
          </cell>
          <cell r="DC10">
            <v>0</v>
          </cell>
          <cell r="DD10"/>
          <cell r="DE10">
            <v>2</v>
          </cell>
          <cell r="DF10">
            <v>25</v>
          </cell>
          <cell r="DG10">
            <v>0</v>
          </cell>
          <cell r="DH10">
            <v>1</v>
          </cell>
          <cell r="DI10">
            <v>0</v>
          </cell>
          <cell r="DJ10"/>
          <cell r="DK10">
            <v>3</v>
          </cell>
        </row>
        <row r="11">
          <cell r="B11" t="str">
            <v>CN0254</v>
          </cell>
          <cell r="C11" t="str">
            <v>Khối sản xuất</v>
          </cell>
          <cell r="D11" t="str">
            <v>Trần Khắc Hải</v>
          </cell>
          <cell r="E11" t="str">
            <v>SX</v>
          </cell>
          <cell r="F11">
            <v>43178</v>
          </cell>
          <cell r="G11"/>
          <cell r="H11">
            <v>21</v>
          </cell>
          <cell r="I11">
            <v>0</v>
          </cell>
          <cell r="J11">
            <v>1</v>
          </cell>
          <cell r="K11">
            <v>5</v>
          </cell>
          <cell r="L11"/>
          <cell r="M11">
            <v>5</v>
          </cell>
          <cell r="N11">
            <v>26</v>
          </cell>
          <cell r="O11">
            <v>0</v>
          </cell>
          <cell r="P11">
            <v>1</v>
          </cell>
          <cell r="Q11">
            <v>0</v>
          </cell>
          <cell r="R11"/>
          <cell r="S11">
            <v>6</v>
          </cell>
          <cell r="T11" t="e">
            <v>#REF!</v>
          </cell>
          <cell r="U11">
            <v>0</v>
          </cell>
          <cell r="V11" t="e">
            <v>#REF!</v>
          </cell>
          <cell r="W11" t="e">
            <v>#REF!</v>
          </cell>
          <cell r="X11"/>
          <cell r="Y11">
            <v>2</v>
          </cell>
          <cell r="Z11">
            <v>24</v>
          </cell>
          <cell r="AA11">
            <v>0</v>
          </cell>
          <cell r="AB11">
            <v>1</v>
          </cell>
          <cell r="AC11">
            <v>0</v>
          </cell>
          <cell r="AD11"/>
          <cell r="AE11">
            <v>3</v>
          </cell>
          <cell r="AF11">
            <v>26</v>
          </cell>
          <cell r="AG11">
            <v>0</v>
          </cell>
          <cell r="AH11">
            <v>1</v>
          </cell>
          <cell r="AI11">
            <v>0</v>
          </cell>
          <cell r="AJ11"/>
          <cell r="AK11">
            <v>4</v>
          </cell>
          <cell r="AL11">
            <v>23</v>
          </cell>
          <cell r="AM11">
            <v>0</v>
          </cell>
          <cell r="AN11">
            <v>1</v>
          </cell>
          <cell r="AO11">
            <v>0</v>
          </cell>
          <cell r="AP11"/>
          <cell r="AQ11">
            <v>5</v>
          </cell>
          <cell r="AR11">
            <v>27</v>
          </cell>
          <cell r="AS11">
            <v>0</v>
          </cell>
          <cell r="AT11">
            <v>1</v>
          </cell>
          <cell r="AU11">
            <v>0</v>
          </cell>
          <cell r="AV11"/>
          <cell r="AW11">
            <v>7</v>
          </cell>
          <cell r="AX11">
            <v>26</v>
          </cell>
          <cell r="AY11">
            <v>0</v>
          </cell>
          <cell r="AZ11">
            <v>1</v>
          </cell>
          <cell r="BA11">
            <v>0</v>
          </cell>
          <cell r="BB11"/>
          <cell r="BC11">
            <v>19.5</v>
          </cell>
          <cell r="BD11">
            <v>26</v>
          </cell>
          <cell r="BE11">
            <v>0</v>
          </cell>
          <cell r="BF11">
            <v>1</v>
          </cell>
          <cell r="BG11">
            <v>0</v>
          </cell>
          <cell r="BH11"/>
          <cell r="BI11">
            <v>9</v>
          </cell>
          <cell r="BJ11">
            <v>26</v>
          </cell>
          <cell r="BK11">
            <v>0</v>
          </cell>
          <cell r="BL11">
            <v>1</v>
          </cell>
          <cell r="BM11">
            <v>0</v>
          </cell>
          <cell r="BN11"/>
          <cell r="BO11">
            <v>9</v>
          </cell>
          <cell r="BP11">
            <v>26</v>
          </cell>
          <cell r="BQ11">
            <v>0</v>
          </cell>
          <cell r="BR11">
            <v>1</v>
          </cell>
          <cell r="BS11">
            <v>0</v>
          </cell>
          <cell r="BT11"/>
          <cell r="BU11">
            <v>10</v>
          </cell>
          <cell r="BV11">
            <v>25.5</v>
          </cell>
          <cell r="BW11">
            <v>0</v>
          </cell>
          <cell r="BX11">
            <v>1</v>
          </cell>
          <cell r="BY11">
            <v>0.5</v>
          </cell>
          <cell r="BZ11"/>
          <cell r="CA11">
            <v>10.5</v>
          </cell>
          <cell r="CB11">
            <v>25</v>
          </cell>
          <cell r="CC11">
            <v>0</v>
          </cell>
          <cell r="CD11">
            <v>1</v>
          </cell>
          <cell r="CE11">
            <v>1</v>
          </cell>
          <cell r="CF11"/>
          <cell r="CG11">
            <v>10.5</v>
          </cell>
          <cell r="CH11">
            <v>25</v>
          </cell>
          <cell r="CI11">
            <v>0</v>
          </cell>
          <cell r="CJ11">
            <v>1</v>
          </cell>
          <cell r="CK11">
            <v>0</v>
          </cell>
          <cell r="CL11"/>
          <cell r="CM11">
            <v>1</v>
          </cell>
          <cell r="CN11">
            <v>21</v>
          </cell>
          <cell r="CO11">
            <v>0</v>
          </cell>
          <cell r="CP11">
            <v>1</v>
          </cell>
          <cell r="CQ11">
            <v>1</v>
          </cell>
          <cell r="CR11"/>
          <cell r="CS11">
            <v>1</v>
          </cell>
          <cell r="CT11">
            <v>24</v>
          </cell>
          <cell r="CU11">
            <v>0</v>
          </cell>
          <cell r="CV11">
            <v>1</v>
          </cell>
          <cell r="CW11">
            <v>0</v>
          </cell>
          <cell r="CX11"/>
          <cell r="CY11">
            <v>2</v>
          </cell>
          <cell r="CZ11">
            <v>27</v>
          </cell>
          <cell r="DA11">
            <v>0</v>
          </cell>
          <cell r="DB11">
            <v>2</v>
          </cell>
          <cell r="DC11">
            <v>0</v>
          </cell>
          <cell r="DD11"/>
          <cell r="DE11">
            <v>4</v>
          </cell>
          <cell r="DF11">
            <v>21.5</v>
          </cell>
          <cell r="DG11">
            <v>0</v>
          </cell>
          <cell r="DH11">
            <v>1</v>
          </cell>
          <cell r="DI11">
            <v>1.5</v>
          </cell>
          <cell r="DJ11"/>
          <cell r="DK11">
            <v>3.5</v>
          </cell>
        </row>
        <row r="12">
          <cell r="B12" t="str">
            <v>CN0017</v>
          </cell>
          <cell r="C12" t="str">
            <v>Khối sản xuất</v>
          </cell>
          <cell r="D12" t="str">
            <v>Trần Che</v>
          </cell>
          <cell r="E12" t="str">
            <v>SX</v>
          </cell>
          <cell r="F12">
            <v>41048</v>
          </cell>
          <cell r="G12"/>
          <cell r="H12">
            <v>26</v>
          </cell>
          <cell r="I12">
            <v>0</v>
          </cell>
          <cell r="J12">
            <v>1</v>
          </cell>
          <cell r="K12">
            <v>0</v>
          </cell>
          <cell r="L12"/>
          <cell r="M12">
            <v>5.5</v>
          </cell>
          <cell r="N12">
            <v>23.5</v>
          </cell>
          <cell r="O12">
            <v>0</v>
          </cell>
          <cell r="P12">
            <v>1</v>
          </cell>
          <cell r="Q12">
            <v>2.5</v>
          </cell>
          <cell r="R12"/>
          <cell r="S12">
            <v>4</v>
          </cell>
          <cell r="T12" t="e">
            <v>#REF!</v>
          </cell>
          <cell r="U12">
            <v>0</v>
          </cell>
          <cell r="V12" t="e">
            <v>#REF!</v>
          </cell>
          <cell r="W12" t="e">
            <v>#REF!</v>
          </cell>
          <cell r="X12"/>
          <cell r="Y12">
            <v>2</v>
          </cell>
          <cell r="Z12">
            <v>24</v>
          </cell>
          <cell r="AA12">
            <v>0</v>
          </cell>
          <cell r="AB12">
            <v>1</v>
          </cell>
          <cell r="AC12">
            <v>0</v>
          </cell>
          <cell r="AD12"/>
          <cell r="AE12">
            <v>3</v>
          </cell>
          <cell r="AF12">
            <v>26</v>
          </cell>
          <cell r="AG12">
            <v>0</v>
          </cell>
          <cell r="AH12">
            <v>1</v>
          </cell>
          <cell r="AI12">
            <v>0</v>
          </cell>
          <cell r="AJ12"/>
          <cell r="AK12">
            <v>4</v>
          </cell>
          <cell r="AL12">
            <v>22</v>
          </cell>
          <cell r="AM12">
            <v>0</v>
          </cell>
          <cell r="AN12">
            <v>1</v>
          </cell>
          <cell r="AO12">
            <v>1</v>
          </cell>
          <cell r="AP12"/>
          <cell r="AQ12">
            <v>4</v>
          </cell>
          <cell r="AR12">
            <v>27</v>
          </cell>
          <cell r="AS12">
            <v>0</v>
          </cell>
          <cell r="AT12">
            <v>1</v>
          </cell>
          <cell r="AU12">
            <v>0</v>
          </cell>
          <cell r="AV12"/>
          <cell r="AW12">
            <v>7</v>
          </cell>
          <cell r="AX12">
            <v>25.5</v>
          </cell>
          <cell r="AY12">
            <v>0</v>
          </cell>
          <cell r="AZ12">
            <v>1</v>
          </cell>
          <cell r="BA12">
            <v>0.5</v>
          </cell>
          <cell r="BB12"/>
          <cell r="BC12">
            <v>21</v>
          </cell>
          <cell r="BD12">
            <v>26</v>
          </cell>
          <cell r="BE12">
            <v>0</v>
          </cell>
          <cell r="BF12">
            <v>1</v>
          </cell>
          <cell r="BG12">
            <v>0</v>
          </cell>
          <cell r="BH12"/>
          <cell r="BI12">
            <v>8.5</v>
          </cell>
          <cell r="BJ12">
            <v>26</v>
          </cell>
          <cell r="BK12">
            <v>0</v>
          </cell>
          <cell r="BL12">
            <v>1</v>
          </cell>
          <cell r="BM12">
            <v>0</v>
          </cell>
          <cell r="BN12"/>
          <cell r="BO12">
            <v>8.5</v>
          </cell>
          <cell r="BP12">
            <v>26</v>
          </cell>
          <cell r="BQ12">
            <v>0</v>
          </cell>
          <cell r="BR12">
            <v>1</v>
          </cell>
          <cell r="BS12">
            <v>0</v>
          </cell>
          <cell r="BT12"/>
          <cell r="BU12">
            <v>9.5</v>
          </cell>
          <cell r="BV12">
            <v>26</v>
          </cell>
          <cell r="BW12">
            <v>0</v>
          </cell>
          <cell r="BX12">
            <v>1</v>
          </cell>
          <cell r="BY12">
            <v>0</v>
          </cell>
          <cell r="BZ12"/>
          <cell r="CA12">
            <v>10.5</v>
          </cell>
          <cell r="CB12">
            <v>26</v>
          </cell>
          <cell r="CC12">
            <v>0</v>
          </cell>
          <cell r="CD12">
            <v>1</v>
          </cell>
          <cell r="CE12">
            <v>0</v>
          </cell>
          <cell r="CF12"/>
          <cell r="CG12">
            <v>11.5</v>
          </cell>
          <cell r="CH12">
            <v>24</v>
          </cell>
          <cell r="CI12">
            <v>0</v>
          </cell>
          <cell r="CJ12">
            <v>1</v>
          </cell>
          <cell r="CK12">
            <v>1</v>
          </cell>
          <cell r="CL12"/>
          <cell r="CM12">
            <v>0</v>
          </cell>
          <cell r="CN12">
            <v>21</v>
          </cell>
          <cell r="CO12">
            <v>0</v>
          </cell>
          <cell r="CP12">
            <v>1</v>
          </cell>
          <cell r="CQ12">
            <v>1</v>
          </cell>
          <cell r="CR12"/>
          <cell r="CS12">
            <v>0</v>
          </cell>
          <cell r="CT12">
            <v>24</v>
          </cell>
          <cell r="CU12">
            <v>0</v>
          </cell>
          <cell r="CV12">
            <v>1</v>
          </cell>
          <cell r="CW12">
            <v>0</v>
          </cell>
          <cell r="CX12"/>
          <cell r="CY12">
            <v>1</v>
          </cell>
          <cell r="CZ12">
            <v>27</v>
          </cell>
          <cell r="DA12">
            <v>0</v>
          </cell>
          <cell r="DB12">
            <v>3</v>
          </cell>
          <cell r="DC12">
            <v>0</v>
          </cell>
          <cell r="DD12"/>
          <cell r="DE12">
            <v>4</v>
          </cell>
          <cell r="DF12">
            <v>23</v>
          </cell>
          <cell r="DG12">
            <v>0</v>
          </cell>
          <cell r="DH12">
            <v>1</v>
          </cell>
          <cell r="DI12">
            <v>0</v>
          </cell>
          <cell r="DJ12"/>
          <cell r="DK12">
            <v>5</v>
          </cell>
        </row>
        <row r="13">
          <cell r="B13" t="str">
            <v>CN0586</v>
          </cell>
          <cell r="C13" t="str">
            <v>Khối sản xuất</v>
          </cell>
          <cell r="D13" t="str">
            <v>Lâm Văn Luận</v>
          </cell>
          <cell r="E13" t="str">
            <v>SX</v>
          </cell>
          <cell r="F13">
            <v>43928</v>
          </cell>
          <cell r="G13"/>
          <cell r="H13">
            <v>26</v>
          </cell>
          <cell r="I13">
            <v>0</v>
          </cell>
          <cell r="J13">
            <v>1</v>
          </cell>
          <cell r="K13">
            <v>0</v>
          </cell>
          <cell r="L13"/>
          <cell r="M13">
            <v>0</v>
          </cell>
          <cell r="N13">
            <v>24</v>
          </cell>
          <cell r="O13">
            <v>0</v>
          </cell>
          <cell r="P13">
            <v>1</v>
          </cell>
          <cell r="Q13">
            <v>2</v>
          </cell>
          <cell r="R13"/>
          <cell r="S13">
            <v>-1</v>
          </cell>
          <cell r="T13" t="e">
            <v>#REF!</v>
          </cell>
          <cell r="U13">
            <v>0</v>
          </cell>
          <cell r="V13" t="e">
            <v>#REF!</v>
          </cell>
          <cell r="W13" t="e">
            <v>#REF!</v>
          </cell>
          <cell r="X13"/>
          <cell r="Y13">
            <v>0</v>
          </cell>
          <cell r="Z13">
            <v>24</v>
          </cell>
          <cell r="AA13">
            <v>0</v>
          </cell>
          <cell r="AB13">
            <v>1</v>
          </cell>
          <cell r="AC13">
            <v>0</v>
          </cell>
          <cell r="AD13"/>
          <cell r="AE13">
            <v>1</v>
          </cell>
          <cell r="AF13">
            <v>25</v>
          </cell>
          <cell r="AG13">
            <v>0</v>
          </cell>
          <cell r="AH13">
            <v>1</v>
          </cell>
          <cell r="AI13">
            <v>1</v>
          </cell>
          <cell r="AJ13"/>
          <cell r="AK13">
            <v>1</v>
          </cell>
          <cell r="AL13">
            <v>23</v>
          </cell>
          <cell r="AM13">
            <v>0</v>
          </cell>
          <cell r="AN13">
            <v>1</v>
          </cell>
          <cell r="AO13">
            <v>0</v>
          </cell>
          <cell r="AP13"/>
          <cell r="AQ13">
            <v>2</v>
          </cell>
          <cell r="AR13">
            <v>26.5</v>
          </cell>
          <cell r="AS13">
            <v>0</v>
          </cell>
          <cell r="AT13">
            <v>1</v>
          </cell>
          <cell r="AU13">
            <v>0.5</v>
          </cell>
          <cell r="AV13"/>
          <cell r="AW13">
            <v>3.5</v>
          </cell>
          <cell r="AX13">
            <v>25</v>
          </cell>
          <cell r="AY13">
            <v>0</v>
          </cell>
          <cell r="AZ13">
            <v>1</v>
          </cell>
          <cell r="BA13">
            <v>1</v>
          </cell>
          <cell r="BB13"/>
          <cell r="BC13">
            <v>10.5</v>
          </cell>
          <cell r="BD13">
            <v>25.5</v>
          </cell>
          <cell r="BE13">
            <v>0</v>
          </cell>
          <cell r="BF13">
            <v>1</v>
          </cell>
          <cell r="BG13">
            <v>0.5</v>
          </cell>
          <cell r="BH13"/>
          <cell r="BI13">
            <v>4</v>
          </cell>
          <cell r="BJ13">
            <v>24.5</v>
          </cell>
          <cell r="BK13">
            <v>0</v>
          </cell>
          <cell r="BL13">
            <v>1</v>
          </cell>
          <cell r="BM13">
            <v>1.5</v>
          </cell>
          <cell r="BN13"/>
          <cell r="BO13">
            <v>3</v>
          </cell>
          <cell r="BP13">
            <v>24.5</v>
          </cell>
          <cell r="BQ13">
            <v>0</v>
          </cell>
          <cell r="BR13">
            <v>1</v>
          </cell>
          <cell r="BS13">
            <v>1.5</v>
          </cell>
          <cell r="BT13"/>
          <cell r="BU13">
            <v>4</v>
          </cell>
          <cell r="BV13">
            <v>26</v>
          </cell>
          <cell r="BW13">
            <v>0</v>
          </cell>
          <cell r="BX13">
            <v>1</v>
          </cell>
          <cell r="BY13">
            <v>0</v>
          </cell>
          <cell r="BZ13"/>
          <cell r="CA13">
            <v>5</v>
          </cell>
          <cell r="CB13">
            <v>26</v>
          </cell>
          <cell r="CC13">
            <v>0</v>
          </cell>
          <cell r="CD13">
            <v>1</v>
          </cell>
          <cell r="CE13">
            <v>0</v>
          </cell>
          <cell r="CF13"/>
          <cell r="CG13">
            <v>6</v>
          </cell>
          <cell r="CH13">
            <v>23</v>
          </cell>
          <cell r="CI13">
            <v>0</v>
          </cell>
          <cell r="CJ13">
            <v>1</v>
          </cell>
          <cell r="CK13">
            <v>1</v>
          </cell>
          <cell r="CL13"/>
          <cell r="CM13">
            <v>0</v>
          </cell>
          <cell r="CN13">
            <v>21</v>
          </cell>
          <cell r="CO13">
            <v>0</v>
          </cell>
          <cell r="CP13">
            <v>1</v>
          </cell>
          <cell r="CQ13">
            <v>1</v>
          </cell>
          <cell r="CR13"/>
          <cell r="CS13">
            <v>0</v>
          </cell>
          <cell r="CT13">
            <v>18</v>
          </cell>
          <cell r="CU13">
            <v>0</v>
          </cell>
          <cell r="CV13">
            <v>1</v>
          </cell>
          <cell r="CW13">
            <v>1</v>
          </cell>
          <cell r="CX13"/>
          <cell r="CY13">
            <v>0</v>
          </cell>
          <cell r="CZ13">
            <v>23</v>
          </cell>
          <cell r="DA13">
            <v>0</v>
          </cell>
          <cell r="DB13">
            <v>2</v>
          </cell>
          <cell r="DC13">
            <v>0</v>
          </cell>
          <cell r="DD13"/>
          <cell r="DE13">
            <v>2</v>
          </cell>
          <cell r="DF13">
            <v>23</v>
          </cell>
          <cell r="DG13">
            <v>0</v>
          </cell>
          <cell r="DH13">
            <v>1</v>
          </cell>
          <cell r="DI13">
            <v>0</v>
          </cell>
          <cell r="DJ13"/>
          <cell r="DK13">
            <v>3</v>
          </cell>
        </row>
        <row r="14">
          <cell r="B14" t="str">
            <v>CN0161</v>
          </cell>
          <cell r="C14" t="str">
            <v>Khối sản xuất</v>
          </cell>
          <cell r="D14" t="str">
            <v>Lâm Hoàng Tấn</v>
          </cell>
          <cell r="E14" t="str">
            <v>SX</v>
          </cell>
          <cell r="F14">
            <v>42990</v>
          </cell>
          <cell r="G14"/>
          <cell r="H14">
            <v>24.083333333333336</v>
          </cell>
          <cell r="I14">
            <v>0</v>
          </cell>
          <cell r="J14">
            <v>1</v>
          </cell>
          <cell r="K14">
            <v>1</v>
          </cell>
          <cell r="L14"/>
          <cell r="M14">
            <v>2</v>
          </cell>
          <cell r="N14">
            <v>23</v>
          </cell>
          <cell r="O14">
            <v>0</v>
          </cell>
          <cell r="P14">
            <v>1</v>
          </cell>
          <cell r="Q14">
            <v>1</v>
          </cell>
          <cell r="R14"/>
          <cell r="S14">
            <v>2</v>
          </cell>
          <cell r="T14" t="e">
            <v>#REF!</v>
          </cell>
          <cell r="U14">
            <v>0</v>
          </cell>
          <cell r="V14" t="e">
            <v>#REF!</v>
          </cell>
          <cell r="W14" t="e">
            <v>#REF!</v>
          </cell>
          <cell r="X14"/>
          <cell r="Y14">
            <v>2</v>
          </cell>
          <cell r="Z14">
            <v>23</v>
          </cell>
          <cell r="AA14">
            <v>0</v>
          </cell>
          <cell r="AB14">
            <v>1</v>
          </cell>
          <cell r="AC14">
            <v>1</v>
          </cell>
          <cell r="AD14"/>
          <cell r="AE14">
            <v>2</v>
          </cell>
          <cell r="AF14">
            <v>25</v>
          </cell>
          <cell r="AG14">
            <v>0</v>
          </cell>
          <cell r="AH14">
            <v>1</v>
          </cell>
          <cell r="AI14">
            <v>1</v>
          </cell>
          <cell r="AJ14"/>
          <cell r="AK14">
            <v>2</v>
          </cell>
          <cell r="AL14">
            <v>11</v>
          </cell>
          <cell r="AM14">
            <v>0</v>
          </cell>
          <cell r="AN14">
            <v>0</v>
          </cell>
          <cell r="AO14">
            <v>1</v>
          </cell>
          <cell r="AP14"/>
          <cell r="AQ14">
            <v>1</v>
          </cell>
          <cell r="AR14">
            <v>26</v>
          </cell>
          <cell r="AS14">
            <v>0</v>
          </cell>
          <cell r="AT14">
            <v>1</v>
          </cell>
          <cell r="AU14">
            <v>1</v>
          </cell>
          <cell r="AV14"/>
          <cell r="AW14">
            <v>2</v>
          </cell>
          <cell r="AX14">
            <v>24.5</v>
          </cell>
          <cell r="AY14">
            <v>0</v>
          </cell>
          <cell r="AZ14">
            <v>1</v>
          </cell>
          <cell r="BA14">
            <v>1</v>
          </cell>
          <cell r="BB14"/>
          <cell r="BC14">
            <v>5</v>
          </cell>
          <cell r="BD14">
            <v>23</v>
          </cell>
          <cell r="BE14">
            <v>0</v>
          </cell>
          <cell r="BF14">
            <v>1</v>
          </cell>
          <cell r="BG14">
            <v>2</v>
          </cell>
          <cell r="BH14"/>
          <cell r="BI14">
            <v>1</v>
          </cell>
          <cell r="BJ14">
            <v>21.833333333333336</v>
          </cell>
          <cell r="BK14">
            <v>0</v>
          </cell>
          <cell r="BL14">
            <v>1</v>
          </cell>
          <cell r="BM14">
            <v>2</v>
          </cell>
          <cell r="BN14"/>
          <cell r="BO14">
            <v>1</v>
          </cell>
          <cell r="BP14">
            <v>21.833333333333336</v>
          </cell>
          <cell r="BQ14">
            <v>0</v>
          </cell>
          <cell r="BR14">
            <v>1</v>
          </cell>
          <cell r="BS14">
            <v>2</v>
          </cell>
          <cell r="BT14"/>
          <cell r="BU14">
            <v>2</v>
          </cell>
          <cell r="BV14">
            <v>22.583333333333336</v>
          </cell>
          <cell r="BW14">
            <v>0</v>
          </cell>
          <cell r="BX14">
            <v>1</v>
          </cell>
          <cell r="BY14">
            <v>1</v>
          </cell>
          <cell r="BZ14"/>
          <cell r="CA14">
            <v>2</v>
          </cell>
          <cell r="CB14">
            <v>25</v>
          </cell>
          <cell r="CC14">
            <v>0</v>
          </cell>
          <cell r="CD14">
            <v>1</v>
          </cell>
          <cell r="CE14">
            <v>1</v>
          </cell>
          <cell r="CF14"/>
          <cell r="CG14">
            <v>2</v>
          </cell>
          <cell r="CH14">
            <v>24</v>
          </cell>
          <cell r="CI14">
            <v>0</v>
          </cell>
          <cell r="CJ14">
            <v>1</v>
          </cell>
          <cell r="CK14">
            <v>1</v>
          </cell>
          <cell r="CL14"/>
          <cell r="CM14">
            <v>0</v>
          </cell>
          <cell r="CN14">
            <v>17.583333333333332</v>
          </cell>
          <cell r="CO14">
            <v>0</v>
          </cell>
          <cell r="CP14">
            <v>1</v>
          </cell>
          <cell r="CQ14">
            <v>1</v>
          </cell>
          <cell r="CR14"/>
          <cell r="CS14">
            <v>0</v>
          </cell>
          <cell r="CT14">
            <v>23</v>
          </cell>
          <cell r="CU14">
            <v>0</v>
          </cell>
          <cell r="CV14">
            <v>1</v>
          </cell>
          <cell r="CW14">
            <v>0</v>
          </cell>
          <cell r="CX14"/>
          <cell r="CY14">
            <v>1</v>
          </cell>
          <cell r="CZ14">
            <v>26</v>
          </cell>
          <cell r="DA14">
            <v>0</v>
          </cell>
          <cell r="DB14">
            <v>2</v>
          </cell>
          <cell r="DC14">
            <v>1</v>
          </cell>
          <cell r="DD14"/>
          <cell r="DE14">
            <v>2</v>
          </cell>
          <cell r="DF14">
            <v>23.75</v>
          </cell>
          <cell r="DG14">
            <v>0</v>
          </cell>
          <cell r="DH14">
            <v>1</v>
          </cell>
          <cell r="DI14">
            <v>0</v>
          </cell>
          <cell r="DJ14"/>
          <cell r="DK14">
            <v>3</v>
          </cell>
        </row>
        <row r="15">
          <cell r="B15" t="str">
            <v>CN0048</v>
          </cell>
          <cell r="C15" t="str">
            <v>Khối sản xuất</v>
          </cell>
          <cell r="D15" t="str">
            <v xml:space="preserve">Lê Thanh Sang </v>
          </cell>
          <cell r="E15" t="str">
            <v>SX</v>
          </cell>
          <cell r="F15">
            <v>40458</v>
          </cell>
          <cell r="G15"/>
          <cell r="H15">
            <v>26</v>
          </cell>
          <cell r="I15">
            <v>0</v>
          </cell>
          <cell r="J15">
            <v>1</v>
          </cell>
          <cell r="K15">
            <v>0</v>
          </cell>
          <cell r="L15"/>
          <cell r="M15">
            <v>7</v>
          </cell>
          <cell r="N15">
            <v>25.5</v>
          </cell>
          <cell r="O15">
            <v>0</v>
          </cell>
          <cell r="P15">
            <v>1</v>
          </cell>
          <cell r="Q15">
            <v>0.5</v>
          </cell>
          <cell r="R15"/>
          <cell r="S15">
            <v>7.5</v>
          </cell>
          <cell r="T15" t="e">
            <v>#REF!</v>
          </cell>
          <cell r="U15">
            <v>0</v>
          </cell>
          <cell r="V15" t="e">
            <v>#REF!</v>
          </cell>
          <cell r="W15" t="e">
            <v>#REF!</v>
          </cell>
          <cell r="X15"/>
          <cell r="Y15">
            <v>2</v>
          </cell>
          <cell r="Z15">
            <v>24</v>
          </cell>
          <cell r="AA15">
            <v>0</v>
          </cell>
          <cell r="AB15">
            <v>1</v>
          </cell>
          <cell r="AC15">
            <v>0</v>
          </cell>
          <cell r="AD15"/>
          <cell r="AE15">
            <v>3</v>
          </cell>
          <cell r="AF15">
            <v>25.5</v>
          </cell>
          <cell r="AG15">
            <v>0</v>
          </cell>
          <cell r="AH15">
            <v>1</v>
          </cell>
          <cell r="AI15">
            <v>0.5</v>
          </cell>
          <cell r="AJ15"/>
          <cell r="AK15">
            <v>3.5</v>
          </cell>
          <cell r="AL15">
            <v>22</v>
          </cell>
          <cell r="AM15">
            <v>0</v>
          </cell>
          <cell r="AN15">
            <v>1</v>
          </cell>
          <cell r="AO15">
            <v>1</v>
          </cell>
          <cell r="AP15"/>
          <cell r="AQ15">
            <v>3.5</v>
          </cell>
          <cell r="AR15">
            <v>27</v>
          </cell>
          <cell r="AS15">
            <v>0</v>
          </cell>
          <cell r="AT15">
            <v>1</v>
          </cell>
          <cell r="AU15">
            <v>0</v>
          </cell>
          <cell r="AV15"/>
          <cell r="AW15">
            <v>7.5</v>
          </cell>
          <cell r="AX15">
            <v>26</v>
          </cell>
          <cell r="AY15">
            <v>0</v>
          </cell>
          <cell r="AZ15">
            <v>1</v>
          </cell>
          <cell r="BA15">
            <v>0</v>
          </cell>
          <cell r="BB15"/>
          <cell r="BC15">
            <v>23</v>
          </cell>
          <cell r="BD15">
            <v>24.5</v>
          </cell>
          <cell r="BE15">
            <v>0</v>
          </cell>
          <cell r="BF15">
            <v>1</v>
          </cell>
          <cell r="BG15">
            <v>1.5</v>
          </cell>
          <cell r="BH15"/>
          <cell r="BI15">
            <v>8</v>
          </cell>
          <cell r="BJ15">
            <v>26</v>
          </cell>
          <cell r="BK15">
            <v>0</v>
          </cell>
          <cell r="BL15">
            <v>1</v>
          </cell>
          <cell r="BM15">
            <v>0</v>
          </cell>
          <cell r="BN15"/>
          <cell r="BO15">
            <v>9.5</v>
          </cell>
          <cell r="BP15">
            <v>26</v>
          </cell>
          <cell r="BQ15">
            <v>0</v>
          </cell>
          <cell r="BR15">
            <v>1</v>
          </cell>
          <cell r="BS15">
            <v>0</v>
          </cell>
          <cell r="BT15"/>
          <cell r="BU15">
            <v>10.5</v>
          </cell>
          <cell r="BV15">
            <v>24.833333333333336</v>
          </cell>
          <cell r="BW15">
            <v>0</v>
          </cell>
          <cell r="BX15">
            <v>1</v>
          </cell>
          <cell r="BY15">
            <v>1</v>
          </cell>
          <cell r="BZ15"/>
          <cell r="CA15">
            <v>10.5</v>
          </cell>
          <cell r="CB15">
            <v>26</v>
          </cell>
          <cell r="CC15">
            <v>0</v>
          </cell>
          <cell r="CD15">
            <v>1</v>
          </cell>
          <cell r="CE15">
            <v>0</v>
          </cell>
          <cell r="CF15"/>
          <cell r="CG15">
            <v>11.5</v>
          </cell>
          <cell r="CH15">
            <v>25</v>
          </cell>
          <cell r="CI15">
            <v>0</v>
          </cell>
          <cell r="CJ15">
            <v>1</v>
          </cell>
          <cell r="CK15">
            <v>0</v>
          </cell>
          <cell r="CL15"/>
          <cell r="CM15">
            <v>1</v>
          </cell>
          <cell r="CN15">
            <v>20</v>
          </cell>
          <cell r="CO15">
            <v>0</v>
          </cell>
          <cell r="CP15">
            <v>1</v>
          </cell>
          <cell r="CQ15">
            <v>2</v>
          </cell>
          <cell r="CR15"/>
          <cell r="CS15">
            <v>0</v>
          </cell>
          <cell r="CT15">
            <v>24</v>
          </cell>
          <cell r="CU15">
            <v>0</v>
          </cell>
          <cell r="CV15">
            <v>1</v>
          </cell>
          <cell r="CW15">
            <v>0</v>
          </cell>
          <cell r="CX15"/>
          <cell r="CY15">
            <v>1</v>
          </cell>
          <cell r="CZ15">
            <v>27</v>
          </cell>
          <cell r="DA15">
            <v>0</v>
          </cell>
          <cell r="DB15">
            <v>4</v>
          </cell>
          <cell r="DC15">
            <v>0</v>
          </cell>
          <cell r="DD15"/>
          <cell r="DE15">
            <v>5</v>
          </cell>
          <cell r="DF15">
            <v>23</v>
          </cell>
          <cell r="DG15">
            <v>0</v>
          </cell>
          <cell r="DH15">
            <v>1</v>
          </cell>
          <cell r="DI15">
            <v>0</v>
          </cell>
          <cell r="DJ15"/>
          <cell r="DK15">
            <v>6</v>
          </cell>
        </row>
        <row r="16">
          <cell r="B16" t="str">
            <v>CN0023</v>
          </cell>
          <cell r="C16" t="str">
            <v>Khối sản xuất</v>
          </cell>
          <cell r="D16" t="str">
            <v>Võ Duy Khánh</v>
          </cell>
          <cell r="E16" t="str">
            <v>SX</v>
          </cell>
          <cell r="F16">
            <v>41345</v>
          </cell>
          <cell r="G16"/>
          <cell r="H16">
            <v>26</v>
          </cell>
          <cell r="I16">
            <v>0</v>
          </cell>
          <cell r="J16">
            <v>1</v>
          </cell>
          <cell r="K16">
            <v>0</v>
          </cell>
          <cell r="L16"/>
          <cell r="M16">
            <v>9</v>
          </cell>
          <cell r="N16">
            <v>23.166666666666668</v>
          </cell>
          <cell r="O16">
            <v>0</v>
          </cell>
          <cell r="P16">
            <v>1</v>
          </cell>
          <cell r="Q16">
            <v>2</v>
          </cell>
          <cell r="R16"/>
          <cell r="S16">
            <v>8</v>
          </cell>
          <cell r="T16" t="e">
            <v>#REF!</v>
          </cell>
          <cell r="U16">
            <v>0</v>
          </cell>
          <cell r="V16" t="e">
            <v>#REF!</v>
          </cell>
          <cell r="W16" t="e">
            <v>#REF!</v>
          </cell>
          <cell r="X16"/>
          <cell r="Y16">
            <v>2</v>
          </cell>
          <cell r="Z16">
            <v>22</v>
          </cell>
          <cell r="AA16">
            <v>0</v>
          </cell>
          <cell r="AB16">
            <v>1</v>
          </cell>
          <cell r="AC16">
            <v>2</v>
          </cell>
          <cell r="AD16"/>
          <cell r="AE16">
            <v>1</v>
          </cell>
          <cell r="AF16">
            <v>23</v>
          </cell>
          <cell r="AG16">
            <v>0</v>
          </cell>
          <cell r="AH16">
            <v>1</v>
          </cell>
          <cell r="AI16">
            <v>2</v>
          </cell>
          <cell r="AJ16"/>
          <cell r="AK16">
            <v>0</v>
          </cell>
          <cell r="AL16">
            <v>23</v>
          </cell>
          <cell r="AM16">
            <v>0</v>
          </cell>
          <cell r="AN16">
            <v>1</v>
          </cell>
          <cell r="AO16">
            <v>0</v>
          </cell>
          <cell r="AP16"/>
          <cell r="AQ16">
            <v>1</v>
          </cell>
          <cell r="AR16">
            <v>26.583333333333336</v>
          </cell>
          <cell r="AS16">
            <v>0</v>
          </cell>
          <cell r="AT16">
            <v>1</v>
          </cell>
          <cell r="AU16">
            <v>0</v>
          </cell>
          <cell r="AV16"/>
          <cell r="AW16">
            <v>4</v>
          </cell>
          <cell r="AX16">
            <v>26</v>
          </cell>
          <cell r="AY16">
            <v>0</v>
          </cell>
          <cell r="AZ16">
            <v>1</v>
          </cell>
          <cell r="BA16">
            <v>0</v>
          </cell>
          <cell r="BB16"/>
          <cell r="BC16">
            <v>15</v>
          </cell>
          <cell r="BD16">
            <v>24.833333333333332</v>
          </cell>
          <cell r="BE16">
            <v>0</v>
          </cell>
          <cell r="BF16">
            <v>1</v>
          </cell>
          <cell r="BG16">
            <v>1</v>
          </cell>
          <cell r="BH16"/>
          <cell r="BI16">
            <v>5</v>
          </cell>
          <cell r="BJ16">
            <v>26</v>
          </cell>
          <cell r="BK16">
            <v>0</v>
          </cell>
          <cell r="BL16">
            <v>1</v>
          </cell>
          <cell r="BM16">
            <v>0</v>
          </cell>
          <cell r="BN16"/>
          <cell r="BO16">
            <v>6</v>
          </cell>
          <cell r="BP16">
            <v>26</v>
          </cell>
          <cell r="BQ16">
            <v>0</v>
          </cell>
          <cell r="BR16">
            <v>1</v>
          </cell>
          <cell r="BS16">
            <v>0</v>
          </cell>
          <cell r="BT16"/>
          <cell r="BU16">
            <v>7</v>
          </cell>
          <cell r="BV16">
            <v>24.833333333333336</v>
          </cell>
          <cell r="BW16">
            <v>0</v>
          </cell>
          <cell r="BX16">
            <v>1</v>
          </cell>
          <cell r="BY16">
            <v>1</v>
          </cell>
          <cell r="BZ16"/>
          <cell r="CA16">
            <v>7</v>
          </cell>
          <cell r="CB16">
            <v>26</v>
          </cell>
          <cell r="CC16">
            <v>0</v>
          </cell>
          <cell r="CD16">
            <v>1</v>
          </cell>
          <cell r="CE16">
            <v>0</v>
          </cell>
          <cell r="CF16"/>
          <cell r="CG16">
            <v>8</v>
          </cell>
          <cell r="CH16">
            <v>25</v>
          </cell>
          <cell r="CI16">
            <v>0</v>
          </cell>
          <cell r="CJ16">
            <v>1</v>
          </cell>
          <cell r="CK16">
            <v>0</v>
          </cell>
          <cell r="CL16"/>
          <cell r="CM16">
            <v>1</v>
          </cell>
          <cell r="CN16">
            <v>20</v>
          </cell>
          <cell r="CO16">
            <v>0</v>
          </cell>
          <cell r="CP16">
            <v>1</v>
          </cell>
          <cell r="CQ16">
            <v>1</v>
          </cell>
          <cell r="CR16"/>
          <cell r="CS16">
            <v>1</v>
          </cell>
          <cell r="CT16">
            <v>24</v>
          </cell>
          <cell r="CU16">
            <v>0</v>
          </cell>
          <cell r="CV16">
            <v>1</v>
          </cell>
          <cell r="CW16">
            <v>0</v>
          </cell>
          <cell r="CX16"/>
          <cell r="CY16">
            <v>2</v>
          </cell>
          <cell r="CZ16">
            <v>27</v>
          </cell>
          <cell r="DA16">
            <v>0</v>
          </cell>
          <cell r="DB16">
            <v>3</v>
          </cell>
          <cell r="DC16">
            <v>0</v>
          </cell>
          <cell r="DD16"/>
          <cell r="DE16">
            <v>5</v>
          </cell>
          <cell r="DF16">
            <v>22</v>
          </cell>
          <cell r="DG16">
            <v>0</v>
          </cell>
          <cell r="DH16">
            <v>1</v>
          </cell>
          <cell r="DI16">
            <v>1</v>
          </cell>
          <cell r="DJ16"/>
          <cell r="DK16">
            <v>5</v>
          </cell>
        </row>
        <row r="17">
          <cell r="B17" t="str">
            <v>CN0303</v>
          </cell>
          <cell r="C17" t="str">
            <v>Khối sản xuất</v>
          </cell>
          <cell r="D17" t="str">
            <v>Trần Thanh Tùng</v>
          </cell>
          <cell r="E17" t="str">
            <v>SX</v>
          </cell>
          <cell r="F17">
            <v>43227</v>
          </cell>
          <cell r="G17"/>
          <cell r="H17">
            <v>24.833333333333332</v>
          </cell>
          <cell r="I17">
            <v>0</v>
          </cell>
          <cell r="J17">
            <v>1</v>
          </cell>
          <cell r="K17">
            <v>1</v>
          </cell>
          <cell r="L17"/>
          <cell r="M17">
            <v>6</v>
          </cell>
          <cell r="N17">
            <v>24.75</v>
          </cell>
          <cell r="O17">
            <v>0</v>
          </cell>
          <cell r="P17">
            <v>1</v>
          </cell>
          <cell r="Q17">
            <v>1</v>
          </cell>
          <cell r="R17"/>
          <cell r="S17">
            <v>6</v>
          </cell>
          <cell r="T17" t="e">
            <v>#REF!</v>
          </cell>
          <cell r="U17">
            <v>0</v>
          </cell>
          <cell r="V17" t="e">
            <v>#REF!</v>
          </cell>
          <cell r="W17" t="e">
            <v>#REF!</v>
          </cell>
          <cell r="X17"/>
          <cell r="Y17">
            <v>2</v>
          </cell>
          <cell r="Z17">
            <v>22</v>
          </cell>
          <cell r="AA17">
            <v>0</v>
          </cell>
          <cell r="AB17">
            <v>1</v>
          </cell>
          <cell r="AC17">
            <v>2</v>
          </cell>
          <cell r="AD17"/>
          <cell r="AE17">
            <v>1</v>
          </cell>
          <cell r="AF17">
            <v>26</v>
          </cell>
          <cell r="AG17">
            <v>0</v>
          </cell>
          <cell r="AH17">
            <v>1</v>
          </cell>
          <cell r="AI17">
            <v>0</v>
          </cell>
          <cell r="AJ17"/>
          <cell r="AK17">
            <v>2</v>
          </cell>
          <cell r="AL17">
            <v>23</v>
          </cell>
          <cell r="AM17">
            <v>0</v>
          </cell>
          <cell r="AN17">
            <v>1</v>
          </cell>
          <cell r="AO17">
            <v>0</v>
          </cell>
          <cell r="AP17"/>
          <cell r="AQ17">
            <v>3</v>
          </cell>
          <cell r="AR17">
            <v>24</v>
          </cell>
          <cell r="AS17">
            <v>0</v>
          </cell>
          <cell r="AT17">
            <v>1</v>
          </cell>
          <cell r="AU17">
            <v>3</v>
          </cell>
          <cell r="AV17"/>
          <cell r="AW17">
            <v>2</v>
          </cell>
          <cell r="AX17">
            <v>26</v>
          </cell>
          <cell r="AY17">
            <v>0</v>
          </cell>
          <cell r="AZ17">
            <v>1</v>
          </cell>
          <cell r="BA17">
            <v>0</v>
          </cell>
          <cell r="BB17"/>
          <cell r="BC17">
            <v>5</v>
          </cell>
          <cell r="BD17">
            <v>26</v>
          </cell>
          <cell r="BE17">
            <v>0</v>
          </cell>
          <cell r="BF17">
            <v>1</v>
          </cell>
          <cell r="BG17">
            <v>0</v>
          </cell>
          <cell r="BH17"/>
          <cell r="BI17">
            <v>4</v>
          </cell>
          <cell r="BJ17">
            <v>26</v>
          </cell>
          <cell r="BK17">
            <v>0</v>
          </cell>
          <cell r="BL17">
            <v>1</v>
          </cell>
          <cell r="BM17">
            <v>0</v>
          </cell>
          <cell r="BN17"/>
          <cell r="BO17">
            <v>4</v>
          </cell>
          <cell r="BP17">
            <v>26</v>
          </cell>
          <cell r="BQ17">
            <v>0</v>
          </cell>
          <cell r="BR17">
            <v>1</v>
          </cell>
          <cell r="BS17">
            <v>0</v>
          </cell>
          <cell r="BT17"/>
          <cell r="BU17">
            <v>5</v>
          </cell>
          <cell r="BV17">
            <v>26</v>
          </cell>
          <cell r="BW17">
            <v>0</v>
          </cell>
          <cell r="BX17">
            <v>1</v>
          </cell>
          <cell r="BY17">
            <v>0</v>
          </cell>
          <cell r="BZ17"/>
          <cell r="CA17">
            <v>6</v>
          </cell>
          <cell r="CB17">
            <v>18.916666666666668</v>
          </cell>
          <cell r="CC17">
            <v>0</v>
          </cell>
          <cell r="CD17">
            <v>1</v>
          </cell>
          <cell r="CE17">
            <v>6</v>
          </cell>
          <cell r="CF17"/>
          <cell r="CG17">
            <v>1</v>
          </cell>
          <cell r="CH17">
            <v>23</v>
          </cell>
          <cell r="CI17">
            <v>0</v>
          </cell>
          <cell r="CJ17">
            <v>1</v>
          </cell>
          <cell r="CK17">
            <v>1</v>
          </cell>
          <cell r="CL17"/>
          <cell r="CM17">
            <v>0</v>
          </cell>
          <cell r="CN17">
            <v>15</v>
          </cell>
          <cell r="CO17">
            <v>0</v>
          </cell>
          <cell r="CP17">
            <v>1</v>
          </cell>
          <cell r="CQ17">
            <v>1</v>
          </cell>
          <cell r="CR17"/>
          <cell r="CS17">
            <v>0</v>
          </cell>
          <cell r="CT17">
            <v>24</v>
          </cell>
          <cell r="CU17">
            <v>0</v>
          </cell>
          <cell r="CV17">
            <v>1</v>
          </cell>
          <cell r="CW17">
            <v>0</v>
          </cell>
          <cell r="CX17"/>
          <cell r="CY17">
            <v>1</v>
          </cell>
          <cell r="CZ17">
            <v>27</v>
          </cell>
          <cell r="DA17">
            <v>0</v>
          </cell>
          <cell r="DB17">
            <v>2</v>
          </cell>
          <cell r="DC17">
            <v>0</v>
          </cell>
          <cell r="DD17"/>
          <cell r="DE17">
            <v>3</v>
          </cell>
          <cell r="DF17">
            <v>21</v>
          </cell>
          <cell r="DG17">
            <v>0</v>
          </cell>
          <cell r="DH17">
            <v>1</v>
          </cell>
          <cell r="DI17">
            <v>2</v>
          </cell>
          <cell r="DJ17"/>
          <cell r="DK17">
            <v>2</v>
          </cell>
        </row>
        <row r="18">
          <cell r="B18" t="str">
            <v>CN0132</v>
          </cell>
          <cell r="C18" t="str">
            <v>Khối sản xuất</v>
          </cell>
          <cell r="D18" t="str">
            <v>Chau Ra</v>
          </cell>
          <cell r="E18" t="str">
            <v>SX</v>
          </cell>
          <cell r="F18">
            <v>42850</v>
          </cell>
          <cell r="G18"/>
          <cell r="H18">
            <v>26</v>
          </cell>
          <cell r="I18">
            <v>0</v>
          </cell>
          <cell r="J18">
            <v>1</v>
          </cell>
          <cell r="K18">
            <v>0</v>
          </cell>
          <cell r="L18"/>
          <cell r="M18">
            <v>9</v>
          </cell>
          <cell r="N18">
            <v>25</v>
          </cell>
          <cell r="O18">
            <v>0</v>
          </cell>
          <cell r="P18">
            <v>1</v>
          </cell>
          <cell r="Q18">
            <v>1</v>
          </cell>
          <cell r="R18"/>
          <cell r="S18">
            <v>9</v>
          </cell>
          <cell r="T18" t="e">
            <v>#REF!</v>
          </cell>
          <cell r="U18">
            <v>0</v>
          </cell>
          <cell r="V18" t="e">
            <v>#REF!</v>
          </cell>
          <cell r="W18" t="e">
            <v>#REF!</v>
          </cell>
          <cell r="X18"/>
          <cell r="Y18">
            <v>2</v>
          </cell>
          <cell r="Z18">
            <v>24</v>
          </cell>
          <cell r="AA18">
            <v>0</v>
          </cell>
          <cell r="AB18">
            <v>1</v>
          </cell>
          <cell r="AC18">
            <v>0</v>
          </cell>
          <cell r="AD18"/>
          <cell r="AE18">
            <v>3</v>
          </cell>
          <cell r="AF18">
            <v>24.833333333333336</v>
          </cell>
          <cell r="AG18">
            <v>0</v>
          </cell>
          <cell r="AH18">
            <v>1</v>
          </cell>
          <cell r="AI18">
            <v>1</v>
          </cell>
          <cell r="AJ18"/>
          <cell r="AK18">
            <v>3</v>
          </cell>
          <cell r="AL18">
            <v>23</v>
          </cell>
          <cell r="AM18">
            <v>0</v>
          </cell>
          <cell r="AN18">
            <v>1</v>
          </cell>
          <cell r="AO18">
            <v>0</v>
          </cell>
          <cell r="AP18"/>
          <cell r="AQ18">
            <v>4</v>
          </cell>
          <cell r="AR18">
            <v>26.666666666666664</v>
          </cell>
          <cell r="AS18">
            <v>0</v>
          </cell>
          <cell r="AT18">
            <v>1</v>
          </cell>
          <cell r="AU18">
            <v>0</v>
          </cell>
          <cell r="AV18"/>
          <cell r="AW18">
            <v>6</v>
          </cell>
          <cell r="AX18">
            <v>26</v>
          </cell>
          <cell r="AY18">
            <v>0</v>
          </cell>
          <cell r="AZ18">
            <v>1</v>
          </cell>
          <cell r="BA18">
            <v>0</v>
          </cell>
          <cell r="BB18"/>
          <cell r="BC18">
            <v>18</v>
          </cell>
          <cell r="BD18">
            <v>24.916666666666664</v>
          </cell>
          <cell r="BE18">
            <v>0</v>
          </cell>
          <cell r="BF18">
            <v>1</v>
          </cell>
          <cell r="BG18">
            <v>1</v>
          </cell>
          <cell r="BH18"/>
          <cell r="BI18">
            <v>7</v>
          </cell>
          <cell r="BJ18">
            <v>25</v>
          </cell>
          <cell r="BK18">
            <v>0</v>
          </cell>
          <cell r="BL18">
            <v>1</v>
          </cell>
          <cell r="BM18">
            <v>1</v>
          </cell>
          <cell r="BN18"/>
          <cell r="BO18">
            <v>7</v>
          </cell>
          <cell r="BP18">
            <v>25</v>
          </cell>
          <cell r="BQ18">
            <v>0</v>
          </cell>
          <cell r="BR18">
            <v>1</v>
          </cell>
          <cell r="BS18">
            <v>1</v>
          </cell>
          <cell r="BT18"/>
          <cell r="BU18">
            <v>8</v>
          </cell>
          <cell r="BV18">
            <v>25.916666666666664</v>
          </cell>
          <cell r="BW18">
            <v>0</v>
          </cell>
          <cell r="BX18">
            <v>1</v>
          </cell>
          <cell r="BY18">
            <v>0</v>
          </cell>
          <cell r="BZ18"/>
          <cell r="CA18">
            <v>9</v>
          </cell>
          <cell r="CB18">
            <v>25.583333333333336</v>
          </cell>
          <cell r="CC18">
            <v>0</v>
          </cell>
          <cell r="CD18">
            <v>1</v>
          </cell>
          <cell r="CE18">
            <v>0</v>
          </cell>
          <cell r="CF18"/>
          <cell r="CG18">
            <v>10</v>
          </cell>
          <cell r="CH18">
            <v>24.083333333333336</v>
          </cell>
          <cell r="CI18">
            <v>0</v>
          </cell>
          <cell r="CJ18">
            <v>1</v>
          </cell>
          <cell r="CK18">
            <v>0</v>
          </cell>
          <cell r="CL18"/>
          <cell r="CM18">
            <v>1</v>
          </cell>
          <cell r="CN18">
            <v>21</v>
          </cell>
          <cell r="CO18">
            <v>0</v>
          </cell>
          <cell r="CP18">
            <v>1</v>
          </cell>
          <cell r="CQ18">
            <v>1</v>
          </cell>
          <cell r="CR18"/>
          <cell r="CS18">
            <v>1</v>
          </cell>
          <cell r="CT18">
            <v>23</v>
          </cell>
          <cell r="CU18">
            <v>0</v>
          </cell>
          <cell r="CV18">
            <v>1</v>
          </cell>
          <cell r="CW18">
            <v>1</v>
          </cell>
          <cell r="CX18"/>
          <cell r="CY18">
            <v>1</v>
          </cell>
          <cell r="CZ18">
            <v>27</v>
          </cell>
          <cell r="DA18">
            <v>0</v>
          </cell>
          <cell r="DB18">
            <v>2</v>
          </cell>
          <cell r="DC18">
            <v>0</v>
          </cell>
          <cell r="DD18"/>
          <cell r="DE18">
            <v>3</v>
          </cell>
          <cell r="DF18">
            <v>25</v>
          </cell>
          <cell r="DG18">
            <v>0</v>
          </cell>
          <cell r="DH18">
            <v>1</v>
          </cell>
          <cell r="DI18">
            <v>0</v>
          </cell>
          <cell r="DJ18"/>
          <cell r="DK18">
            <v>4</v>
          </cell>
        </row>
        <row r="19">
          <cell r="B19" t="str">
            <v>CN0025</v>
          </cell>
          <cell r="C19" t="str">
            <v>Khối sản xuất</v>
          </cell>
          <cell r="D19" t="str">
            <v>Óc Cường</v>
          </cell>
          <cell r="E19" t="str">
            <v>SX</v>
          </cell>
          <cell r="F19">
            <v>40301</v>
          </cell>
          <cell r="G19"/>
          <cell r="H19">
            <v>26</v>
          </cell>
          <cell r="I19">
            <v>0</v>
          </cell>
          <cell r="J19">
            <v>1</v>
          </cell>
          <cell r="K19">
            <v>0</v>
          </cell>
          <cell r="L19"/>
          <cell r="M19">
            <v>4</v>
          </cell>
          <cell r="N19">
            <v>24</v>
          </cell>
          <cell r="O19">
            <v>0</v>
          </cell>
          <cell r="P19">
            <v>1</v>
          </cell>
          <cell r="Q19">
            <v>2</v>
          </cell>
          <cell r="R19"/>
          <cell r="S19">
            <v>3</v>
          </cell>
          <cell r="T19" t="e">
            <v>#REF!</v>
          </cell>
          <cell r="U19">
            <v>0</v>
          </cell>
          <cell r="V19" t="e">
            <v>#REF!</v>
          </cell>
          <cell r="W19" t="e">
            <v>#REF!</v>
          </cell>
          <cell r="X19"/>
          <cell r="Y19">
            <v>2</v>
          </cell>
          <cell r="Z19">
            <v>22</v>
          </cell>
          <cell r="AA19">
            <v>0</v>
          </cell>
          <cell r="AB19">
            <v>1</v>
          </cell>
          <cell r="AC19">
            <v>2</v>
          </cell>
          <cell r="AD19"/>
          <cell r="AE19">
            <v>1</v>
          </cell>
          <cell r="AF19">
            <v>24</v>
          </cell>
          <cell r="AG19">
            <v>0</v>
          </cell>
          <cell r="AH19">
            <v>1</v>
          </cell>
          <cell r="AI19">
            <v>2</v>
          </cell>
          <cell r="AJ19"/>
          <cell r="AK19">
            <v>0</v>
          </cell>
          <cell r="AL19">
            <v>22</v>
          </cell>
          <cell r="AM19">
            <v>0</v>
          </cell>
          <cell r="AN19">
            <v>1</v>
          </cell>
          <cell r="AO19">
            <v>1</v>
          </cell>
          <cell r="AP19"/>
          <cell r="AQ19">
            <v>0</v>
          </cell>
          <cell r="AR19">
            <v>27</v>
          </cell>
          <cell r="AS19">
            <v>0</v>
          </cell>
          <cell r="AT19">
            <v>1</v>
          </cell>
          <cell r="AU19">
            <v>0</v>
          </cell>
          <cell r="AV19"/>
          <cell r="AW19">
            <v>4</v>
          </cell>
          <cell r="AX19">
            <v>24.833333333333336</v>
          </cell>
          <cell r="AY19">
            <v>0</v>
          </cell>
          <cell r="AZ19">
            <v>1</v>
          </cell>
          <cell r="BA19">
            <v>1</v>
          </cell>
          <cell r="BB19"/>
          <cell r="BC19">
            <v>13</v>
          </cell>
          <cell r="BD19">
            <v>25</v>
          </cell>
          <cell r="BE19">
            <v>0</v>
          </cell>
          <cell r="BF19">
            <v>1</v>
          </cell>
          <cell r="BG19">
            <v>1</v>
          </cell>
          <cell r="BH19"/>
          <cell r="BI19">
            <v>4</v>
          </cell>
          <cell r="BJ19">
            <v>25.666666666666668</v>
          </cell>
          <cell r="BK19">
            <v>0</v>
          </cell>
          <cell r="BL19">
            <v>1</v>
          </cell>
          <cell r="BM19">
            <v>0</v>
          </cell>
          <cell r="BN19"/>
          <cell r="BO19">
            <v>5</v>
          </cell>
          <cell r="BP19">
            <v>25.666666666666668</v>
          </cell>
          <cell r="BQ19">
            <v>0</v>
          </cell>
          <cell r="BR19">
            <v>1</v>
          </cell>
          <cell r="BS19">
            <v>0</v>
          </cell>
          <cell r="BT19"/>
          <cell r="BU19">
            <v>6</v>
          </cell>
          <cell r="BV19">
            <v>24</v>
          </cell>
          <cell r="BW19">
            <v>0</v>
          </cell>
          <cell r="BX19">
            <v>1</v>
          </cell>
          <cell r="BY19">
            <v>2</v>
          </cell>
          <cell r="BZ19"/>
          <cell r="CA19">
            <v>5</v>
          </cell>
          <cell r="CB19">
            <v>26</v>
          </cell>
          <cell r="CC19">
            <v>0</v>
          </cell>
          <cell r="CD19">
            <v>1</v>
          </cell>
          <cell r="CE19">
            <v>0</v>
          </cell>
          <cell r="CF19"/>
          <cell r="CG19">
            <v>6</v>
          </cell>
          <cell r="CH19">
            <v>24</v>
          </cell>
          <cell r="CI19">
            <v>0</v>
          </cell>
          <cell r="CJ19">
            <v>1</v>
          </cell>
          <cell r="CK19">
            <v>1</v>
          </cell>
          <cell r="CL19"/>
          <cell r="CM19">
            <v>0</v>
          </cell>
          <cell r="CN19">
            <v>21</v>
          </cell>
          <cell r="CO19">
            <v>0</v>
          </cell>
          <cell r="CP19">
            <v>1</v>
          </cell>
          <cell r="CQ19">
            <v>1</v>
          </cell>
          <cell r="CR19"/>
          <cell r="CS19">
            <v>0</v>
          </cell>
          <cell r="CT19">
            <v>24</v>
          </cell>
          <cell r="CU19">
            <v>0</v>
          </cell>
          <cell r="CV19">
            <v>1</v>
          </cell>
          <cell r="CW19">
            <v>0</v>
          </cell>
          <cell r="CX19"/>
          <cell r="CY19">
            <v>1</v>
          </cell>
          <cell r="CZ19">
            <v>25</v>
          </cell>
          <cell r="DA19">
            <v>0</v>
          </cell>
          <cell r="DB19">
            <v>4</v>
          </cell>
          <cell r="DC19">
            <v>2</v>
          </cell>
          <cell r="DD19"/>
          <cell r="DE19">
            <v>3</v>
          </cell>
          <cell r="DF19">
            <v>25</v>
          </cell>
          <cell r="DG19">
            <v>0</v>
          </cell>
          <cell r="DH19">
            <v>1</v>
          </cell>
          <cell r="DI19">
            <v>0</v>
          </cell>
          <cell r="DJ19"/>
          <cell r="DK19">
            <v>4</v>
          </cell>
        </row>
        <row r="20">
          <cell r="B20" t="str">
            <v>CN0043</v>
          </cell>
          <cell r="C20" t="str">
            <v>Khối sản xuất</v>
          </cell>
          <cell r="D20" t="str">
            <v>Lê Thị Thơ</v>
          </cell>
          <cell r="E20" t="str">
            <v>SX</v>
          </cell>
          <cell r="F20">
            <v>41781</v>
          </cell>
          <cell r="G20"/>
          <cell r="H20">
            <v>25.916666666666664</v>
          </cell>
          <cell r="I20">
            <v>0</v>
          </cell>
          <cell r="J20">
            <v>1</v>
          </cell>
          <cell r="K20">
            <v>0</v>
          </cell>
          <cell r="L20"/>
          <cell r="M20">
            <v>11</v>
          </cell>
          <cell r="N20">
            <v>26</v>
          </cell>
          <cell r="O20">
            <v>0</v>
          </cell>
          <cell r="P20">
            <v>1</v>
          </cell>
          <cell r="Q20">
            <v>0</v>
          </cell>
          <cell r="R20"/>
          <cell r="S20">
            <v>12</v>
          </cell>
          <cell r="T20" t="e">
            <v>#REF!</v>
          </cell>
          <cell r="U20">
            <v>0</v>
          </cell>
          <cell r="V20" t="e">
            <v>#REF!</v>
          </cell>
          <cell r="W20" t="e">
            <v>#REF!</v>
          </cell>
          <cell r="X20"/>
          <cell r="Y20">
            <v>2</v>
          </cell>
          <cell r="Z20">
            <v>24</v>
          </cell>
          <cell r="AA20">
            <v>0</v>
          </cell>
          <cell r="AB20">
            <v>1</v>
          </cell>
          <cell r="AC20">
            <v>0</v>
          </cell>
          <cell r="AD20"/>
          <cell r="AE20">
            <v>3</v>
          </cell>
          <cell r="AF20">
            <v>26</v>
          </cell>
          <cell r="AG20">
            <v>0</v>
          </cell>
          <cell r="AH20">
            <v>1</v>
          </cell>
          <cell r="AI20">
            <v>0</v>
          </cell>
          <cell r="AJ20"/>
          <cell r="AK20">
            <v>4</v>
          </cell>
          <cell r="AL20">
            <v>22.833333333333336</v>
          </cell>
          <cell r="AM20">
            <v>0</v>
          </cell>
          <cell r="AN20">
            <v>1</v>
          </cell>
          <cell r="AO20">
            <v>0</v>
          </cell>
          <cell r="AP20"/>
          <cell r="AQ20">
            <v>5</v>
          </cell>
          <cell r="AR20">
            <v>24.833333333333336</v>
          </cell>
          <cell r="AS20">
            <v>0</v>
          </cell>
          <cell r="AT20">
            <v>1</v>
          </cell>
          <cell r="AU20">
            <v>2</v>
          </cell>
          <cell r="AV20"/>
          <cell r="AW20">
            <v>6</v>
          </cell>
          <cell r="AX20">
            <v>26</v>
          </cell>
          <cell r="AY20">
            <v>0</v>
          </cell>
          <cell r="AZ20">
            <v>1</v>
          </cell>
          <cell r="BA20">
            <v>0</v>
          </cell>
          <cell r="BB20"/>
          <cell r="BC20">
            <v>18</v>
          </cell>
          <cell r="BD20">
            <v>26</v>
          </cell>
          <cell r="BE20">
            <v>0</v>
          </cell>
          <cell r="BF20">
            <v>1</v>
          </cell>
          <cell r="BG20">
            <v>0</v>
          </cell>
          <cell r="BH20"/>
          <cell r="BI20">
            <v>8</v>
          </cell>
          <cell r="BJ20">
            <v>26</v>
          </cell>
          <cell r="BK20">
            <v>0</v>
          </cell>
          <cell r="BL20">
            <v>1</v>
          </cell>
          <cell r="BM20">
            <v>0</v>
          </cell>
          <cell r="BN20"/>
          <cell r="BO20">
            <v>8</v>
          </cell>
          <cell r="BP20">
            <v>26</v>
          </cell>
          <cell r="BQ20">
            <v>0</v>
          </cell>
          <cell r="BR20">
            <v>1</v>
          </cell>
          <cell r="BS20">
            <v>0</v>
          </cell>
          <cell r="BT20"/>
          <cell r="BU20">
            <v>9</v>
          </cell>
          <cell r="BV20">
            <v>25</v>
          </cell>
          <cell r="BW20">
            <v>0</v>
          </cell>
          <cell r="BX20">
            <v>1</v>
          </cell>
          <cell r="BY20">
            <v>1</v>
          </cell>
          <cell r="BZ20"/>
          <cell r="CA20">
            <v>9</v>
          </cell>
          <cell r="CB20">
            <v>24.5</v>
          </cell>
          <cell r="CC20">
            <v>0</v>
          </cell>
          <cell r="CD20">
            <v>1</v>
          </cell>
          <cell r="CE20">
            <v>1</v>
          </cell>
          <cell r="CF20"/>
          <cell r="CG20">
            <v>9</v>
          </cell>
          <cell r="CH20">
            <v>23.75</v>
          </cell>
          <cell r="CI20">
            <v>0</v>
          </cell>
          <cell r="CJ20">
            <v>1</v>
          </cell>
          <cell r="CK20">
            <v>1</v>
          </cell>
          <cell r="CL20"/>
          <cell r="CM20">
            <v>0</v>
          </cell>
          <cell r="CN20">
            <v>20</v>
          </cell>
          <cell r="CO20">
            <v>0</v>
          </cell>
          <cell r="CP20">
            <v>1</v>
          </cell>
          <cell r="CQ20">
            <v>1</v>
          </cell>
          <cell r="CR20"/>
          <cell r="CS20">
            <v>0</v>
          </cell>
          <cell r="CT20">
            <v>24</v>
          </cell>
          <cell r="CU20">
            <v>0</v>
          </cell>
          <cell r="CV20">
            <v>1</v>
          </cell>
          <cell r="CW20">
            <v>0</v>
          </cell>
          <cell r="CX20"/>
          <cell r="CY20">
            <v>1</v>
          </cell>
          <cell r="CZ20">
            <v>25</v>
          </cell>
          <cell r="DA20">
            <v>0</v>
          </cell>
          <cell r="DB20">
            <v>3</v>
          </cell>
          <cell r="DC20">
            <v>1</v>
          </cell>
          <cell r="DD20"/>
          <cell r="DE20">
            <v>3</v>
          </cell>
          <cell r="DF20">
            <v>25</v>
          </cell>
          <cell r="DG20">
            <v>0</v>
          </cell>
          <cell r="DH20">
            <v>1</v>
          </cell>
          <cell r="DI20">
            <v>0</v>
          </cell>
          <cell r="DJ20"/>
          <cell r="DK20">
            <v>4</v>
          </cell>
        </row>
        <row r="21">
          <cell r="B21" t="str">
            <v>CN0165</v>
          </cell>
          <cell r="C21" t="str">
            <v>Khối sản xuất</v>
          </cell>
          <cell r="D21" t="str">
            <v>Đặng Văn Lẩy</v>
          </cell>
          <cell r="E21" t="str">
            <v>SX</v>
          </cell>
          <cell r="F21">
            <v>42997.730734756944</v>
          </cell>
          <cell r="G21"/>
          <cell r="H21">
            <v>26</v>
          </cell>
          <cell r="I21">
            <v>0</v>
          </cell>
          <cell r="J21">
            <v>1</v>
          </cell>
          <cell r="K21">
            <v>0</v>
          </cell>
          <cell r="L21"/>
          <cell r="M21">
            <v>7</v>
          </cell>
          <cell r="N21">
            <v>24</v>
          </cell>
          <cell r="O21">
            <v>0</v>
          </cell>
          <cell r="P21">
            <v>1</v>
          </cell>
          <cell r="Q21">
            <v>2</v>
          </cell>
          <cell r="R21"/>
          <cell r="S21">
            <v>6</v>
          </cell>
          <cell r="T21" t="e">
            <v>#REF!</v>
          </cell>
          <cell r="U21">
            <v>0</v>
          </cell>
          <cell r="V21" t="e">
            <v>#REF!</v>
          </cell>
          <cell r="W21" t="e">
            <v>#REF!</v>
          </cell>
          <cell r="X21"/>
          <cell r="Y21">
            <v>2</v>
          </cell>
          <cell r="Z21">
            <v>24</v>
          </cell>
          <cell r="AA21">
            <v>0</v>
          </cell>
          <cell r="AB21">
            <v>1</v>
          </cell>
          <cell r="AC21">
            <v>0</v>
          </cell>
          <cell r="AD21"/>
          <cell r="AE21">
            <v>3</v>
          </cell>
          <cell r="AF21">
            <v>25</v>
          </cell>
          <cell r="AG21">
            <v>0</v>
          </cell>
          <cell r="AH21">
            <v>1</v>
          </cell>
          <cell r="AI21">
            <v>1</v>
          </cell>
          <cell r="AJ21"/>
          <cell r="AK21">
            <v>3</v>
          </cell>
          <cell r="AL21">
            <v>22</v>
          </cell>
          <cell r="AM21">
            <v>0</v>
          </cell>
          <cell r="AN21">
            <v>1</v>
          </cell>
          <cell r="AO21">
            <v>1</v>
          </cell>
          <cell r="AP21"/>
          <cell r="AQ21">
            <v>3</v>
          </cell>
          <cell r="AR21">
            <v>26</v>
          </cell>
          <cell r="AS21">
            <v>0</v>
          </cell>
          <cell r="AT21">
            <v>1</v>
          </cell>
          <cell r="AU21">
            <v>1</v>
          </cell>
          <cell r="AV21"/>
          <cell r="AW21">
            <v>4</v>
          </cell>
          <cell r="AX21">
            <v>25</v>
          </cell>
          <cell r="AY21">
            <v>0</v>
          </cell>
          <cell r="AZ21">
            <v>1</v>
          </cell>
          <cell r="BA21">
            <v>1</v>
          </cell>
          <cell r="BB21"/>
          <cell r="BC21">
            <v>11</v>
          </cell>
          <cell r="BD21">
            <v>26</v>
          </cell>
          <cell r="BE21">
            <v>0</v>
          </cell>
          <cell r="BF21">
            <v>1</v>
          </cell>
          <cell r="BG21">
            <v>0</v>
          </cell>
          <cell r="BH21"/>
          <cell r="BI21">
            <v>5</v>
          </cell>
          <cell r="BJ21">
            <v>25</v>
          </cell>
          <cell r="BK21">
            <v>0</v>
          </cell>
          <cell r="BL21">
            <v>1</v>
          </cell>
          <cell r="BM21">
            <v>1</v>
          </cell>
          <cell r="BN21"/>
          <cell r="BO21">
            <v>4</v>
          </cell>
          <cell r="BP21">
            <v>25</v>
          </cell>
          <cell r="BQ21">
            <v>0</v>
          </cell>
          <cell r="BR21">
            <v>1</v>
          </cell>
          <cell r="BS21">
            <v>1</v>
          </cell>
          <cell r="BT21"/>
          <cell r="BU21">
            <v>5</v>
          </cell>
          <cell r="BV21">
            <v>26</v>
          </cell>
          <cell r="BW21">
            <v>0</v>
          </cell>
          <cell r="BX21">
            <v>1</v>
          </cell>
          <cell r="BY21">
            <v>0</v>
          </cell>
          <cell r="BZ21"/>
          <cell r="CA21">
            <v>6</v>
          </cell>
          <cell r="CB21">
            <v>25</v>
          </cell>
          <cell r="CC21">
            <v>0</v>
          </cell>
          <cell r="CD21">
            <v>1</v>
          </cell>
          <cell r="CE21">
            <v>1</v>
          </cell>
          <cell r="CF21"/>
          <cell r="CG21">
            <v>6</v>
          </cell>
          <cell r="CH21">
            <v>25</v>
          </cell>
          <cell r="CI21">
            <v>0</v>
          </cell>
          <cell r="CJ21">
            <v>1</v>
          </cell>
          <cell r="CK21">
            <v>0</v>
          </cell>
          <cell r="CL21"/>
          <cell r="CM21">
            <v>1</v>
          </cell>
          <cell r="CN21">
            <v>21</v>
          </cell>
          <cell r="CO21">
            <v>0</v>
          </cell>
          <cell r="CP21">
            <v>1</v>
          </cell>
          <cell r="CQ21">
            <v>1</v>
          </cell>
          <cell r="CR21"/>
          <cell r="CS21">
            <v>1</v>
          </cell>
          <cell r="CT21">
            <v>24</v>
          </cell>
          <cell r="CU21">
            <v>0</v>
          </cell>
          <cell r="CV21">
            <v>1</v>
          </cell>
          <cell r="CW21">
            <v>0</v>
          </cell>
          <cell r="CX21"/>
          <cell r="CY21">
            <v>2</v>
          </cell>
          <cell r="CZ21">
            <v>27</v>
          </cell>
          <cell r="DA21">
            <v>0</v>
          </cell>
          <cell r="DB21">
            <v>2</v>
          </cell>
          <cell r="DC21">
            <v>0</v>
          </cell>
          <cell r="DD21"/>
          <cell r="DE21">
            <v>4</v>
          </cell>
          <cell r="DF21">
            <v>24</v>
          </cell>
          <cell r="DG21">
            <v>0</v>
          </cell>
          <cell r="DH21">
            <v>1</v>
          </cell>
          <cell r="DI21">
            <v>1</v>
          </cell>
          <cell r="DJ21"/>
          <cell r="DK21">
            <v>4</v>
          </cell>
        </row>
        <row r="22">
          <cell r="B22" t="str">
            <v>CN0451</v>
          </cell>
          <cell r="C22" t="str">
            <v>Khối sản xuất</v>
          </cell>
          <cell r="D22" t="str">
            <v>Danh Ra</v>
          </cell>
          <cell r="E22" t="str">
            <v>SX</v>
          </cell>
          <cell r="F22">
            <v>43564</v>
          </cell>
          <cell r="G22"/>
          <cell r="H22">
            <v>26</v>
          </cell>
          <cell r="I22">
            <v>0</v>
          </cell>
          <cell r="J22">
            <v>1</v>
          </cell>
          <cell r="K22">
            <v>0</v>
          </cell>
          <cell r="L22"/>
          <cell r="M22">
            <v>9</v>
          </cell>
          <cell r="N22">
            <v>25</v>
          </cell>
          <cell r="O22">
            <v>0</v>
          </cell>
          <cell r="P22">
            <v>1</v>
          </cell>
          <cell r="Q22">
            <v>1</v>
          </cell>
          <cell r="R22"/>
          <cell r="S22">
            <v>9</v>
          </cell>
          <cell r="T22" t="e">
            <v>#REF!</v>
          </cell>
          <cell r="U22">
            <v>0</v>
          </cell>
          <cell r="V22" t="e">
            <v>#REF!</v>
          </cell>
          <cell r="W22" t="e">
            <v>#REF!</v>
          </cell>
          <cell r="X22"/>
          <cell r="Y22">
            <v>2</v>
          </cell>
          <cell r="Z22">
            <v>24</v>
          </cell>
          <cell r="AA22">
            <v>0</v>
          </cell>
          <cell r="AB22">
            <v>1</v>
          </cell>
          <cell r="AC22">
            <v>0</v>
          </cell>
          <cell r="AD22"/>
          <cell r="AE22">
            <v>3</v>
          </cell>
          <cell r="AF22">
            <v>26</v>
          </cell>
          <cell r="AG22">
            <v>0</v>
          </cell>
          <cell r="AH22">
            <v>1</v>
          </cell>
          <cell r="AI22">
            <v>0</v>
          </cell>
          <cell r="AJ22"/>
          <cell r="AK22">
            <v>4</v>
          </cell>
          <cell r="AL22">
            <v>23</v>
          </cell>
          <cell r="AM22">
            <v>0</v>
          </cell>
          <cell r="AN22">
            <v>1</v>
          </cell>
          <cell r="AO22">
            <v>0</v>
          </cell>
          <cell r="AP22"/>
          <cell r="AQ22">
            <v>5</v>
          </cell>
          <cell r="AR22">
            <v>27</v>
          </cell>
          <cell r="AS22">
            <v>0</v>
          </cell>
          <cell r="AT22">
            <v>1</v>
          </cell>
          <cell r="AU22">
            <v>0</v>
          </cell>
          <cell r="AV22"/>
          <cell r="AW22">
            <v>7</v>
          </cell>
          <cell r="AX22">
            <v>26</v>
          </cell>
          <cell r="AY22">
            <v>0</v>
          </cell>
          <cell r="AZ22">
            <v>1</v>
          </cell>
          <cell r="BA22">
            <v>0</v>
          </cell>
          <cell r="BB22"/>
          <cell r="BC22">
            <v>21</v>
          </cell>
          <cell r="BD22">
            <v>25</v>
          </cell>
          <cell r="BE22">
            <v>0</v>
          </cell>
          <cell r="BF22">
            <v>1</v>
          </cell>
          <cell r="BG22">
            <v>1</v>
          </cell>
          <cell r="BH22"/>
          <cell r="BI22">
            <v>8</v>
          </cell>
          <cell r="BJ22">
            <v>26</v>
          </cell>
          <cell r="BK22">
            <v>0</v>
          </cell>
          <cell r="BL22">
            <v>1</v>
          </cell>
          <cell r="BM22">
            <v>0</v>
          </cell>
          <cell r="BN22"/>
          <cell r="BO22">
            <v>9</v>
          </cell>
          <cell r="BP22">
            <v>26</v>
          </cell>
          <cell r="BQ22">
            <v>0</v>
          </cell>
          <cell r="BR22">
            <v>1</v>
          </cell>
          <cell r="BS22">
            <v>0</v>
          </cell>
          <cell r="BT22"/>
          <cell r="BU22">
            <v>10</v>
          </cell>
          <cell r="BV22">
            <v>26</v>
          </cell>
          <cell r="BW22">
            <v>0</v>
          </cell>
          <cell r="BX22">
            <v>1</v>
          </cell>
          <cell r="BY22">
            <v>0</v>
          </cell>
          <cell r="BZ22"/>
          <cell r="CA22">
            <v>11</v>
          </cell>
          <cell r="CB22">
            <v>26</v>
          </cell>
          <cell r="CC22">
            <v>0</v>
          </cell>
          <cell r="CD22">
            <v>1</v>
          </cell>
          <cell r="CE22">
            <v>0</v>
          </cell>
          <cell r="CF22"/>
          <cell r="CG22">
            <v>12</v>
          </cell>
          <cell r="CH22">
            <v>25</v>
          </cell>
          <cell r="CI22">
            <v>0</v>
          </cell>
          <cell r="CJ22">
            <v>1</v>
          </cell>
          <cell r="CK22">
            <v>0</v>
          </cell>
          <cell r="CL22"/>
          <cell r="CM22">
            <v>1</v>
          </cell>
          <cell r="CN22">
            <v>21</v>
          </cell>
          <cell r="CO22">
            <v>0</v>
          </cell>
          <cell r="CP22">
            <v>1</v>
          </cell>
          <cell r="CQ22">
            <v>1</v>
          </cell>
          <cell r="CR22"/>
          <cell r="CS22">
            <v>1</v>
          </cell>
          <cell r="CT22">
            <v>24</v>
          </cell>
          <cell r="CU22">
            <v>0</v>
          </cell>
          <cell r="CV22">
            <v>1</v>
          </cell>
          <cell r="CW22">
            <v>0</v>
          </cell>
          <cell r="CX22"/>
          <cell r="CY22">
            <v>2</v>
          </cell>
          <cell r="CZ22">
            <v>27</v>
          </cell>
          <cell r="DA22">
            <v>0</v>
          </cell>
          <cell r="DB22">
            <v>2</v>
          </cell>
          <cell r="DC22">
            <v>0</v>
          </cell>
          <cell r="DD22"/>
          <cell r="DE22">
            <v>4</v>
          </cell>
          <cell r="DF22">
            <v>25</v>
          </cell>
          <cell r="DG22">
            <v>0</v>
          </cell>
          <cell r="DH22">
            <v>1</v>
          </cell>
          <cell r="DI22">
            <v>0</v>
          </cell>
          <cell r="DJ22"/>
          <cell r="DK22">
            <v>5</v>
          </cell>
        </row>
        <row r="23">
          <cell r="B23" t="str">
            <v>CN0420</v>
          </cell>
          <cell r="C23" t="str">
            <v>Khối sản xuất</v>
          </cell>
          <cell r="D23" t="str">
            <v>Danh Chanh Thi</v>
          </cell>
          <cell r="E23" t="str">
            <v>SX</v>
          </cell>
          <cell r="F23">
            <v>43523.671256400463</v>
          </cell>
          <cell r="G23"/>
          <cell r="H23">
            <v>26</v>
          </cell>
          <cell r="I23">
            <v>0</v>
          </cell>
          <cell r="J23">
            <v>1</v>
          </cell>
          <cell r="K23">
            <v>0</v>
          </cell>
          <cell r="L23"/>
          <cell r="M23">
            <v>4</v>
          </cell>
          <cell r="N23">
            <v>26</v>
          </cell>
          <cell r="O23">
            <v>0</v>
          </cell>
          <cell r="P23">
            <v>1</v>
          </cell>
          <cell r="Q23">
            <v>0</v>
          </cell>
          <cell r="R23"/>
          <cell r="S23">
            <v>5</v>
          </cell>
          <cell r="T23" t="e">
            <v>#REF!</v>
          </cell>
          <cell r="U23">
            <v>0</v>
          </cell>
          <cell r="V23" t="e">
            <v>#REF!</v>
          </cell>
          <cell r="W23" t="e">
            <v>#REF!</v>
          </cell>
          <cell r="X23"/>
          <cell r="Y23">
            <v>2</v>
          </cell>
          <cell r="Z23">
            <v>24</v>
          </cell>
          <cell r="AA23">
            <v>0</v>
          </cell>
          <cell r="AB23">
            <v>1</v>
          </cell>
          <cell r="AC23">
            <v>0</v>
          </cell>
          <cell r="AD23"/>
          <cell r="AE23">
            <v>3</v>
          </cell>
          <cell r="AF23">
            <v>23</v>
          </cell>
          <cell r="AG23">
            <v>0</v>
          </cell>
          <cell r="AH23">
            <v>1</v>
          </cell>
          <cell r="AI23">
            <v>3</v>
          </cell>
          <cell r="AJ23"/>
          <cell r="AK23">
            <v>1</v>
          </cell>
          <cell r="AL23">
            <v>22</v>
          </cell>
          <cell r="AM23">
            <v>0</v>
          </cell>
          <cell r="AN23">
            <v>1</v>
          </cell>
          <cell r="AO23">
            <v>1</v>
          </cell>
          <cell r="AP23"/>
          <cell r="AQ23">
            <v>1</v>
          </cell>
          <cell r="AR23">
            <v>27</v>
          </cell>
          <cell r="AS23">
            <v>0</v>
          </cell>
          <cell r="AT23">
            <v>1</v>
          </cell>
          <cell r="AU23">
            <v>0</v>
          </cell>
          <cell r="AV23"/>
          <cell r="AW23">
            <v>3</v>
          </cell>
          <cell r="AX23">
            <v>25</v>
          </cell>
          <cell r="AY23">
            <v>0</v>
          </cell>
          <cell r="AZ23">
            <v>1</v>
          </cell>
          <cell r="BA23">
            <v>1</v>
          </cell>
          <cell r="BB23"/>
          <cell r="BC23">
            <v>8</v>
          </cell>
          <cell r="BD23">
            <v>24</v>
          </cell>
          <cell r="BE23">
            <v>0</v>
          </cell>
          <cell r="BF23">
            <v>1</v>
          </cell>
          <cell r="BG23">
            <v>2</v>
          </cell>
          <cell r="BH23"/>
          <cell r="BI23">
            <v>2</v>
          </cell>
          <cell r="BJ23">
            <v>26</v>
          </cell>
          <cell r="BK23">
            <v>0</v>
          </cell>
          <cell r="BL23">
            <v>1</v>
          </cell>
          <cell r="BM23">
            <v>0</v>
          </cell>
          <cell r="BN23"/>
          <cell r="BO23">
            <v>4</v>
          </cell>
          <cell r="BP23">
            <v>26</v>
          </cell>
          <cell r="BQ23">
            <v>0</v>
          </cell>
          <cell r="BR23">
            <v>1</v>
          </cell>
          <cell r="BS23">
            <v>0</v>
          </cell>
          <cell r="BT23"/>
          <cell r="BU23">
            <v>5</v>
          </cell>
          <cell r="BV23">
            <v>25</v>
          </cell>
          <cell r="BW23">
            <v>0</v>
          </cell>
          <cell r="BX23">
            <v>1</v>
          </cell>
          <cell r="BY23">
            <v>1</v>
          </cell>
          <cell r="BZ23"/>
          <cell r="CA23">
            <v>5</v>
          </cell>
          <cell r="CB23">
            <v>24</v>
          </cell>
          <cell r="CC23">
            <v>0</v>
          </cell>
          <cell r="CD23">
            <v>1</v>
          </cell>
          <cell r="CE23">
            <v>2</v>
          </cell>
          <cell r="CF23"/>
          <cell r="CG23">
            <v>4</v>
          </cell>
          <cell r="CH23">
            <v>23.916666666666664</v>
          </cell>
          <cell r="CI23">
            <v>0</v>
          </cell>
          <cell r="CJ23">
            <v>1</v>
          </cell>
          <cell r="CK23">
            <v>1</v>
          </cell>
          <cell r="CL23"/>
          <cell r="CM23">
            <v>0</v>
          </cell>
          <cell r="CN23">
            <v>19.666666666666664</v>
          </cell>
          <cell r="CO23">
            <v>0</v>
          </cell>
          <cell r="CP23">
            <v>1</v>
          </cell>
          <cell r="CQ23">
            <v>1</v>
          </cell>
          <cell r="CR23"/>
          <cell r="CS23">
            <v>0</v>
          </cell>
          <cell r="CT23">
            <v>24</v>
          </cell>
          <cell r="CU23">
            <v>0</v>
          </cell>
          <cell r="CV23">
            <v>1</v>
          </cell>
          <cell r="CW23">
            <v>0</v>
          </cell>
          <cell r="CX23"/>
          <cell r="CY23">
            <v>1</v>
          </cell>
          <cell r="CZ23">
            <v>27</v>
          </cell>
          <cell r="DA23">
            <v>0</v>
          </cell>
          <cell r="DB23">
            <v>2</v>
          </cell>
          <cell r="DC23">
            <v>0</v>
          </cell>
          <cell r="DD23"/>
          <cell r="DE23">
            <v>3</v>
          </cell>
          <cell r="DF23">
            <v>25</v>
          </cell>
          <cell r="DG23">
            <v>0</v>
          </cell>
          <cell r="DH23">
            <v>1</v>
          </cell>
          <cell r="DI23">
            <v>0</v>
          </cell>
          <cell r="DJ23"/>
          <cell r="DK23">
            <v>4</v>
          </cell>
        </row>
        <row r="24">
          <cell r="B24" t="str">
            <v>CN0422</v>
          </cell>
          <cell r="C24" t="str">
            <v>Khối sản xuất</v>
          </cell>
          <cell r="D24" t="str">
            <v>Tạ Thành Đạt</v>
          </cell>
          <cell r="E24" t="str">
            <v>SX</v>
          </cell>
          <cell r="F24">
            <v>43522.672260844905</v>
          </cell>
          <cell r="G24"/>
          <cell r="H24">
            <v>21</v>
          </cell>
          <cell r="I24">
            <v>0</v>
          </cell>
          <cell r="J24">
            <v>1</v>
          </cell>
          <cell r="K24">
            <v>1</v>
          </cell>
          <cell r="L24"/>
          <cell r="M24">
            <v>0</v>
          </cell>
          <cell r="N24">
            <v>22.583333333333336</v>
          </cell>
          <cell r="O24">
            <v>0</v>
          </cell>
          <cell r="P24">
            <v>1</v>
          </cell>
          <cell r="Q24">
            <v>2</v>
          </cell>
          <cell r="R24"/>
          <cell r="S24">
            <v>-1</v>
          </cell>
          <cell r="T24" t="e">
            <v>#REF!</v>
          </cell>
          <cell r="U24">
            <v>0</v>
          </cell>
          <cell r="V24" t="e">
            <v>#REF!</v>
          </cell>
          <cell r="W24" t="e">
            <v>#REF!</v>
          </cell>
          <cell r="X24"/>
          <cell r="Y24">
            <v>0</v>
          </cell>
          <cell r="Z24">
            <v>21.333333333333336</v>
          </cell>
          <cell r="AA24">
            <v>0</v>
          </cell>
          <cell r="AB24">
            <v>1</v>
          </cell>
          <cell r="AC24">
            <v>0</v>
          </cell>
          <cell r="AD24"/>
          <cell r="AE24">
            <v>1</v>
          </cell>
          <cell r="AF24">
            <v>22.916666666666664</v>
          </cell>
          <cell r="AG24">
            <v>0</v>
          </cell>
          <cell r="AH24">
            <v>1</v>
          </cell>
          <cell r="AI24">
            <v>0</v>
          </cell>
          <cell r="AJ24"/>
          <cell r="AK24">
            <v>2</v>
          </cell>
          <cell r="AL24">
            <v>19.833333333333332</v>
          </cell>
          <cell r="AM24">
            <v>0</v>
          </cell>
          <cell r="AN24">
            <v>1</v>
          </cell>
          <cell r="AO24">
            <v>1</v>
          </cell>
          <cell r="AP24"/>
          <cell r="AQ24">
            <v>2</v>
          </cell>
          <cell r="AR24">
            <v>24.833333333333332</v>
          </cell>
          <cell r="AS24">
            <v>0</v>
          </cell>
          <cell r="AT24">
            <v>1</v>
          </cell>
          <cell r="AU24">
            <v>2</v>
          </cell>
          <cell r="AV24"/>
          <cell r="AW24">
            <v>2</v>
          </cell>
          <cell r="AX24">
            <v>25.166666666666668</v>
          </cell>
          <cell r="AY24">
            <v>0</v>
          </cell>
          <cell r="AZ24">
            <v>1</v>
          </cell>
          <cell r="BA24">
            <v>0</v>
          </cell>
          <cell r="BB24"/>
          <cell r="BC24">
            <v>7</v>
          </cell>
          <cell r="BD24">
            <v>25.833333333333332</v>
          </cell>
          <cell r="BE24">
            <v>0</v>
          </cell>
          <cell r="BF24">
            <v>1</v>
          </cell>
          <cell r="BG24">
            <v>0</v>
          </cell>
          <cell r="BH24"/>
          <cell r="BI24">
            <v>4</v>
          </cell>
          <cell r="BJ24">
            <v>23.5</v>
          </cell>
          <cell r="BK24">
            <v>0</v>
          </cell>
          <cell r="BL24">
            <v>1</v>
          </cell>
          <cell r="BM24">
            <v>2</v>
          </cell>
          <cell r="BN24"/>
          <cell r="BO24">
            <v>2</v>
          </cell>
          <cell r="BP24">
            <v>23.5</v>
          </cell>
          <cell r="BQ24">
            <v>0</v>
          </cell>
          <cell r="BR24">
            <v>1</v>
          </cell>
          <cell r="BS24">
            <v>2</v>
          </cell>
          <cell r="BT24"/>
          <cell r="BU24">
            <v>3</v>
          </cell>
          <cell r="BV24">
            <v>23.75</v>
          </cell>
          <cell r="BW24">
            <v>0</v>
          </cell>
          <cell r="BX24">
            <v>1</v>
          </cell>
          <cell r="BY24">
            <v>0</v>
          </cell>
          <cell r="BZ24"/>
          <cell r="CA24">
            <v>4</v>
          </cell>
          <cell r="CB24">
            <v>23</v>
          </cell>
          <cell r="CC24">
            <v>0</v>
          </cell>
          <cell r="CD24">
            <v>1</v>
          </cell>
          <cell r="CE24">
            <v>2</v>
          </cell>
          <cell r="CF24"/>
          <cell r="CG24">
            <v>3</v>
          </cell>
          <cell r="CH24">
            <v>20</v>
          </cell>
          <cell r="CI24">
            <v>0</v>
          </cell>
          <cell r="CJ24">
            <v>1</v>
          </cell>
          <cell r="CK24">
            <v>0</v>
          </cell>
          <cell r="CL24"/>
          <cell r="CM24">
            <v>1</v>
          </cell>
          <cell r="CN24">
            <v>17.166666666666668</v>
          </cell>
          <cell r="CO24">
            <v>0</v>
          </cell>
          <cell r="CP24">
            <v>1</v>
          </cell>
          <cell r="CQ24">
            <v>1</v>
          </cell>
          <cell r="CR24"/>
          <cell r="CS24">
            <v>1</v>
          </cell>
          <cell r="CT24">
            <v>21</v>
          </cell>
          <cell r="CU24">
            <v>0</v>
          </cell>
          <cell r="CV24">
            <v>1</v>
          </cell>
          <cell r="CW24">
            <v>0</v>
          </cell>
          <cell r="CX24"/>
          <cell r="CY24">
            <v>2</v>
          </cell>
          <cell r="CZ24">
            <v>26</v>
          </cell>
          <cell r="DA24">
            <v>0</v>
          </cell>
          <cell r="DB24">
            <v>2</v>
          </cell>
          <cell r="DC24">
            <v>0</v>
          </cell>
          <cell r="DD24"/>
          <cell r="DE24">
            <v>4</v>
          </cell>
          <cell r="DF24">
            <v>24.833333333333336</v>
          </cell>
          <cell r="DG24">
            <v>0</v>
          </cell>
          <cell r="DH24">
            <v>1</v>
          </cell>
          <cell r="DI24">
            <v>0</v>
          </cell>
          <cell r="DJ24"/>
          <cell r="DK24">
            <v>5</v>
          </cell>
        </row>
        <row r="25">
          <cell r="B25" t="str">
            <v>CN0423</v>
          </cell>
          <cell r="C25" t="str">
            <v>Khối sản xuất</v>
          </cell>
          <cell r="D25" t="str">
            <v>Sơn Đol</v>
          </cell>
          <cell r="E25" t="str">
            <v>SX</v>
          </cell>
          <cell r="F25">
            <v>43522</v>
          </cell>
          <cell r="G25"/>
          <cell r="H25">
            <v>26</v>
          </cell>
          <cell r="I25">
            <v>0</v>
          </cell>
          <cell r="J25">
            <v>1</v>
          </cell>
          <cell r="K25">
            <v>0</v>
          </cell>
          <cell r="L25"/>
          <cell r="M25">
            <v>7</v>
          </cell>
          <cell r="N25">
            <v>26</v>
          </cell>
          <cell r="O25">
            <v>0</v>
          </cell>
          <cell r="P25">
            <v>1</v>
          </cell>
          <cell r="Q25">
            <v>0</v>
          </cell>
          <cell r="R25"/>
          <cell r="S25">
            <v>8</v>
          </cell>
          <cell r="T25" t="e">
            <v>#REF!</v>
          </cell>
          <cell r="U25">
            <v>0</v>
          </cell>
          <cell r="V25" t="e">
            <v>#REF!</v>
          </cell>
          <cell r="W25" t="e">
            <v>#REF!</v>
          </cell>
          <cell r="X25"/>
          <cell r="Y25">
            <v>2</v>
          </cell>
          <cell r="Z25">
            <v>24</v>
          </cell>
          <cell r="AA25">
            <v>0</v>
          </cell>
          <cell r="AB25">
            <v>1</v>
          </cell>
          <cell r="AC25">
            <v>0</v>
          </cell>
          <cell r="AD25"/>
          <cell r="AE25">
            <v>3</v>
          </cell>
          <cell r="AF25">
            <v>26</v>
          </cell>
          <cell r="AG25">
            <v>0</v>
          </cell>
          <cell r="AH25">
            <v>1</v>
          </cell>
          <cell r="AI25">
            <v>0</v>
          </cell>
          <cell r="AJ25"/>
          <cell r="AK25">
            <v>4</v>
          </cell>
          <cell r="AL25">
            <v>22</v>
          </cell>
          <cell r="AM25">
            <v>0</v>
          </cell>
          <cell r="AN25">
            <v>1</v>
          </cell>
          <cell r="AO25">
            <v>1</v>
          </cell>
          <cell r="AP25"/>
          <cell r="AQ25">
            <v>4</v>
          </cell>
          <cell r="AR25">
            <v>22.833333333333332</v>
          </cell>
          <cell r="AS25">
            <v>0</v>
          </cell>
          <cell r="AT25">
            <v>1</v>
          </cell>
          <cell r="AU25">
            <v>4</v>
          </cell>
          <cell r="AV25"/>
          <cell r="AW25">
            <v>2</v>
          </cell>
          <cell r="AX25">
            <v>25</v>
          </cell>
          <cell r="AY25">
            <v>0</v>
          </cell>
          <cell r="AZ25">
            <v>1</v>
          </cell>
          <cell r="BA25">
            <v>1</v>
          </cell>
          <cell r="BB25"/>
          <cell r="BC25">
            <v>5</v>
          </cell>
          <cell r="BD25">
            <v>25.75</v>
          </cell>
          <cell r="BE25">
            <v>0</v>
          </cell>
          <cell r="BF25">
            <v>1</v>
          </cell>
          <cell r="BG25">
            <v>0</v>
          </cell>
          <cell r="BH25"/>
          <cell r="BI25">
            <v>3</v>
          </cell>
          <cell r="BJ25">
            <v>21</v>
          </cell>
          <cell r="BK25">
            <v>0</v>
          </cell>
          <cell r="BL25">
            <v>1</v>
          </cell>
          <cell r="BM25">
            <v>3</v>
          </cell>
          <cell r="BN25"/>
          <cell r="BO25">
            <v>0</v>
          </cell>
          <cell r="BP25">
            <v>21</v>
          </cell>
          <cell r="BQ25">
            <v>0</v>
          </cell>
          <cell r="BR25">
            <v>1</v>
          </cell>
          <cell r="BS25">
            <v>3</v>
          </cell>
          <cell r="BT25"/>
          <cell r="BU25">
            <v>1</v>
          </cell>
          <cell r="BV25">
            <v>25</v>
          </cell>
          <cell r="BW25">
            <v>0</v>
          </cell>
          <cell r="BX25">
            <v>1</v>
          </cell>
          <cell r="BY25">
            <v>1</v>
          </cell>
          <cell r="BZ25"/>
          <cell r="CA25">
            <v>1</v>
          </cell>
          <cell r="CB25">
            <v>26</v>
          </cell>
          <cell r="CC25">
            <v>0</v>
          </cell>
          <cell r="CD25">
            <v>1</v>
          </cell>
          <cell r="CE25">
            <v>0</v>
          </cell>
          <cell r="CF25"/>
          <cell r="CG25">
            <v>2</v>
          </cell>
          <cell r="CH25">
            <v>25</v>
          </cell>
          <cell r="CI25">
            <v>0</v>
          </cell>
          <cell r="CJ25">
            <v>1</v>
          </cell>
          <cell r="CK25">
            <v>0</v>
          </cell>
          <cell r="CL25"/>
          <cell r="CM25">
            <v>1</v>
          </cell>
          <cell r="CN25">
            <v>21</v>
          </cell>
          <cell r="CO25">
            <v>0</v>
          </cell>
          <cell r="CP25">
            <v>1</v>
          </cell>
          <cell r="CQ25">
            <v>1</v>
          </cell>
          <cell r="CR25"/>
          <cell r="CS25">
            <v>1</v>
          </cell>
          <cell r="CT25">
            <v>23</v>
          </cell>
          <cell r="CU25">
            <v>0</v>
          </cell>
          <cell r="CV25">
            <v>1</v>
          </cell>
          <cell r="CW25">
            <v>1</v>
          </cell>
          <cell r="CX25"/>
          <cell r="CY25">
            <v>1</v>
          </cell>
          <cell r="CZ25">
            <v>27</v>
          </cell>
          <cell r="DA25">
            <v>0</v>
          </cell>
          <cell r="DB25">
            <v>2</v>
          </cell>
          <cell r="DC25">
            <v>0</v>
          </cell>
          <cell r="DD25"/>
          <cell r="DE25">
            <v>3</v>
          </cell>
          <cell r="DF25">
            <v>25</v>
          </cell>
          <cell r="DG25">
            <v>0</v>
          </cell>
          <cell r="DH25">
            <v>1</v>
          </cell>
          <cell r="DI25">
            <v>0</v>
          </cell>
          <cell r="DJ25"/>
          <cell r="DK25">
            <v>4</v>
          </cell>
        </row>
        <row r="26">
          <cell r="B26" t="str">
            <v>CN0611</v>
          </cell>
          <cell r="C26" t="str">
            <v>Khối sản xuất</v>
          </cell>
          <cell r="D26" t="str">
            <v xml:space="preserve">Dương Thương </v>
          </cell>
          <cell r="E26" t="str">
            <v>SX</v>
          </cell>
          <cell r="F26">
            <v>43970</v>
          </cell>
          <cell r="G26"/>
          <cell r="H26">
            <v>26</v>
          </cell>
          <cell r="I26">
            <v>0</v>
          </cell>
          <cell r="J26">
            <v>1</v>
          </cell>
          <cell r="K26">
            <v>0</v>
          </cell>
          <cell r="L26"/>
          <cell r="M26">
            <v>6</v>
          </cell>
          <cell r="N26">
            <v>22.75</v>
          </cell>
          <cell r="O26">
            <v>0</v>
          </cell>
          <cell r="P26">
            <v>1</v>
          </cell>
          <cell r="Q26">
            <v>3</v>
          </cell>
          <cell r="R26"/>
          <cell r="S26">
            <v>4</v>
          </cell>
          <cell r="T26" t="e">
            <v>#REF!</v>
          </cell>
          <cell r="U26">
            <v>0</v>
          </cell>
          <cell r="V26" t="e">
            <v>#REF!</v>
          </cell>
          <cell r="W26" t="e">
            <v>#REF!</v>
          </cell>
          <cell r="X26"/>
          <cell r="Y26">
            <v>2</v>
          </cell>
          <cell r="Z26">
            <v>23.5</v>
          </cell>
          <cell r="AA26">
            <v>0</v>
          </cell>
          <cell r="AB26">
            <v>1</v>
          </cell>
          <cell r="AC26">
            <v>0.5</v>
          </cell>
          <cell r="AD26"/>
          <cell r="AE26">
            <v>2.5</v>
          </cell>
          <cell r="AF26">
            <v>26</v>
          </cell>
          <cell r="AG26">
            <v>0</v>
          </cell>
          <cell r="AH26">
            <v>1</v>
          </cell>
          <cell r="AI26">
            <v>0</v>
          </cell>
          <cell r="AJ26"/>
          <cell r="AK26">
            <v>3.5</v>
          </cell>
          <cell r="AL26">
            <v>22</v>
          </cell>
          <cell r="AM26">
            <v>0</v>
          </cell>
          <cell r="AN26">
            <v>1</v>
          </cell>
          <cell r="AO26">
            <v>1</v>
          </cell>
          <cell r="AP26"/>
          <cell r="AQ26">
            <v>3.5</v>
          </cell>
          <cell r="AR26">
            <v>26</v>
          </cell>
          <cell r="AS26">
            <v>0</v>
          </cell>
          <cell r="AT26">
            <v>1</v>
          </cell>
          <cell r="AU26">
            <v>1</v>
          </cell>
          <cell r="AV26"/>
          <cell r="AW26">
            <v>4.5</v>
          </cell>
          <cell r="AX26">
            <v>25</v>
          </cell>
          <cell r="AY26">
            <v>0</v>
          </cell>
          <cell r="AZ26">
            <v>1</v>
          </cell>
          <cell r="BA26">
            <v>1</v>
          </cell>
          <cell r="BB26"/>
          <cell r="BC26">
            <v>14</v>
          </cell>
          <cell r="BD26">
            <v>24.583333333333336</v>
          </cell>
          <cell r="BE26">
            <v>0</v>
          </cell>
          <cell r="BF26">
            <v>1</v>
          </cell>
          <cell r="BG26">
            <v>1</v>
          </cell>
          <cell r="BH26"/>
          <cell r="BI26">
            <v>4.5</v>
          </cell>
          <cell r="BJ26">
            <v>25.916666666666664</v>
          </cell>
          <cell r="BK26">
            <v>0</v>
          </cell>
          <cell r="BL26">
            <v>1</v>
          </cell>
          <cell r="BM26">
            <v>0</v>
          </cell>
          <cell r="BN26"/>
          <cell r="BO26">
            <v>5.5</v>
          </cell>
          <cell r="BP26">
            <v>25.916666666666664</v>
          </cell>
          <cell r="BQ26">
            <v>0</v>
          </cell>
          <cell r="BR26">
            <v>1</v>
          </cell>
          <cell r="BS26">
            <v>0</v>
          </cell>
          <cell r="BT26"/>
          <cell r="BU26">
            <v>6.5</v>
          </cell>
          <cell r="BV26">
            <v>26</v>
          </cell>
          <cell r="BW26">
            <v>0</v>
          </cell>
          <cell r="BX26">
            <v>1</v>
          </cell>
          <cell r="BY26">
            <v>0</v>
          </cell>
          <cell r="BZ26"/>
          <cell r="CA26">
            <v>7.5</v>
          </cell>
          <cell r="CB26">
            <v>26</v>
          </cell>
          <cell r="CC26">
            <v>0</v>
          </cell>
          <cell r="CD26">
            <v>1</v>
          </cell>
          <cell r="CE26">
            <v>0</v>
          </cell>
          <cell r="CF26"/>
          <cell r="CG26">
            <v>8.5</v>
          </cell>
          <cell r="CH26">
            <v>24</v>
          </cell>
          <cell r="CI26">
            <v>0</v>
          </cell>
          <cell r="CJ26">
            <v>1</v>
          </cell>
          <cell r="CK26">
            <v>1</v>
          </cell>
          <cell r="CL26"/>
          <cell r="CM26">
            <v>0</v>
          </cell>
          <cell r="CN26">
            <v>21</v>
          </cell>
          <cell r="CO26">
            <v>0</v>
          </cell>
          <cell r="CP26">
            <v>1</v>
          </cell>
          <cell r="CQ26">
            <v>1</v>
          </cell>
          <cell r="CR26"/>
          <cell r="CS26">
            <v>0</v>
          </cell>
          <cell r="CT26">
            <v>23</v>
          </cell>
          <cell r="CU26">
            <v>0</v>
          </cell>
          <cell r="CV26">
            <v>1</v>
          </cell>
          <cell r="CW26">
            <v>1</v>
          </cell>
          <cell r="CX26"/>
          <cell r="CY26">
            <v>0</v>
          </cell>
          <cell r="CZ26">
            <v>27</v>
          </cell>
          <cell r="DA26">
            <v>0</v>
          </cell>
          <cell r="DB26">
            <v>2</v>
          </cell>
          <cell r="DC26">
            <v>0</v>
          </cell>
          <cell r="DD26"/>
          <cell r="DE26">
            <v>2</v>
          </cell>
          <cell r="DF26">
            <v>24.916666666666664</v>
          </cell>
          <cell r="DG26">
            <v>0</v>
          </cell>
          <cell r="DH26">
            <v>1</v>
          </cell>
          <cell r="DI26">
            <v>0</v>
          </cell>
          <cell r="DJ26"/>
          <cell r="DK26">
            <v>3</v>
          </cell>
        </row>
        <row r="27">
          <cell r="B27" t="str">
            <v>CN0613</v>
          </cell>
          <cell r="C27" t="str">
            <v>Khối sản xuất</v>
          </cell>
          <cell r="D27" t="str">
            <v>Lý Si Phonh</v>
          </cell>
          <cell r="E27" t="str">
            <v>SX</v>
          </cell>
          <cell r="F27">
            <v>43969</v>
          </cell>
          <cell r="G27"/>
          <cell r="H27">
            <v>26</v>
          </cell>
          <cell r="I27">
            <v>0</v>
          </cell>
          <cell r="J27">
            <v>1</v>
          </cell>
          <cell r="K27">
            <v>0</v>
          </cell>
          <cell r="L27"/>
          <cell r="M27">
            <v>5</v>
          </cell>
          <cell r="N27">
            <v>26</v>
          </cell>
          <cell r="O27">
            <v>0</v>
          </cell>
          <cell r="P27">
            <v>1</v>
          </cell>
          <cell r="Q27">
            <v>0</v>
          </cell>
          <cell r="R27"/>
          <cell r="S27">
            <v>6</v>
          </cell>
          <cell r="T27" t="e">
            <v>#REF!</v>
          </cell>
          <cell r="U27">
            <v>0</v>
          </cell>
          <cell r="V27" t="e">
            <v>#REF!</v>
          </cell>
          <cell r="W27" t="e">
            <v>#REF!</v>
          </cell>
          <cell r="X27"/>
          <cell r="Y27">
            <v>2</v>
          </cell>
          <cell r="Z27">
            <v>24</v>
          </cell>
          <cell r="AA27">
            <v>0</v>
          </cell>
          <cell r="AB27">
            <v>1</v>
          </cell>
          <cell r="AC27">
            <v>0</v>
          </cell>
          <cell r="AD27"/>
          <cell r="AE27">
            <v>3</v>
          </cell>
          <cell r="AF27">
            <v>26</v>
          </cell>
          <cell r="AG27">
            <v>0</v>
          </cell>
          <cell r="AH27">
            <v>1</v>
          </cell>
          <cell r="AI27">
            <v>0</v>
          </cell>
          <cell r="AJ27"/>
          <cell r="AK27">
            <v>4</v>
          </cell>
          <cell r="AL27">
            <v>23</v>
          </cell>
          <cell r="AM27">
            <v>0</v>
          </cell>
          <cell r="AN27">
            <v>1</v>
          </cell>
          <cell r="AO27">
            <v>0</v>
          </cell>
          <cell r="AP27"/>
          <cell r="AQ27">
            <v>5</v>
          </cell>
          <cell r="AR27">
            <v>26</v>
          </cell>
          <cell r="AS27">
            <v>0</v>
          </cell>
          <cell r="AT27">
            <v>1</v>
          </cell>
          <cell r="AU27">
            <v>1</v>
          </cell>
          <cell r="AV27"/>
          <cell r="AW27">
            <v>6</v>
          </cell>
          <cell r="AX27">
            <v>26</v>
          </cell>
          <cell r="AY27">
            <v>0</v>
          </cell>
          <cell r="AZ27">
            <v>1</v>
          </cell>
          <cell r="BA27">
            <v>0</v>
          </cell>
          <cell r="BB27"/>
          <cell r="BC27">
            <v>17</v>
          </cell>
          <cell r="BD27">
            <v>21</v>
          </cell>
          <cell r="BE27">
            <v>0</v>
          </cell>
          <cell r="BF27">
            <v>1</v>
          </cell>
          <cell r="BG27">
            <v>3</v>
          </cell>
          <cell r="BH27"/>
          <cell r="BI27">
            <v>5</v>
          </cell>
          <cell r="BJ27">
            <v>26</v>
          </cell>
          <cell r="BK27">
            <v>0</v>
          </cell>
          <cell r="BL27">
            <v>1</v>
          </cell>
          <cell r="BM27">
            <v>0</v>
          </cell>
          <cell r="BN27"/>
          <cell r="BO27">
            <v>8</v>
          </cell>
          <cell r="BP27">
            <v>26</v>
          </cell>
          <cell r="BQ27">
            <v>0</v>
          </cell>
          <cell r="BR27">
            <v>1</v>
          </cell>
          <cell r="BS27">
            <v>0</v>
          </cell>
          <cell r="BT27"/>
          <cell r="BU27">
            <v>9</v>
          </cell>
          <cell r="BV27">
            <v>24</v>
          </cell>
          <cell r="BW27">
            <v>0</v>
          </cell>
          <cell r="BX27">
            <v>1</v>
          </cell>
          <cell r="BY27">
            <v>2</v>
          </cell>
          <cell r="BZ27"/>
          <cell r="CA27">
            <v>8</v>
          </cell>
          <cell r="CB27">
            <v>26</v>
          </cell>
          <cell r="CC27">
            <v>0</v>
          </cell>
          <cell r="CD27">
            <v>1</v>
          </cell>
          <cell r="CE27">
            <v>0</v>
          </cell>
          <cell r="CF27"/>
          <cell r="CG27">
            <v>9</v>
          </cell>
          <cell r="CH27">
            <v>22</v>
          </cell>
          <cell r="CI27">
            <v>0</v>
          </cell>
          <cell r="CJ27">
            <v>1</v>
          </cell>
          <cell r="CK27">
            <v>1</v>
          </cell>
          <cell r="CL27"/>
          <cell r="CM27">
            <v>0</v>
          </cell>
          <cell r="CN27">
            <v>20</v>
          </cell>
          <cell r="CO27">
            <v>0</v>
          </cell>
          <cell r="CP27">
            <v>1</v>
          </cell>
          <cell r="CQ27">
            <v>1</v>
          </cell>
          <cell r="CR27"/>
          <cell r="CS27">
            <v>0</v>
          </cell>
          <cell r="CT27">
            <v>24</v>
          </cell>
          <cell r="CU27">
            <v>0</v>
          </cell>
          <cell r="CV27">
            <v>1</v>
          </cell>
          <cell r="CW27">
            <v>0</v>
          </cell>
          <cell r="CX27"/>
          <cell r="CY27">
            <v>1</v>
          </cell>
          <cell r="CZ27">
            <v>27</v>
          </cell>
          <cell r="DA27">
            <v>0</v>
          </cell>
          <cell r="DB27">
            <v>2</v>
          </cell>
          <cell r="DC27">
            <v>0</v>
          </cell>
          <cell r="DD27"/>
          <cell r="DE27">
            <v>3</v>
          </cell>
          <cell r="DF27">
            <v>25</v>
          </cell>
          <cell r="DG27">
            <v>0</v>
          </cell>
          <cell r="DH27">
            <v>1</v>
          </cell>
          <cell r="DI27">
            <v>0</v>
          </cell>
          <cell r="DJ27"/>
          <cell r="DK27">
            <v>4</v>
          </cell>
        </row>
        <row r="28">
          <cell r="B28" t="str">
            <v>CN0618</v>
          </cell>
          <cell r="C28" t="str">
            <v>Khối sản xuất</v>
          </cell>
          <cell r="D28" t="str">
            <v>Lê Thành Đô</v>
          </cell>
          <cell r="E28" t="str">
            <v>SX</v>
          </cell>
          <cell r="F28">
            <v>43983</v>
          </cell>
          <cell r="G28"/>
          <cell r="H28">
            <v>26</v>
          </cell>
          <cell r="I28">
            <v>0</v>
          </cell>
          <cell r="J28">
            <v>1</v>
          </cell>
          <cell r="K28">
            <v>0</v>
          </cell>
          <cell r="L28"/>
          <cell r="M28">
            <v>1</v>
          </cell>
          <cell r="N28">
            <v>23</v>
          </cell>
          <cell r="O28">
            <v>0</v>
          </cell>
          <cell r="P28">
            <v>1</v>
          </cell>
          <cell r="Q28">
            <v>2</v>
          </cell>
          <cell r="R28"/>
          <cell r="S28">
            <v>0</v>
          </cell>
          <cell r="T28" t="e">
            <v>#REF!</v>
          </cell>
          <cell r="U28">
            <v>0</v>
          </cell>
          <cell r="V28" t="e">
            <v>#REF!</v>
          </cell>
          <cell r="W28" t="e">
            <v>#REF!</v>
          </cell>
          <cell r="X28"/>
          <cell r="Y28">
            <v>1</v>
          </cell>
          <cell r="Z28">
            <v>24</v>
          </cell>
          <cell r="AA28">
            <v>0</v>
          </cell>
          <cell r="AB28">
            <v>1</v>
          </cell>
          <cell r="AC28">
            <v>0</v>
          </cell>
          <cell r="AD28"/>
          <cell r="AE28">
            <v>2</v>
          </cell>
          <cell r="AF28">
            <v>25</v>
          </cell>
          <cell r="AG28">
            <v>0</v>
          </cell>
          <cell r="AH28">
            <v>1</v>
          </cell>
          <cell r="AI28">
            <v>1</v>
          </cell>
          <cell r="AJ28"/>
          <cell r="AK28">
            <v>2</v>
          </cell>
          <cell r="AL28">
            <v>22</v>
          </cell>
          <cell r="AM28">
            <v>0</v>
          </cell>
          <cell r="AN28">
            <v>1</v>
          </cell>
          <cell r="AO28">
            <v>0</v>
          </cell>
          <cell r="AP28"/>
          <cell r="AQ28">
            <v>3</v>
          </cell>
          <cell r="AR28">
            <v>26</v>
          </cell>
          <cell r="AS28">
            <v>0</v>
          </cell>
          <cell r="AT28">
            <v>1</v>
          </cell>
          <cell r="AU28">
            <v>1</v>
          </cell>
          <cell r="AV28"/>
          <cell r="AW28">
            <v>4</v>
          </cell>
          <cell r="AX28">
            <v>25</v>
          </cell>
          <cell r="AY28">
            <v>0</v>
          </cell>
          <cell r="AZ28">
            <v>1</v>
          </cell>
          <cell r="BA28">
            <v>0</v>
          </cell>
          <cell r="BB28"/>
          <cell r="BC28">
            <v>12</v>
          </cell>
          <cell r="BD28">
            <v>26</v>
          </cell>
          <cell r="BE28">
            <v>0</v>
          </cell>
          <cell r="BF28">
            <v>1</v>
          </cell>
          <cell r="BG28">
            <v>0</v>
          </cell>
          <cell r="BH28"/>
          <cell r="BI28">
            <v>6</v>
          </cell>
          <cell r="BJ28">
            <v>25</v>
          </cell>
          <cell r="BK28">
            <v>0</v>
          </cell>
          <cell r="BL28">
            <v>1</v>
          </cell>
          <cell r="BM28">
            <v>1</v>
          </cell>
          <cell r="BN28"/>
          <cell r="BO28">
            <v>5</v>
          </cell>
          <cell r="BP28">
            <v>25</v>
          </cell>
          <cell r="BQ28">
            <v>0</v>
          </cell>
          <cell r="BR28">
            <v>1</v>
          </cell>
          <cell r="BS28">
            <v>1</v>
          </cell>
          <cell r="BT28"/>
          <cell r="BU28">
            <v>6</v>
          </cell>
          <cell r="BV28">
            <v>24</v>
          </cell>
          <cell r="BW28">
            <v>0</v>
          </cell>
          <cell r="BX28">
            <v>1</v>
          </cell>
          <cell r="BY28">
            <v>1</v>
          </cell>
          <cell r="BZ28"/>
          <cell r="CA28">
            <v>6</v>
          </cell>
          <cell r="CB28">
            <v>25</v>
          </cell>
          <cell r="CC28">
            <v>0</v>
          </cell>
          <cell r="CD28">
            <v>1</v>
          </cell>
          <cell r="CE28">
            <v>1</v>
          </cell>
          <cell r="CF28"/>
          <cell r="CG28">
            <v>6</v>
          </cell>
          <cell r="CH28">
            <v>22</v>
          </cell>
          <cell r="CI28">
            <v>0</v>
          </cell>
          <cell r="CJ28">
            <v>1</v>
          </cell>
          <cell r="CK28">
            <v>1</v>
          </cell>
          <cell r="CL28"/>
          <cell r="CM28">
            <v>0</v>
          </cell>
          <cell r="CN28">
            <v>19.833333333333336</v>
          </cell>
          <cell r="CO28">
            <v>0</v>
          </cell>
          <cell r="CP28">
            <v>1</v>
          </cell>
          <cell r="CQ28">
            <v>1</v>
          </cell>
          <cell r="CR28"/>
          <cell r="CS28">
            <v>0</v>
          </cell>
          <cell r="CT28">
            <v>24</v>
          </cell>
          <cell r="CU28">
            <v>0</v>
          </cell>
          <cell r="CV28">
            <v>1</v>
          </cell>
          <cell r="CW28">
            <v>0</v>
          </cell>
          <cell r="CX28"/>
          <cell r="CY28">
            <v>1</v>
          </cell>
          <cell r="CZ28">
            <v>27</v>
          </cell>
          <cell r="DA28">
            <v>0</v>
          </cell>
          <cell r="DB28">
            <v>2</v>
          </cell>
          <cell r="DC28">
            <v>0</v>
          </cell>
          <cell r="DD28"/>
          <cell r="DE28">
            <v>3</v>
          </cell>
          <cell r="DF28">
            <v>25</v>
          </cell>
          <cell r="DG28">
            <v>0</v>
          </cell>
          <cell r="DH28">
            <v>1</v>
          </cell>
          <cell r="DI28">
            <v>0</v>
          </cell>
          <cell r="DJ28"/>
          <cell r="DK28">
            <v>4</v>
          </cell>
        </row>
        <row r="29">
          <cell r="B29" t="str">
            <v>CN0343</v>
          </cell>
          <cell r="C29" t="str">
            <v>Khối sản xuất</v>
          </cell>
          <cell r="D29" t="str">
            <v>Danh Chao Lốt</v>
          </cell>
          <cell r="E29" t="str">
            <v>SX</v>
          </cell>
          <cell r="F29">
            <v>41098</v>
          </cell>
          <cell r="G29"/>
          <cell r="H29">
            <v>24</v>
          </cell>
          <cell r="I29">
            <v>0</v>
          </cell>
          <cell r="J29">
            <v>1</v>
          </cell>
          <cell r="K29">
            <v>0</v>
          </cell>
          <cell r="L29"/>
          <cell r="M29">
            <v>6</v>
          </cell>
          <cell r="N29">
            <v>22</v>
          </cell>
          <cell r="O29">
            <v>0</v>
          </cell>
          <cell r="P29">
            <v>1</v>
          </cell>
          <cell r="Q29">
            <v>4</v>
          </cell>
          <cell r="R29"/>
          <cell r="S29">
            <v>3</v>
          </cell>
          <cell r="T29" t="e">
            <v>#REF!</v>
          </cell>
          <cell r="U29">
            <v>0</v>
          </cell>
          <cell r="V29" t="e">
            <v>#REF!</v>
          </cell>
          <cell r="W29" t="e">
            <v>#REF!</v>
          </cell>
          <cell r="X29"/>
          <cell r="Y29">
            <v>2</v>
          </cell>
          <cell r="Z29">
            <v>21</v>
          </cell>
          <cell r="AA29">
            <v>0</v>
          </cell>
          <cell r="AB29">
            <v>1</v>
          </cell>
          <cell r="AC29">
            <v>3</v>
          </cell>
          <cell r="AD29"/>
          <cell r="AE29">
            <v>0</v>
          </cell>
          <cell r="AF29">
            <v>26.333333333333336</v>
          </cell>
          <cell r="AG29">
            <v>0</v>
          </cell>
          <cell r="AH29">
            <v>1</v>
          </cell>
          <cell r="AI29">
            <v>0</v>
          </cell>
          <cell r="AJ29"/>
          <cell r="AK29">
            <v>1</v>
          </cell>
          <cell r="AL29">
            <v>23</v>
          </cell>
          <cell r="AM29">
            <v>0</v>
          </cell>
          <cell r="AN29">
            <v>1</v>
          </cell>
          <cell r="AO29">
            <v>0</v>
          </cell>
          <cell r="AP29"/>
          <cell r="AQ29">
            <v>2</v>
          </cell>
          <cell r="AR29">
            <v>25</v>
          </cell>
          <cell r="AS29">
            <v>0</v>
          </cell>
          <cell r="AT29">
            <v>1</v>
          </cell>
          <cell r="AU29">
            <v>1</v>
          </cell>
          <cell r="AV29"/>
          <cell r="AW29">
            <v>4</v>
          </cell>
          <cell r="AX29">
            <v>26</v>
          </cell>
          <cell r="AY29">
            <v>0</v>
          </cell>
          <cell r="AZ29">
            <v>1</v>
          </cell>
          <cell r="BA29">
            <v>0</v>
          </cell>
          <cell r="BB29"/>
          <cell r="BC29">
            <v>15</v>
          </cell>
          <cell r="BD29">
            <v>23.833333333333336</v>
          </cell>
          <cell r="BE29">
            <v>0</v>
          </cell>
          <cell r="BF29">
            <v>1</v>
          </cell>
          <cell r="BG29">
            <v>2</v>
          </cell>
          <cell r="BH29"/>
          <cell r="BI29">
            <v>4</v>
          </cell>
          <cell r="BJ29">
            <v>26</v>
          </cell>
          <cell r="BK29">
            <v>0</v>
          </cell>
          <cell r="BL29">
            <v>1</v>
          </cell>
          <cell r="BM29">
            <v>0</v>
          </cell>
          <cell r="BN29"/>
          <cell r="BO29">
            <v>6</v>
          </cell>
          <cell r="BP29">
            <v>26</v>
          </cell>
          <cell r="BQ29">
            <v>0</v>
          </cell>
          <cell r="BR29">
            <v>1</v>
          </cell>
          <cell r="BS29">
            <v>0</v>
          </cell>
          <cell r="BT29"/>
          <cell r="BU29">
            <v>7</v>
          </cell>
          <cell r="BV29">
            <v>25</v>
          </cell>
          <cell r="BW29">
            <v>0</v>
          </cell>
          <cell r="BX29">
            <v>1</v>
          </cell>
          <cell r="BY29">
            <v>1</v>
          </cell>
          <cell r="BZ29"/>
          <cell r="CA29">
            <v>7</v>
          </cell>
          <cell r="CB29">
            <v>26</v>
          </cell>
          <cell r="CC29">
            <v>0</v>
          </cell>
          <cell r="CD29">
            <v>1</v>
          </cell>
          <cell r="CE29">
            <v>0</v>
          </cell>
          <cell r="CF29"/>
          <cell r="CG29">
            <v>8</v>
          </cell>
          <cell r="CH29">
            <v>23</v>
          </cell>
          <cell r="CI29">
            <v>0</v>
          </cell>
          <cell r="CJ29">
            <v>1</v>
          </cell>
          <cell r="CK29">
            <v>1</v>
          </cell>
          <cell r="CL29"/>
          <cell r="CM29">
            <v>0</v>
          </cell>
          <cell r="CN29">
            <v>20</v>
          </cell>
          <cell r="CO29">
            <v>0</v>
          </cell>
          <cell r="CP29">
            <v>1</v>
          </cell>
          <cell r="CQ29">
            <v>1</v>
          </cell>
          <cell r="CR29"/>
          <cell r="CS29">
            <v>0</v>
          </cell>
          <cell r="CT29">
            <v>24</v>
          </cell>
          <cell r="CU29">
            <v>0</v>
          </cell>
          <cell r="CV29">
            <v>1</v>
          </cell>
          <cell r="CW29">
            <v>0</v>
          </cell>
          <cell r="CX29"/>
          <cell r="CY29">
            <v>1</v>
          </cell>
          <cell r="CZ29">
            <v>27</v>
          </cell>
          <cell r="DA29">
            <v>0</v>
          </cell>
          <cell r="DB29">
            <v>3</v>
          </cell>
          <cell r="DC29">
            <v>0</v>
          </cell>
          <cell r="DD29"/>
          <cell r="DE29">
            <v>4</v>
          </cell>
          <cell r="DF29">
            <v>25</v>
          </cell>
          <cell r="DG29">
            <v>0</v>
          </cell>
          <cell r="DH29">
            <v>1</v>
          </cell>
          <cell r="DI29">
            <v>0</v>
          </cell>
          <cell r="DJ29"/>
          <cell r="DK29">
            <v>5</v>
          </cell>
        </row>
        <row r="30">
          <cell r="B30" t="str">
            <v>CN0040</v>
          </cell>
          <cell r="C30" t="str">
            <v>Khối sản xuất</v>
          </cell>
          <cell r="D30" t="str">
            <v>Đặng Văn Giang</v>
          </cell>
          <cell r="E30" t="str">
            <v>SX</v>
          </cell>
          <cell r="F30">
            <v>42072</v>
          </cell>
          <cell r="G30"/>
          <cell r="H30">
            <v>26</v>
          </cell>
          <cell r="I30">
            <v>0</v>
          </cell>
          <cell r="J30">
            <v>1</v>
          </cell>
          <cell r="K30">
            <v>0</v>
          </cell>
          <cell r="L30"/>
          <cell r="M30">
            <v>10</v>
          </cell>
          <cell r="N30">
            <v>25</v>
          </cell>
          <cell r="O30">
            <v>0</v>
          </cell>
          <cell r="P30">
            <v>1</v>
          </cell>
          <cell r="Q30">
            <v>1</v>
          </cell>
          <cell r="R30"/>
          <cell r="S30">
            <v>10</v>
          </cell>
          <cell r="T30" t="e">
            <v>#REF!</v>
          </cell>
          <cell r="U30">
            <v>0</v>
          </cell>
          <cell r="V30" t="e">
            <v>#REF!</v>
          </cell>
          <cell r="W30" t="e">
            <v>#REF!</v>
          </cell>
          <cell r="X30"/>
          <cell r="Y30">
            <v>2</v>
          </cell>
          <cell r="Z30">
            <v>24</v>
          </cell>
          <cell r="AA30">
            <v>0</v>
          </cell>
          <cell r="AB30">
            <v>1</v>
          </cell>
          <cell r="AC30">
            <v>0</v>
          </cell>
          <cell r="AD30"/>
          <cell r="AE30">
            <v>3</v>
          </cell>
          <cell r="AF30">
            <v>26</v>
          </cell>
          <cell r="AG30">
            <v>0</v>
          </cell>
          <cell r="AH30">
            <v>1</v>
          </cell>
          <cell r="AI30">
            <v>0</v>
          </cell>
          <cell r="AJ30"/>
          <cell r="AK30">
            <v>4</v>
          </cell>
          <cell r="AL30">
            <v>22</v>
          </cell>
          <cell r="AM30">
            <v>0</v>
          </cell>
          <cell r="AN30">
            <v>1</v>
          </cell>
          <cell r="AO30">
            <v>1</v>
          </cell>
          <cell r="AP30"/>
          <cell r="AQ30">
            <v>4</v>
          </cell>
          <cell r="AR30">
            <v>20</v>
          </cell>
          <cell r="AS30">
            <v>0</v>
          </cell>
          <cell r="AT30">
            <v>1</v>
          </cell>
          <cell r="AU30">
            <v>7</v>
          </cell>
          <cell r="AV30"/>
          <cell r="AW30">
            <v>0</v>
          </cell>
          <cell r="AX30">
            <v>26</v>
          </cell>
          <cell r="AY30">
            <v>0</v>
          </cell>
          <cell r="AZ30">
            <v>1</v>
          </cell>
          <cell r="BA30">
            <v>0</v>
          </cell>
          <cell r="BB30"/>
          <cell r="BC30">
            <v>8</v>
          </cell>
          <cell r="BD30">
            <v>26</v>
          </cell>
          <cell r="BE30">
            <v>0</v>
          </cell>
          <cell r="BF30">
            <v>1</v>
          </cell>
          <cell r="BG30">
            <v>0</v>
          </cell>
          <cell r="BH30"/>
          <cell r="BI30">
            <v>2</v>
          </cell>
          <cell r="BJ30">
            <v>26</v>
          </cell>
          <cell r="BK30">
            <v>0</v>
          </cell>
          <cell r="BL30">
            <v>1</v>
          </cell>
          <cell r="BM30">
            <v>0</v>
          </cell>
          <cell r="BN30"/>
          <cell r="BO30">
            <v>2</v>
          </cell>
          <cell r="BP30">
            <v>26</v>
          </cell>
          <cell r="BQ30">
            <v>0</v>
          </cell>
          <cell r="BR30">
            <v>1</v>
          </cell>
          <cell r="BS30">
            <v>0</v>
          </cell>
          <cell r="BT30"/>
          <cell r="BU30">
            <v>3</v>
          </cell>
          <cell r="BV30">
            <v>26</v>
          </cell>
          <cell r="BW30">
            <v>0</v>
          </cell>
          <cell r="BX30">
            <v>1</v>
          </cell>
          <cell r="BY30">
            <v>0</v>
          </cell>
          <cell r="BZ30"/>
          <cell r="CA30">
            <v>4</v>
          </cell>
          <cell r="CB30">
            <v>26</v>
          </cell>
          <cell r="CC30">
            <v>0</v>
          </cell>
          <cell r="CD30">
            <v>1</v>
          </cell>
          <cell r="CE30">
            <v>0</v>
          </cell>
          <cell r="CF30"/>
          <cell r="CG30">
            <v>5</v>
          </cell>
          <cell r="CH30">
            <v>24</v>
          </cell>
          <cell r="CI30">
            <v>0</v>
          </cell>
          <cell r="CJ30">
            <v>1</v>
          </cell>
          <cell r="CK30">
            <v>1</v>
          </cell>
          <cell r="CL30"/>
          <cell r="CM30">
            <v>0</v>
          </cell>
          <cell r="CN30">
            <v>20</v>
          </cell>
          <cell r="CO30">
            <v>0</v>
          </cell>
          <cell r="CP30">
            <v>1</v>
          </cell>
          <cell r="CQ30">
            <v>1</v>
          </cell>
          <cell r="CR30"/>
          <cell r="CS30">
            <v>0</v>
          </cell>
          <cell r="CT30">
            <v>24</v>
          </cell>
          <cell r="CU30">
            <v>0</v>
          </cell>
          <cell r="CV30">
            <v>1</v>
          </cell>
          <cell r="CW30">
            <v>0</v>
          </cell>
          <cell r="CX30"/>
          <cell r="CY30">
            <v>1</v>
          </cell>
          <cell r="CZ30">
            <v>27</v>
          </cell>
          <cell r="DA30">
            <v>0</v>
          </cell>
          <cell r="DB30">
            <v>3</v>
          </cell>
          <cell r="DC30">
            <v>0</v>
          </cell>
          <cell r="DD30"/>
          <cell r="DE30">
            <v>4</v>
          </cell>
          <cell r="DF30">
            <v>25</v>
          </cell>
          <cell r="DG30">
            <v>0</v>
          </cell>
          <cell r="DH30">
            <v>1</v>
          </cell>
          <cell r="DI30">
            <v>0</v>
          </cell>
          <cell r="DJ30"/>
          <cell r="DK30">
            <v>5</v>
          </cell>
        </row>
        <row r="31">
          <cell r="B31" t="str">
            <v>CN0516</v>
          </cell>
          <cell r="C31" t="str">
            <v>Khối sản xuất</v>
          </cell>
          <cell r="D31" t="str">
            <v>Danh Chao Chiết</v>
          </cell>
          <cell r="E31" t="str">
            <v>SX</v>
          </cell>
          <cell r="F31">
            <v>43749</v>
          </cell>
          <cell r="G31"/>
          <cell r="H31">
            <v>20</v>
          </cell>
          <cell r="I31">
            <v>0</v>
          </cell>
          <cell r="J31">
            <v>1</v>
          </cell>
          <cell r="K31">
            <v>1</v>
          </cell>
          <cell r="L31"/>
          <cell r="M31">
            <v>0</v>
          </cell>
          <cell r="N31">
            <v>22</v>
          </cell>
          <cell r="O31">
            <v>0</v>
          </cell>
          <cell r="P31">
            <v>1</v>
          </cell>
          <cell r="Q31">
            <v>4</v>
          </cell>
          <cell r="R31"/>
          <cell r="S31">
            <v>-3</v>
          </cell>
          <cell r="T31" t="e">
            <v>#REF!</v>
          </cell>
          <cell r="U31">
            <v>0</v>
          </cell>
          <cell r="V31" t="e">
            <v>#REF!</v>
          </cell>
          <cell r="W31" t="e">
            <v>#REF!</v>
          </cell>
          <cell r="X31"/>
          <cell r="Y31">
            <v>-2</v>
          </cell>
          <cell r="Z31">
            <v>21</v>
          </cell>
          <cell r="AA31">
            <v>0</v>
          </cell>
          <cell r="AB31">
            <v>1</v>
          </cell>
          <cell r="AC31">
            <v>0</v>
          </cell>
          <cell r="AD31"/>
          <cell r="AE31">
            <v>-1</v>
          </cell>
          <cell r="AF31">
            <v>26</v>
          </cell>
          <cell r="AG31">
            <v>0</v>
          </cell>
          <cell r="AH31">
            <v>1</v>
          </cell>
          <cell r="AI31">
            <v>0</v>
          </cell>
          <cell r="AJ31"/>
          <cell r="AK31">
            <v>0</v>
          </cell>
          <cell r="AL31">
            <v>23</v>
          </cell>
          <cell r="AM31">
            <v>0</v>
          </cell>
          <cell r="AN31">
            <v>1</v>
          </cell>
          <cell r="AO31">
            <v>0</v>
          </cell>
          <cell r="AP31"/>
          <cell r="AQ31">
            <v>1</v>
          </cell>
          <cell r="AR31">
            <v>27</v>
          </cell>
          <cell r="AS31">
            <v>0</v>
          </cell>
          <cell r="AT31">
            <v>1</v>
          </cell>
          <cell r="AU31">
            <v>0</v>
          </cell>
          <cell r="AV31"/>
          <cell r="AW31">
            <v>3</v>
          </cell>
          <cell r="AX31">
            <v>26</v>
          </cell>
          <cell r="AY31">
            <v>0</v>
          </cell>
          <cell r="AZ31">
            <v>1</v>
          </cell>
          <cell r="BA31">
            <v>0</v>
          </cell>
          <cell r="BB31"/>
          <cell r="BC31">
            <v>13</v>
          </cell>
          <cell r="BD31">
            <v>26</v>
          </cell>
          <cell r="BE31">
            <v>0</v>
          </cell>
          <cell r="BF31">
            <v>1</v>
          </cell>
          <cell r="BG31">
            <v>0</v>
          </cell>
          <cell r="BH31"/>
          <cell r="BI31">
            <v>5</v>
          </cell>
          <cell r="BJ31">
            <v>26</v>
          </cell>
          <cell r="BK31">
            <v>0</v>
          </cell>
          <cell r="BL31">
            <v>1</v>
          </cell>
          <cell r="BM31">
            <v>0</v>
          </cell>
          <cell r="BN31"/>
          <cell r="BO31">
            <v>5</v>
          </cell>
          <cell r="BP31">
            <v>26</v>
          </cell>
          <cell r="BQ31">
            <v>0</v>
          </cell>
          <cell r="BR31">
            <v>1</v>
          </cell>
          <cell r="BS31">
            <v>0</v>
          </cell>
          <cell r="BT31"/>
          <cell r="BU31">
            <v>6</v>
          </cell>
          <cell r="BV31">
            <v>26</v>
          </cell>
          <cell r="BW31">
            <v>0</v>
          </cell>
          <cell r="BX31">
            <v>1</v>
          </cell>
          <cell r="BY31">
            <v>0</v>
          </cell>
          <cell r="BZ31"/>
          <cell r="CA31">
            <v>7</v>
          </cell>
          <cell r="CB31">
            <v>26</v>
          </cell>
          <cell r="CC31">
            <v>0</v>
          </cell>
          <cell r="CD31">
            <v>1</v>
          </cell>
          <cell r="CE31">
            <v>0</v>
          </cell>
          <cell r="CF31"/>
          <cell r="CG31">
            <v>8</v>
          </cell>
          <cell r="CH31">
            <v>25</v>
          </cell>
          <cell r="CI31">
            <v>0</v>
          </cell>
          <cell r="CJ31">
            <v>1</v>
          </cell>
          <cell r="CK31">
            <v>0</v>
          </cell>
          <cell r="CL31"/>
          <cell r="CM31">
            <v>1</v>
          </cell>
          <cell r="CN31">
            <v>21</v>
          </cell>
          <cell r="CO31">
            <v>0</v>
          </cell>
          <cell r="CP31">
            <v>1</v>
          </cell>
          <cell r="CQ31">
            <v>1</v>
          </cell>
          <cell r="CR31"/>
          <cell r="CS31">
            <v>1</v>
          </cell>
          <cell r="CT31">
            <v>24</v>
          </cell>
          <cell r="CU31">
            <v>0</v>
          </cell>
          <cell r="CV31">
            <v>1</v>
          </cell>
          <cell r="CW31">
            <v>0</v>
          </cell>
          <cell r="CX31"/>
          <cell r="CY31">
            <v>2</v>
          </cell>
          <cell r="CZ31">
            <v>27</v>
          </cell>
          <cell r="DA31">
            <v>0</v>
          </cell>
          <cell r="DB31">
            <v>2</v>
          </cell>
          <cell r="DC31">
            <v>0</v>
          </cell>
          <cell r="DD31"/>
          <cell r="DE31">
            <v>4</v>
          </cell>
          <cell r="DF31">
            <v>25</v>
          </cell>
          <cell r="DG31">
            <v>0</v>
          </cell>
          <cell r="DH31">
            <v>1</v>
          </cell>
          <cell r="DI31">
            <v>0</v>
          </cell>
          <cell r="DJ31"/>
          <cell r="DK31">
            <v>5</v>
          </cell>
        </row>
        <row r="32">
          <cell r="B32" t="str">
            <v>CN0559</v>
          </cell>
          <cell r="C32" t="str">
            <v>Khối sản xuất</v>
          </cell>
          <cell r="D32" t="str">
            <v>Lê Văn Lượng</v>
          </cell>
          <cell r="E32" t="str">
            <v>SX</v>
          </cell>
          <cell r="F32">
            <v>43878</v>
          </cell>
          <cell r="G32"/>
          <cell r="H32">
            <v>25</v>
          </cell>
          <cell r="I32">
            <v>0</v>
          </cell>
          <cell r="J32">
            <v>1</v>
          </cell>
          <cell r="K32">
            <v>1</v>
          </cell>
          <cell r="L32"/>
          <cell r="M32">
            <v>10</v>
          </cell>
          <cell r="N32">
            <v>25.833333333333332</v>
          </cell>
          <cell r="O32">
            <v>0</v>
          </cell>
          <cell r="P32">
            <v>1</v>
          </cell>
          <cell r="Q32">
            <v>0</v>
          </cell>
          <cell r="R32"/>
          <cell r="S32">
            <v>11</v>
          </cell>
          <cell r="T32" t="e">
            <v>#REF!</v>
          </cell>
          <cell r="U32">
            <v>0</v>
          </cell>
          <cell r="V32" t="e">
            <v>#REF!</v>
          </cell>
          <cell r="W32" t="e">
            <v>#REF!</v>
          </cell>
          <cell r="X32"/>
          <cell r="Y32">
            <v>2</v>
          </cell>
          <cell r="Z32">
            <v>23.833333333333336</v>
          </cell>
          <cell r="AA32">
            <v>0</v>
          </cell>
          <cell r="AB32">
            <v>1</v>
          </cell>
          <cell r="AC32">
            <v>0</v>
          </cell>
          <cell r="AD32"/>
          <cell r="AE32">
            <v>3</v>
          </cell>
          <cell r="AF32">
            <v>26</v>
          </cell>
          <cell r="AG32">
            <v>0</v>
          </cell>
          <cell r="AH32">
            <v>1</v>
          </cell>
          <cell r="AI32">
            <v>0</v>
          </cell>
          <cell r="AJ32"/>
          <cell r="AK32">
            <v>4</v>
          </cell>
          <cell r="AL32">
            <v>23</v>
          </cell>
          <cell r="AM32">
            <v>0</v>
          </cell>
          <cell r="AN32">
            <v>1</v>
          </cell>
          <cell r="AO32">
            <v>0</v>
          </cell>
          <cell r="AP32"/>
          <cell r="AQ32">
            <v>5</v>
          </cell>
          <cell r="AR32">
            <v>24</v>
          </cell>
          <cell r="AS32">
            <v>0</v>
          </cell>
          <cell r="AT32">
            <v>1</v>
          </cell>
          <cell r="AU32">
            <v>1</v>
          </cell>
          <cell r="AV32"/>
          <cell r="AW32">
            <v>6</v>
          </cell>
          <cell r="AX32">
            <v>26</v>
          </cell>
          <cell r="AY32">
            <v>0</v>
          </cell>
          <cell r="AZ32">
            <v>1</v>
          </cell>
          <cell r="BA32">
            <v>0</v>
          </cell>
          <cell r="BB32"/>
          <cell r="BC32">
            <v>17</v>
          </cell>
          <cell r="BD32">
            <v>26</v>
          </cell>
          <cell r="BE32">
            <v>0</v>
          </cell>
          <cell r="BF32">
            <v>1</v>
          </cell>
          <cell r="BG32">
            <v>0</v>
          </cell>
          <cell r="BH32"/>
          <cell r="BI32">
            <v>8</v>
          </cell>
          <cell r="BJ32">
            <v>25</v>
          </cell>
          <cell r="BK32">
            <v>0</v>
          </cell>
          <cell r="BL32">
            <v>1</v>
          </cell>
          <cell r="BM32">
            <v>1</v>
          </cell>
          <cell r="BN32"/>
          <cell r="BO32">
            <v>7</v>
          </cell>
          <cell r="BP32">
            <v>25</v>
          </cell>
          <cell r="BQ32">
            <v>0</v>
          </cell>
          <cell r="BR32">
            <v>1</v>
          </cell>
          <cell r="BS32">
            <v>1</v>
          </cell>
          <cell r="BT32"/>
          <cell r="BU32">
            <v>8</v>
          </cell>
          <cell r="BV32">
            <v>25</v>
          </cell>
          <cell r="BW32">
            <v>0</v>
          </cell>
          <cell r="BX32">
            <v>1</v>
          </cell>
          <cell r="BY32">
            <v>1</v>
          </cell>
          <cell r="BZ32"/>
          <cell r="CA32">
            <v>8</v>
          </cell>
          <cell r="CB32">
            <v>25.916666666666664</v>
          </cell>
          <cell r="CC32">
            <v>0</v>
          </cell>
          <cell r="CD32">
            <v>1</v>
          </cell>
          <cell r="CE32">
            <v>0</v>
          </cell>
          <cell r="CF32"/>
          <cell r="CG32">
            <v>9</v>
          </cell>
          <cell r="CH32">
            <v>24</v>
          </cell>
          <cell r="CI32">
            <v>0</v>
          </cell>
          <cell r="CJ32">
            <v>1</v>
          </cell>
          <cell r="CK32">
            <v>1</v>
          </cell>
          <cell r="CL32"/>
          <cell r="CM32">
            <v>0</v>
          </cell>
          <cell r="CN32">
            <v>20</v>
          </cell>
          <cell r="CO32">
            <v>0</v>
          </cell>
          <cell r="CP32">
            <v>1</v>
          </cell>
          <cell r="CQ32">
            <v>1</v>
          </cell>
          <cell r="CR32"/>
          <cell r="CS32">
            <v>0</v>
          </cell>
          <cell r="CT32">
            <v>24</v>
          </cell>
          <cell r="CU32">
            <v>0</v>
          </cell>
          <cell r="CV32">
            <v>1</v>
          </cell>
          <cell r="CW32">
            <v>0</v>
          </cell>
          <cell r="CX32"/>
          <cell r="CY32">
            <v>1</v>
          </cell>
          <cell r="CZ32">
            <v>24</v>
          </cell>
          <cell r="DA32">
            <v>0</v>
          </cell>
          <cell r="DB32">
            <v>2</v>
          </cell>
          <cell r="DC32">
            <v>0</v>
          </cell>
          <cell r="DD32"/>
          <cell r="DE32">
            <v>3</v>
          </cell>
          <cell r="DF32">
            <v>25</v>
          </cell>
          <cell r="DG32">
            <v>0</v>
          </cell>
          <cell r="DH32">
            <v>1</v>
          </cell>
          <cell r="DI32">
            <v>0</v>
          </cell>
          <cell r="DJ32"/>
          <cell r="DK32">
            <v>4</v>
          </cell>
        </row>
        <row r="33">
          <cell r="B33" t="str">
            <v>CN0568</v>
          </cell>
          <cell r="C33" t="str">
            <v>Khối sản xuất</v>
          </cell>
          <cell r="D33" t="str">
            <v>Thạch Tài</v>
          </cell>
          <cell r="E33" t="str">
            <v>SX</v>
          </cell>
          <cell r="F33">
            <v>43892</v>
          </cell>
          <cell r="G33"/>
          <cell r="H33">
            <v>25</v>
          </cell>
          <cell r="I33">
            <v>0</v>
          </cell>
          <cell r="J33">
            <v>1</v>
          </cell>
          <cell r="K33">
            <v>1</v>
          </cell>
          <cell r="L33"/>
          <cell r="M33">
            <v>4</v>
          </cell>
          <cell r="N33">
            <v>25</v>
          </cell>
          <cell r="O33">
            <v>0</v>
          </cell>
          <cell r="P33">
            <v>1</v>
          </cell>
          <cell r="Q33">
            <v>1</v>
          </cell>
          <cell r="R33"/>
          <cell r="S33">
            <v>4</v>
          </cell>
          <cell r="T33" t="e">
            <v>#REF!</v>
          </cell>
          <cell r="U33">
            <v>0</v>
          </cell>
          <cell r="V33" t="e">
            <v>#REF!</v>
          </cell>
          <cell r="W33" t="e">
            <v>#REF!</v>
          </cell>
          <cell r="X33"/>
          <cell r="Y33">
            <v>2</v>
          </cell>
          <cell r="Z33">
            <v>23</v>
          </cell>
          <cell r="AA33">
            <v>0</v>
          </cell>
          <cell r="AB33">
            <v>1</v>
          </cell>
          <cell r="AC33">
            <v>1</v>
          </cell>
          <cell r="AD33"/>
          <cell r="AE33">
            <v>2</v>
          </cell>
          <cell r="AF33">
            <v>26</v>
          </cell>
          <cell r="AG33">
            <v>0</v>
          </cell>
          <cell r="AH33">
            <v>1</v>
          </cell>
          <cell r="AI33">
            <v>0</v>
          </cell>
          <cell r="AJ33"/>
          <cell r="AK33">
            <v>3</v>
          </cell>
          <cell r="AL33">
            <v>23</v>
          </cell>
          <cell r="AM33">
            <v>0</v>
          </cell>
          <cell r="AN33">
            <v>1</v>
          </cell>
          <cell r="AO33">
            <v>0</v>
          </cell>
          <cell r="AP33"/>
          <cell r="AQ33">
            <v>4</v>
          </cell>
          <cell r="AR33">
            <v>26</v>
          </cell>
          <cell r="AS33">
            <v>0</v>
          </cell>
          <cell r="AT33">
            <v>1</v>
          </cell>
          <cell r="AU33">
            <v>1</v>
          </cell>
          <cell r="AV33"/>
          <cell r="AW33">
            <v>5</v>
          </cell>
          <cell r="AX33">
            <v>24.25</v>
          </cell>
          <cell r="AY33">
            <v>0</v>
          </cell>
          <cell r="AZ33">
            <v>1</v>
          </cell>
          <cell r="BA33">
            <v>0</v>
          </cell>
          <cell r="BB33"/>
          <cell r="BC33">
            <v>16</v>
          </cell>
          <cell r="BD33">
            <v>26</v>
          </cell>
          <cell r="BE33">
            <v>0</v>
          </cell>
          <cell r="BF33">
            <v>1</v>
          </cell>
          <cell r="BG33">
            <v>0</v>
          </cell>
          <cell r="BH33"/>
          <cell r="BI33">
            <v>7</v>
          </cell>
          <cell r="BJ33">
            <v>26</v>
          </cell>
          <cell r="BK33">
            <v>0</v>
          </cell>
          <cell r="BL33">
            <v>1</v>
          </cell>
          <cell r="BM33">
            <v>0</v>
          </cell>
          <cell r="BN33"/>
          <cell r="BO33">
            <v>7</v>
          </cell>
          <cell r="BP33">
            <v>26</v>
          </cell>
          <cell r="BQ33">
            <v>0</v>
          </cell>
          <cell r="BR33">
            <v>1</v>
          </cell>
          <cell r="BS33">
            <v>0</v>
          </cell>
          <cell r="BT33"/>
          <cell r="BU33">
            <v>8</v>
          </cell>
          <cell r="BV33">
            <v>25</v>
          </cell>
          <cell r="BW33">
            <v>0</v>
          </cell>
          <cell r="BX33">
            <v>1</v>
          </cell>
          <cell r="BY33">
            <v>1</v>
          </cell>
          <cell r="BZ33"/>
          <cell r="CA33">
            <v>8</v>
          </cell>
          <cell r="CB33">
            <v>26</v>
          </cell>
          <cell r="CC33">
            <v>0</v>
          </cell>
          <cell r="CD33">
            <v>1</v>
          </cell>
          <cell r="CE33">
            <v>0</v>
          </cell>
          <cell r="CF33"/>
          <cell r="CG33">
            <v>9</v>
          </cell>
          <cell r="CH33">
            <v>24</v>
          </cell>
          <cell r="CI33">
            <v>0</v>
          </cell>
          <cell r="CJ33">
            <v>1</v>
          </cell>
          <cell r="CK33">
            <v>1</v>
          </cell>
          <cell r="CL33"/>
          <cell r="CM33">
            <v>0</v>
          </cell>
          <cell r="CN33">
            <v>20</v>
          </cell>
          <cell r="CO33">
            <v>0</v>
          </cell>
          <cell r="CP33">
            <v>1</v>
          </cell>
          <cell r="CQ33">
            <v>1</v>
          </cell>
          <cell r="CR33"/>
          <cell r="CS33">
            <v>0</v>
          </cell>
          <cell r="CT33">
            <v>22</v>
          </cell>
          <cell r="CU33">
            <v>0</v>
          </cell>
          <cell r="CV33">
            <v>1</v>
          </cell>
          <cell r="CW33">
            <v>1</v>
          </cell>
          <cell r="CX33"/>
          <cell r="CY33">
            <v>0</v>
          </cell>
          <cell r="CZ33">
            <v>27</v>
          </cell>
          <cell r="DA33">
            <v>0</v>
          </cell>
          <cell r="DB33">
            <v>2</v>
          </cell>
          <cell r="DC33">
            <v>0</v>
          </cell>
          <cell r="DD33"/>
          <cell r="DE33">
            <v>2</v>
          </cell>
          <cell r="DF33">
            <v>16</v>
          </cell>
          <cell r="DG33">
            <v>0</v>
          </cell>
          <cell r="DH33">
            <v>1</v>
          </cell>
          <cell r="DI33">
            <v>3</v>
          </cell>
          <cell r="DJ33"/>
          <cell r="DK33">
            <v>0</v>
          </cell>
        </row>
        <row r="34">
          <cell r="B34" t="str">
            <v>CN0681</v>
          </cell>
          <cell r="C34" t="str">
            <v>Khối sản xuất</v>
          </cell>
          <cell r="D34" t="str">
            <v>Danh Ngọc</v>
          </cell>
          <cell r="E34" t="str">
            <v>SX</v>
          </cell>
          <cell r="F34" t="str">
            <v>12/03/2021</v>
          </cell>
          <cell r="G34"/>
          <cell r="H34">
            <v>21</v>
          </cell>
          <cell r="I34">
            <v>0</v>
          </cell>
          <cell r="J34">
            <v>1</v>
          </cell>
          <cell r="K34">
            <v>1</v>
          </cell>
          <cell r="L34"/>
          <cell r="M34">
            <v>0</v>
          </cell>
          <cell r="N34">
            <v>17.75</v>
          </cell>
          <cell r="O34">
            <v>0</v>
          </cell>
          <cell r="P34">
            <v>1</v>
          </cell>
          <cell r="Q34">
            <v>1</v>
          </cell>
          <cell r="R34"/>
          <cell r="S34">
            <v>0</v>
          </cell>
          <cell r="T34" t="e">
            <v>#REF!</v>
          </cell>
          <cell r="U34">
            <v>0</v>
          </cell>
          <cell r="V34" t="e">
            <v>#REF!</v>
          </cell>
          <cell r="W34" t="e">
            <v>#REF!</v>
          </cell>
          <cell r="X34"/>
          <cell r="Y34">
            <v>1</v>
          </cell>
          <cell r="Z34">
            <v>15.916666666666668</v>
          </cell>
          <cell r="AA34">
            <v>0</v>
          </cell>
          <cell r="AB34">
            <v>1</v>
          </cell>
          <cell r="AC34">
            <v>2</v>
          </cell>
          <cell r="AD34"/>
          <cell r="AE34">
            <v>0</v>
          </cell>
          <cell r="AF34">
            <v>25.833333333333336</v>
          </cell>
          <cell r="AG34">
            <v>0</v>
          </cell>
          <cell r="AH34">
            <v>1</v>
          </cell>
          <cell r="AI34">
            <v>0</v>
          </cell>
          <cell r="AJ34"/>
          <cell r="AK34">
            <v>1</v>
          </cell>
          <cell r="AL34">
            <v>5</v>
          </cell>
          <cell r="AM34">
            <v>0</v>
          </cell>
          <cell r="AN34">
            <v>0</v>
          </cell>
          <cell r="AO34">
            <v>1</v>
          </cell>
          <cell r="AP34"/>
          <cell r="AQ34">
            <v>0</v>
          </cell>
          <cell r="AR34">
            <v>26</v>
          </cell>
          <cell r="AS34">
            <v>0</v>
          </cell>
          <cell r="AT34">
            <v>1</v>
          </cell>
          <cell r="AU34">
            <v>1</v>
          </cell>
          <cell r="AV34"/>
          <cell r="AW34">
            <v>0</v>
          </cell>
          <cell r="AX34">
            <v>25</v>
          </cell>
          <cell r="AY34">
            <v>0</v>
          </cell>
          <cell r="AZ34">
            <v>1</v>
          </cell>
          <cell r="BA34">
            <v>0</v>
          </cell>
          <cell r="BB34"/>
          <cell r="BC34">
            <v>5</v>
          </cell>
          <cell r="BD34">
            <v>24.666666666666664</v>
          </cell>
          <cell r="BE34">
            <v>0</v>
          </cell>
          <cell r="BF34">
            <v>1</v>
          </cell>
          <cell r="BG34">
            <v>1</v>
          </cell>
          <cell r="BH34"/>
          <cell r="BI34">
            <v>1</v>
          </cell>
          <cell r="BJ34">
            <v>24.833333333333336</v>
          </cell>
          <cell r="BK34">
            <v>0</v>
          </cell>
          <cell r="BL34">
            <v>1</v>
          </cell>
          <cell r="BM34">
            <v>0</v>
          </cell>
          <cell r="BN34"/>
          <cell r="BO34">
            <v>2</v>
          </cell>
          <cell r="BP34">
            <v>24.833333333333336</v>
          </cell>
          <cell r="BQ34">
            <v>0</v>
          </cell>
          <cell r="BR34">
            <v>1</v>
          </cell>
          <cell r="BS34">
            <v>0</v>
          </cell>
          <cell r="BT34"/>
          <cell r="BU34">
            <v>3</v>
          </cell>
          <cell r="BV34">
            <v>24.5</v>
          </cell>
          <cell r="BW34">
            <v>0</v>
          </cell>
          <cell r="BX34">
            <v>1</v>
          </cell>
          <cell r="BY34">
            <v>1</v>
          </cell>
          <cell r="BZ34"/>
          <cell r="CA34">
            <v>3</v>
          </cell>
          <cell r="CB34">
            <v>24.5</v>
          </cell>
          <cell r="CC34">
            <v>0</v>
          </cell>
          <cell r="CD34">
            <v>1</v>
          </cell>
          <cell r="CE34">
            <v>1</v>
          </cell>
          <cell r="CF34"/>
          <cell r="CG34">
            <v>3</v>
          </cell>
          <cell r="CH34">
            <v>23.916666666666664</v>
          </cell>
          <cell r="CI34">
            <v>0</v>
          </cell>
          <cell r="CJ34">
            <v>1</v>
          </cell>
          <cell r="CK34">
            <v>1</v>
          </cell>
          <cell r="CL34"/>
          <cell r="CM34">
            <v>0</v>
          </cell>
          <cell r="CN34">
            <v>19.833333333333336</v>
          </cell>
          <cell r="CO34">
            <v>0</v>
          </cell>
          <cell r="CP34">
            <v>1</v>
          </cell>
          <cell r="CQ34">
            <v>1</v>
          </cell>
          <cell r="CR34"/>
          <cell r="CS34">
            <v>0</v>
          </cell>
          <cell r="CT34">
            <v>22.916666666666664</v>
          </cell>
          <cell r="CU34">
            <v>0</v>
          </cell>
          <cell r="CV34">
            <v>1</v>
          </cell>
          <cell r="CW34">
            <v>0</v>
          </cell>
          <cell r="CX34"/>
          <cell r="CY34">
            <v>1</v>
          </cell>
          <cell r="CZ34">
            <v>26</v>
          </cell>
          <cell r="DA34">
            <v>0</v>
          </cell>
          <cell r="DB34">
            <v>2</v>
          </cell>
          <cell r="DC34">
            <v>0</v>
          </cell>
          <cell r="DD34"/>
          <cell r="DE34">
            <v>3</v>
          </cell>
          <cell r="DF34">
            <v>25</v>
          </cell>
          <cell r="DG34">
            <v>0</v>
          </cell>
          <cell r="DH34">
            <v>1</v>
          </cell>
          <cell r="DI34">
            <v>0</v>
          </cell>
          <cell r="DJ34"/>
          <cell r="DK34">
            <v>4</v>
          </cell>
        </row>
        <row r="35">
          <cell r="B35" t="str">
            <v>CN0032</v>
          </cell>
          <cell r="C35" t="str">
            <v>Khối sản xuất</v>
          </cell>
          <cell r="D35" t="str">
            <v>Thạch Tững</v>
          </cell>
          <cell r="E35" t="str">
            <v>SX</v>
          </cell>
          <cell r="F35">
            <v>40400</v>
          </cell>
          <cell r="G35"/>
          <cell r="H35">
            <v>26</v>
          </cell>
          <cell r="I35">
            <v>0</v>
          </cell>
          <cell r="J35">
            <v>1</v>
          </cell>
          <cell r="K35">
            <v>0</v>
          </cell>
          <cell r="L35"/>
          <cell r="M35">
            <v>10</v>
          </cell>
          <cell r="N35">
            <v>25</v>
          </cell>
          <cell r="O35">
            <v>0</v>
          </cell>
          <cell r="P35">
            <v>1</v>
          </cell>
          <cell r="Q35">
            <v>1</v>
          </cell>
          <cell r="R35"/>
          <cell r="S35">
            <v>10</v>
          </cell>
          <cell r="T35" t="e">
            <v>#REF!</v>
          </cell>
          <cell r="U35">
            <v>0</v>
          </cell>
          <cell r="V35" t="e">
            <v>#REF!</v>
          </cell>
          <cell r="W35" t="e">
            <v>#REF!</v>
          </cell>
          <cell r="X35"/>
          <cell r="Y35">
            <v>2</v>
          </cell>
          <cell r="Z35">
            <v>17</v>
          </cell>
          <cell r="AA35">
            <v>0</v>
          </cell>
          <cell r="AB35">
            <v>1</v>
          </cell>
          <cell r="AC35">
            <v>0</v>
          </cell>
          <cell r="AD35"/>
          <cell r="AE35">
            <v>3</v>
          </cell>
          <cell r="AF35">
            <v>26</v>
          </cell>
          <cell r="AG35">
            <v>0</v>
          </cell>
          <cell r="AH35">
            <v>1</v>
          </cell>
          <cell r="AI35">
            <v>0</v>
          </cell>
          <cell r="AJ35"/>
          <cell r="AK35">
            <v>4</v>
          </cell>
          <cell r="AL35">
            <v>23</v>
          </cell>
          <cell r="AM35">
            <v>0</v>
          </cell>
          <cell r="AN35">
            <v>1</v>
          </cell>
          <cell r="AO35">
            <v>0</v>
          </cell>
          <cell r="AP35"/>
          <cell r="AQ35">
            <v>5</v>
          </cell>
          <cell r="AR35">
            <v>27</v>
          </cell>
          <cell r="AS35">
            <v>0</v>
          </cell>
          <cell r="AT35">
            <v>1</v>
          </cell>
          <cell r="AU35">
            <v>0</v>
          </cell>
          <cell r="AV35"/>
          <cell r="AW35">
            <v>9</v>
          </cell>
          <cell r="AX35">
            <v>26</v>
          </cell>
          <cell r="AY35">
            <v>0</v>
          </cell>
          <cell r="AZ35">
            <v>1</v>
          </cell>
          <cell r="BA35">
            <v>0</v>
          </cell>
          <cell r="BB35"/>
          <cell r="BC35">
            <v>23</v>
          </cell>
          <cell r="BD35">
            <v>25</v>
          </cell>
          <cell r="BE35">
            <v>0</v>
          </cell>
          <cell r="BF35">
            <v>1</v>
          </cell>
          <cell r="BG35">
            <v>1</v>
          </cell>
          <cell r="BH35"/>
          <cell r="BI35">
            <v>10</v>
          </cell>
          <cell r="BJ35">
            <v>26</v>
          </cell>
          <cell r="BK35">
            <v>0</v>
          </cell>
          <cell r="BL35">
            <v>1</v>
          </cell>
          <cell r="BM35">
            <v>0</v>
          </cell>
          <cell r="BN35"/>
          <cell r="BO35">
            <v>11</v>
          </cell>
          <cell r="BP35">
            <v>26</v>
          </cell>
          <cell r="BQ35">
            <v>0</v>
          </cell>
          <cell r="BR35">
            <v>1</v>
          </cell>
          <cell r="BS35">
            <v>0</v>
          </cell>
          <cell r="BT35"/>
          <cell r="BU35">
            <v>12</v>
          </cell>
          <cell r="BV35">
            <v>22</v>
          </cell>
          <cell r="BW35">
            <v>0</v>
          </cell>
          <cell r="BX35">
            <v>1</v>
          </cell>
          <cell r="BY35">
            <v>4</v>
          </cell>
          <cell r="BZ35"/>
          <cell r="CA35">
            <v>9</v>
          </cell>
          <cell r="CB35">
            <v>26</v>
          </cell>
          <cell r="CC35">
            <v>0</v>
          </cell>
          <cell r="CD35">
            <v>1</v>
          </cell>
          <cell r="CE35">
            <v>0</v>
          </cell>
          <cell r="CF35"/>
          <cell r="CG35">
            <v>10</v>
          </cell>
          <cell r="CH35">
            <v>26</v>
          </cell>
          <cell r="CI35">
            <v>0</v>
          </cell>
          <cell r="CJ35">
            <v>1</v>
          </cell>
          <cell r="CK35">
            <v>0</v>
          </cell>
          <cell r="CL35"/>
          <cell r="CM35">
            <v>1</v>
          </cell>
          <cell r="CN35">
            <v>20</v>
          </cell>
          <cell r="CO35">
            <v>0</v>
          </cell>
          <cell r="CP35">
            <v>1</v>
          </cell>
          <cell r="CQ35">
            <v>1</v>
          </cell>
          <cell r="CR35"/>
          <cell r="CS35">
            <v>1</v>
          </cell>
          <cell r="CT35">
            <v>24</v>
          </cell>
          <cell r="CU35">
            <v>0</v>
          </cell>
          <cell r="CV35">
            <v>1</v>
          </cell>
          <cell r="CW35">
            <v>0</v>
          </cell>
          <cell r="CX35"/>
          <cell r="CY35">
            <v>2</v>
          </cell>
          <cell r="CZ35">
            <v>27</v>
          </cell>
          <cell r="DA35">
            <v>0</v>
          </cell>
          <cell r="DB35">
            <v>4</v>
          </cell>
          <cell r="DC35">
            <v>0</v>
          </cell>
          <cell r="DD35"/>
          <cell r="DE35">
            <v>6</v>
          </cell>
          <cell r="DF35">
            <v>25</v>
          </cell>
          <cell r="DG35">
            <v>0</v>
          </cell>
          <cell r="DH35">
            <v>1</v>
          </cell>
          <cell r="DI35">
            <v>0</v>
          </cell>
          <cell r="DJ35"/>
          <cell r="DK35">
            <v>7</v>
          </cell>
        </row>
        <row r="36">
          <cell r="B36" t="str">
            <v>CN0038</v>
          </cell>
          <cell r="C36" t="str">
            <v>Khối sản xuất</v>
          </cell>
          <cell r="D36" t="str">
            <v>Danh Kim Đồng</v>
          </cell>
          <cell r="E36" t="str">
            <v>SX</v>
          </cell>
          <cell r="F36">
            <v>41428</v>
          </cell>
          <cell r="G36"/>
          <cell r="H36">
            <v>25</v>
          </cell>
          <cell r="I36">
            <v>0</v>
          </cell>
          <cell r="J36">
            <v>1</v>
          </cell>
          <cell r="K36">
            <v>1</v>
          </cell>
          <cell r="L36"/>
          <cell r="M36">
            <v>1</v>
          </cell>
          <cell r="N36">
            <v>25</v>
          </cell>
          <cell r="O36">
            <v>0</v>
          </cell>
          <cell r="P36">
            <v>1</v>
          </cell>
          <cell r="Q36">
            <v>1</v>
          </cell>
          <cell r="R36"/>
          <cell r="S36">
            <v>1</v>
          </cell>
          <cell r="T36" t="e">
            <v>#REF!</v>
          </cell>
          <cell r="U36">
            <v>0</v>
          </cell>
          <cell r="V36" t="e">
            <v>#REF!</v>
          </cell>
          <cell r="W36" t="e">
            <v>#REF!</v>
          </cell>
          <cell r="X36"/>
          <cell r="Y36">
            <v>2</v>
          </cell>
          <cell r="Z36">
            <v>24</v>
          </cell>
          <cell r="AA36">
            <v>0</v>
          </cell>
          <cell r="AB36">
            <v>1</v>
          </cell>
          <cell r="AC36">
            <v>0</v>
          </cell>
          <cell r="AD36"/>
          <cell r="AE36">
            <v>3</v>
          </cell>
          <cell r="AF36">
            <v>25</v>
          </cell>
          <cell r="AG36">
            <v>0</v>
          </cell>
          <cell r="AH36">
            <v>1</v>
          </cell>
          <cell r="AI36">
            <v>1</v>
          </cell>
          <cell r="AJ36"/>
          <cell r="AK36">
            <v>3</v>
          </cell>
          <cell r="AL36">
            <v>23</v>
          </cell>
          <cell r="AM36">
            <v>0</v>
          </cell>
          <cell r="AN36">
            <v>1</v>
          </cell>
          <cell r="AO36">
            <v>0</v>
          </cell>
          <cell r="AP36"/>
          <cell r="AQ36">
            <v>4</v>
          </cell>
          <cell r="AR36">
            <v>27</v>
          </cell>
          <cell r="AS36">
            <v>0</v>
          </cell>
          <cell r="AT36">
            <v>1</v>
          </cell>
          <cell r="AU36">
            <v>0</v>
          </cell>
          <cell r="AV36"/>
          <cell r="AW36">
            <v>7</v>
          </cell>
          <cell r="AX36">
            <v>26</v>
          </cell>
          <cell r="AY36">
            <v>0</v>
          </cell>
          <cell r="AZ36">
            <v>1</v>
          </cell>
          <cell r="BA36">
            <v>0</v>
          </cell>
          <cell r="BB36"/>
          <cell r="BC36">
            <v>21</v>
          </cell>
          <cell r="BD36">
            <v>25</v>
          </cell>
          <cell r="BE36">
            <v>0</v>
          </cell>
          <cell r="BF36">
            <v>1</v>
          </cell>
          <cell r="BG36">
            <v>1</v>
          </cell>
          <cell r="BH36"/>
          <cell r="BI36">
            <v>8</v>
          </cell>
          <cell r="BJ36">
            <v>25</v>
          </cell>
          <cell r="BK36">
            <v>0</v>
          </cell>
          <cell r="BL36">
            <v>1</v>
          </cell>
          <cell r="BM36">
            <v>1</v>
          </cell>
          <cell r="BN36"/>
          <cell r="BO36">
            <v>8</v>
          </cell>
          <cell r="BP36">
            <v>25</v>
          </cell>
          <cell r="BQ36">
            <v>0</v>
          </cell>
          <cell r="BR36">
            <v>1</v>
          </cell>
          <cell r="BS36">
            <v>1</v>
          </cell>
          <cell r="BT36"/>
          <cell r="BU36">
            <v>9</v>
          </cell>
          <cell r="BV36">
            <v>26</v>
          </cell>
          <cell r="BW36">
            <v>0</v>
          </cell>
          <cell r="BX36">
            <v>1</v>
          </cell>
          <cell r="BY36">
            <v>0</v>
          </cell>
          <cell r="BZ36"/>
          <cell r="CA36">
            <v>10</v>
          </cell>
          <cell r="CB36">
            <v>26</v>
          </cell>
          <cell r="CC36">
            <v>0</v>
          </cell>
          <cell r="CD36">
            <v>1</v>
          </cell>
          <cell r="CE36">
            <v>0</v>
          </cell>
          <cell r="CF36"/>
          <cell r="CG36">
            <v>11</v>
          </cell>
          <cell r="CH36">
            <v>24</v>
          </cell>
          <cell r="CI36">
            <v>0</v>
          </cell>
          <cell r="CJ36">
            <v>1</v>
          </cell>
          <cell r="CK36">
            <v>1</v>
          </cell>
          <cell r="CL36"/>
          <cell r="CM36">
            <v>0</v>
          </cell>
          <cell r="CN36">
            <v>21</v>
          </cell>
          <cell r="CO36">
            <v>0</v>
          </cell>
          <cell r="CP36">
            <v>1</v>
          </cell>
          <cell r="CQ36">
            <v>1</v>
          </cell>
          <cell r="CR36"/>
          <cell r="CS36">
            <v>0</v>
          </cell>
          <cell r="CT36">
            <v>24</v>
          </cell>
          <cell r="CU36">
            <v>0</v>
          </cell>
          <cell r="CV36">
            <v>1</v>
          </cell>
          <cell r="CW36">
            <v>0</v>
          </cell>
          <cell r="CX36"/>
          <cell r="CY36">
            <v>1</v>
          </cell>
          <cell r="CZ36">
            <v>27</v>
          </cell>
          <cell r="DA36">
            <v>0</v>
          </cell>
          <cell r="DB36">
            <v>3</v>
          </cell>
          <cell r="DC36">
            <v>0</v>
          </cell>
          <cell r="DD36"/>
          <cell r="DE36">
            <v>4</v>
          </cell>
          <cell r="DF36">
            <v>24</v>
          </cell>
          <cell r="DG36">
            <v>0</v>
          </cell>
          <cell r="DH36">
            <v>1</v>
          </cell>
          <cell r="DI36">
            <v>0</v>
          </cell>
          <cell r="DJ36"/>
          <cell r="DK36">
            <v>5</v>
          </cell>
        </row>
        <row r="37">
          <cell r="B37" t="str">
            <v>CN0341</v>
          </cell>
          <cell r="C37" t="str">
            <v>Khối sản xuất</v>
          </cell>
          <cell r="D37" t="str">
            <v>Chau Danh Sa Va</v>
          </cell>
          <cell r="E37" t="str">
            <v>SX</v>
          </cell>
          <cell r="F37">
            <v>43299</v>
          </cell>
          <cell r="G37"/>
          <cell r="H37">
            <v>26</v>
          </cell>
          <cell r="I37">
            <v>0</v>
          </cell>
          <cell r="J37">
            <v>1</v>
          </cell>
          <cell r="K37">
            <v>0</v>
          </cell>
          <cell r="L37"/>
          <cell r="M37">
            <v>10</v>
          </cell>
          <cell r="N37">
            <v>20.666666666666664</v>
          </cell>
          <cell r="O37">
            <v>0</v>
          </cell>
          <cell r="P37">
            <v>1</v>
          </cell>
          <cell r="Q37">
            <v>5</v>
          </cell>
          <cell r="R37"/>
          <cell r="S37">
            <v>6</v>
          </cell>
          <cell r="T37" t="e">
            <v>#REF!</v>
          </cell>
          <cell r="U37">
            <v>0</v>
          </cell>
          <cell r="V37" t="e">
            <v>#REF!</v>
          </cell>
          <cell r="W37" t="e">
            <v>#REF!</v>
          </cell>
          <cell r="X37"/>
          <cell r="Y37">
            <v>2</v>
          </cell>
          <cell r="Z37">
            <v>24</v>
          </cell>
          <cell r="AA37">
            <v>0</v>
          </cell>
          <cell r="AB37">
            <v>1</v>
          </cell>
          <cell r="AC37">
            <v>0</v>
          </cell>
          <cell r="AD37"/>
          <cell r="AE37">
            <v>3</v>
          </cell>
          <cell r="AF37">
            <v>26</v>
          </cell>
          <cell r="AG37">
            <v>0</v>
          </cell>
          <cell r="AH37">
            <v>1</v>
          </cell>
          <cell r="AI37">
            <v>0</v>
          </cell>
          <cell r="AJ37"/>
          <cell r="AK37">
            <v>4</v>
          </cell>
          <cell r="AL37">
            <v>22</v>
          </cell>
          <cell r="AM37">
            <v>0</v>
          </cell>
          <cell r="AN37">
            <v>1</v>
          </cell>
          <cell r="AO37">
            <v>1</v>
          </cell>
          <cell r="AP37"/>
          <cell r="AQ37">
            <v>4</v>
          </cell>
          <cell r="AR37">
            <v>23</v>
          </cell>
          <cell r="AS37">
            <v>0</v>
          </cell>
          <cell r="AT37">
            <v>1</v>
          </cell>
          <cell r="AU37">
            <v>3</v>
          </cell>
          <cell r="AV37"/>
          <cell r="AW37">
            <v>3</v>
          </cell>
          <cell r="AX37">
            <v>26</v>
          </cell>
          <cell r="AY37">
            <v>0</v>
          </cell>
          <cell r="AZ37">
            <v>1</v>
          </cell>
          <cell r="BA37">
            <v>0</v>
          </cell>
          <cell r="BB37"/>
          <cell r="BC37">
            <v>12</v>
          </cell>
          <cell r="BD37">
            <v>26</v>
          </cell>
          <cell r="BE37">
            <v>0</v>
          </cell>
          <cell r="BF37">
            <v>1</v>
          </cell>
          <cell r="BG37">
            <v>0</v>
          </cell>
          <cell r="BH37"/>
          <cell r="BI37">
            <v>5</v>
          </cell>
          <cell r="BJ37">
            <v>26</v>
          </cell>
          <cell r="BK37">
            <v>0</v>
          </cell>
          <cell r="BL37">
            <v>1</v>
          </cell>
          <cell r="BM37">
            <v>0</v>
          </cell>
          <cell r="BN37"/>
          <cell r="BO37">
            <v>5</v>
          </cell>
          <cell r="BP37">
            <v>26</v>
          </cell>
          <cell r="BQ37">
            <v>0</v>
          </cell>
          <cell r="BR37">
            <v>1</v>
          </cell>
          <cell r="BS37">
            <v>0</v>
          </cell>
          <cell r="BT37"/>
          <cell r="BU37">
            <v>6</v>
          </cell>
          <cell r="BV37">
            <v>25.916666666666664</v>
          </cell>
          <cell r="BW37">
            <v>0</v>
          </cell>
          <cell r="BX37">
            <v>1</v>
          </cell>
          <cell r="BY37">
            <v>0</v>
          </cell>
          <cell r="BZ37"/>
          <cell r="CA37">
            <v>7</v>
          </cell>
          <cell r="CB37">
            <v>23.833333333333332</v>
          </cell>
          <cell r="CC37">
            <v>0</v>
          </cell>
          <cell r="CD37">
            <v>1</v>
          </cell>
          <cell r="CE37">
            <v>1</v>
          </cell>
          <cell r="CF37"/>
          <cell r="CG37">
            <v>7</v>
          </cell>
          <cell r="CH37">
            <v>25</v>
          </cell>
          <cell r="CI37">
            <v>0</v>
          </cell>
          <cell r="CJ37">
            <v>1</v>
          </cell>
          <cell r="CK37">
            <v>0</v>
          </cell>
          <cell r="CL37"/>
          <cell r="CM37">
            <v>1</v>
          </cell>
          <cell r="CN37">
            <v>21</v>
          </cell>
          <cell r="CO37">
            <v>0</v>
          </cell>
          <cell r="CP37">
            <v>1</v>
          </cell>
          <cell r="CQ37">
            <v>1</v>
          </cell>
          <cell r="CR37"/>
          <cell r="CS37">
            <v>1</v>
          </cell>
          <cell r="CT37">
            <v>24</v>
          </cell>
          <cell r="CU37">
            <v>0</v>
          </cell>
          <cell r="CV37">
            <v>1</v>
          </cell>
          <cell r="CW37">
            <v>0</v>
          </cell>
          <cell r="CX37"/>
          <cell r="CY37">
            <v>2</v>
          </cell>
          <cell r="CZ37">
            <v>26.666666666666664</v>
          </cell>
          <cell r="DA37">
            <v>0</v>
          </cell>
          <cell r="DB37">
            <v>2</v>
          </cell>
          <cell r="DC37">
            <v>0</v>
          </cell>
          <cell r="DD37"/>
          <cell r="DE37">
            <v>4</v>
          </cell>
          <cell r="DF37">
            <v>25</v>
          </cell>
          <cell r="DG37">
            <v>0</v>
          </cell>
          <cell r="DH37">
            <v>1</v>
          </cell>
          <cell r="DI37">
            <v>0</v>
          </cell>
          <cell r="DJ37"/>
          <cell r="DK37">
            <v>5</v>
          </cell>
        </row>
        <row r="38">
          <cell r="B38" t="str">
            <v>CN0042</v>
          </cell>
          <cell r="C38" t="str">
            <v>Khối sản xuất</v>
          </cell>
          <cell r="D38" t="str">
            <v>Lục Thị Kiếm</v>
          </cell>
          <cell r="E38" t="str">
            <v>SX</v>
          </cell>
          <cell r="F38">
            <v>41438</v>
          </cell>
          <cell r="G38"/>
          <cell r="H38">
            <v>26</v>
          </cell>
          <cell r="I38">
            <v>0</v>
          </cell>
          <cell r="J38">
            <v>1</v>
          </cell>
          <cell r="K38">
            <v>0</v>
          </cell>
          <cell r="L38"/>
          <cell r="M38">
            <v>7</v>
          </cell>
          <cell r="N38">
            <v>25</v>
          </cell>
          <cell r="O38">
            <v>0</v>
          </cell>
          <cell r="P38">
            <v>1</v>
          </cell>
          <cell r="Q38">
            <v>1</v>
          </cell>
          <cell r="R38"/>
          <cell r="S38">
            <v>7</v>
          </cell>
          <cell r="T38" t="e">
            <v>#REF!</v>
          </cell>
          <cell r="U38">
            <v>0</v>
          </cell>
          <cell r="V38" t="e">
            <v>#REF!</v>
          </cell>
          <cell r="W38" t="e">
            <v>#REF!</v>
          </cell>
          <cell r="X38"/>
          <cell r="Y38">
            <v>2</v>
          </cell>
          <cell r="Z38">
            <v>24</v>
          </cell>
          <cell r="AA38">
            <v>0</v>
          </cell>
          <cell r="AB38">
            <v>1</v>
          </cell>
          <cell r="AC38">
            <v>0</v>
          </cell>
          <cell r="AD38"/>
          <cell r="AE38">
            <v>3</v>
          </cell>
          <cell r="AF38">
            <v>25.833333333333336</v>
          </cell>
          <cell r="AG38">
            <v>0</v>
          </cell>
          <cell r="AH38">
            <v>1</v>
          </cell>
          <cell r="AI38">
            <v>0</v>
          </cell>
          <cell r="AJ38"/>
          <cell r="AK38">
            <v>4</v>
          </cell>
          <cell r="AL38">
            <v>23</v>
          </cell>
          <cell r="AM38">
            <v>0</v>
          </cell>
          <cell r="AN38">
            <v>1</v>
          </cell>
          <cell r="AO38">
            <v>0</v>
          </cell>
          <cell r="AP38"/>
          <cell r="AQ38">
            <v>5</v>
          </cell>
          <cell r="AR38">
            <v>25</v>
          </cell>
          <cell r="AS38">
            <v>0</v>
          </cell>
          <cell r="AT38">
            <v>1</v>
          </cell>
          <cell r="AU38">
            <v>2</v>
          </cell>
          <cell r="AV38"/>
          <cell r="AW38">
            <v>6</v>
          </cell>
          <cell r="AX38">
            <v>26</v>
          </cell>
          <cell r="AY38">
            <v>0</v>
          </cell>
          <cell r="AZ38">
            <v>1</v>
          </cell>
          <cell r="BA38">
            <v>0</v>
          </cell>
          <cell r="BB38"/>
          <cell r="BC38">
            <v>19</v>
          </cell>
          <cell r="BD38">
            <v>26</v>
          </cell>
          <cell r="BE38">
            <v>0</v>
          </cell>
          <cell r="BF38">
            <v>1</v>
          </cell>
          <cell r="BG38">
            <v>0</v>
          </cell>
          <cell r="BH38"/>
          <cell r="BI38">
            <v>8</v>
          </cell>
          <cell r="BJ38">
            <v>26</v>
          </cell>
          <cell r="BK38">
            <v>0</v>
          </cell>
          <cell r="BL38">
            <v>1</v>
          </cell>
          <cell r="BM38">
            <v>0</v>
          </cell>
          <cell r="BN38"/>
          <cell r="BO38">
            <v>8</v>
          </cell>
          <cell r="BP38">
            <v>26</v>
          </cell>
          <cell r="BQ38">
            <v>0</v>
          </cell>
          <cell r="BR38">
            <v>1</v>
          </cell>
          <cell r="BS38">
            <v>0</v>
          </cell>
          <cell r="BT38"/>
          <cell r="BU38">
            <v>9</v>
          </cell>
          <cell r="BV38">
            <v>25</v>
          </cell>
          <cell r="BW38">
            <v>0</v>
          </cell>
          <cell r="BX38">
            <v>1</v>
          </cell>
          <cell r="BY38">
            <v>1</v>
          </cell>
          <cell r="BZ38"/>
          <cell r="CA38">
            <v>9</v>
          </cell>
          <cell r="CB38">
            <v>26</v>
          </cell>
          <cell r="CC38">
            <v>0</v>
          </cell>
          <cell r="CD38">
            <v>1</v>
          </cell>
          <cell r="CE38">
            <v>0</v>
          </cell>
          <cell r="CF38"/>
          <cell r="CG38">
            <v>10</v>
          </cell>
          <cell r="CH38">
            <v>22.5</v>
          </cell>
          <cell r="CI38">
            <v>0</v>
          </cell>
          <cell r="CJ38">
            <v>1</v>
          </cell>
          <cell r="CK38">
            <v>1</v>
          </cell>
          <cell r="CL38"/>
          <cell r="CM38">
            <v>0</v>
          </cell>
          <cell r="CN38">
            <v>20</v>
          </cell>
          <cell r="CO38">
            <v>0</v>
          </cell>
          <cell r="CP38">
            <v>1</v>
          </cell>
          <cell r="CQ38">
            <v>1</v>
          </cell>
          <cell r="CR38"/>
          <cell r="CS38">
            <v>0</v>
          </cell>
          <cell r="CT38">
            <v>24</v>
          </cell>
          <cell r="CU38">
            <v>0</v>
          </cell>
          <cell r="CV38">
            <v>1</v>
          </cell>
          <cell r="CW38">
            <v>0</v>
          </cell>
          <cell r="CX38"/>
          <cell r="CY38">
            <v>1</v>
          </cell>
          <cell r="CZ38">
            <v>27</v>
          </cell>
          <cell r="DA38">
            <v>0</v>
          </cell>
          <cell r="DB38">
            <v>3</v>
          </cell>
          <cell r="DC38">
            <v>0</v>
          </cell>
          <cell r="DD38"/>
          <cell r="DE38">
            <v>4</v>
          </cell>
          <cell r="DF38">
            <v>22</v>
          </cell>
          <cell r="DG38">
            <v>0</v>
          </cell>
          <cell r="DH38">
            <v>1</v>
          </cell>
          <cell r="DI38">
            <v>1</v>
          </cell>
          <cell r="DJ38"/>
          <cell r="DK38">
            <v>4</v>
          </cell>
        </row>
        <row r="39">
          <cell r="B39" t="str">
            <v>CN0262</v>
          </cell>
          <cell r="C39" t="str">
            <v>Khối sản xuất</v>
          </cell>
          <cell r="D39" t="str">
            <v>Lê Minh Chung</v>
          </cell>
          <cell r="E39" t="str">
            <v>SX</v>
          </cell>
          <cell r="F39">
            <v>43179</v>
          </cell>
          <cell r="G39"/>
          <cell r="H39">
            <v>25</v>
          </cell>
          <cell r="I39">
            <v>0</v>
          </cell>
          <cell r="J39">
            <v>1</v>
          </cell>
          <cell r="K39">
            <v>0</v>
          </cell>
          <cell r="L39"/>
          <cell r="M39">
            <v>2</v>
          </cell>
          <cell r="N39">
            <v>25</v>
          </cell>
          <cell r="O39">
            <v>0</v>
          </cell>
          <cell r="P39">
            <v>1</v>
          </cell>
          <cell r="Q39">
            <v>1</v>
          </cell>
          <cell r="R39"/>
          <cell r="S39">
            <v>2</v>
          </cell>
          <cell r="T39" t="e">
            <v>#REF!</v>
          </cell>
          <cell r="U39">
            <v>0</v>
          </cell>
          <cell r="V39" t="e">
            <v>#REF!</v>
          </cell>
          <cell r="W39" t="e">
            <v>#REF!</v>
          </cell>
          <cell r="X39"/>
          <cell r="Y39">
            <v>2</v>
          </cell>
          <cell r="Z39">
            <v>13.75</v>
          </cell>
          <cell r="AA39">
            <v>0</v>
          </cell>
          <cell r="AB39">
            <v>0</v>
          </cell>
          <cell r="AC39">
            <v>0</v>
          </cell>
          <cell r="AD39"/>
          <cell r="AE39">
            <v>2</v>
          </cell>
          <cell r="AF39">
            <v>23.583333333333336</v>
          </cell>
          <cell r="AG39">
            <v>0</v>
          </cell>
          <cell r="AH39">
            <v>1</v>
          </cell>
          <cell r="AI39">
            <v>0</v>
          </cell>
          <cell r="AJ39"/>
          <cell r="AK39">
            <v>3</v>
          </cell>
          <cell r="AL39">
            <v>21</v>
          </cell>
          <cell r="AM39">
            <v>0</v>
          </cell>
          <cell r="AN39">
            <v>1</v>
          </cell>
          <cell r="AO39">
            <v>2</v>
          </cell>
          <cell r="AP39"/>
          <cell r="AQ39">
            <v>2</v>
          </cell>
          <cell r="AR39">
            <v>25</v>
          </cell>
          <cell r="AS39">
            <v>0</v>
          </cell>
          <cell r="AT39">
            <v>1</v>
          </cell>
          <cell r="AU39">
            <v>1</v>
          </cell>
          <cell r="AV39"/>
          <cell r="AW39">
            <v>3</v>
          </cell>
          <cell r="AX39">
            <v>25</v>
          </cell>
          <cell r="AY39">
            <v>0</v>
          </cell>
          <cell r="AZ39">
            <v>1</v>
          </cell>
          <cell r="BA39">
            <v>0</v>
          </cell>
          <cell r="BB39"/>
          <cell r="BC39">
            <v>7</v>
          </cell>
          <cell r="BD39">
            <v>24.25</v>
          </cell>
          <cell r="BE39">
            <v>0</v>
          </cell>
          <cell r="BF39">
            <v>1</v>
          </cell>
          <cell r="BG39">
            <v>0</v>
          </cell>
          <cell r="BH39"/>
          <cell r="BI39">
            <v>5</v>
          </cell>
          <cell r="BJ39">
            <v>22.166666666666664</v>
          </cell>
          <cell r="BK39">
            <v>0</v>
          </cell>
          <cell r="BL39">
            <v>1</v>
          </cell>
          <cell r="BM39">
            <v>3</v>
          </cell>
          <cell r="BN39"/>
          <cell r="BO39">
            <v>2</v>
          </cell>
          <cell r="BP39">
            <v>22.166666666666664</v>
          </cell>
          <cell r="BQ39">
            <v>0</v>
          </cell>
          <cell r="BR39">
            <v>1</v>
          </cell>
          <cell r="BS39">
            <v>3</v>
          </cell>
          <cell r="BT39"/>
          <cell r="BU39">
            <v>3</v>
          </cell>
          <cell r="BV39">
            <v>22.25</v>
          </cell>
          <cell r="BW39">
            <v>0</v>
          </cell>
          <cell r="BX39">
            <v>1</v>
          </cell>
          <cell r="BY39">
            <v>3</v>
          </cell>
          <cell r="BZ39"/>
          <cell r="CA39">
            <v>1</v>
          </cell>
          <cell r="CB39">
            <v>25.166666666666664</v>
          </cell>
          <cell r="CC39">
            <v>0</v>
          </cell>
          <cell r="CD39">
            <v>1</v>
          </cell>
          <cell r="CE39">
            <v>0</v>
          </cell>
          <cell r="CF39"/>
          <cell r="CG39">
            <v>2</v>
          </cell>
          <cell r="CH39">
            <v>23.833333333333336</v>
          </cell>
          <cell r="CI39">
            <v>0</v>
          </cell>
          <cell r="CJ39">
            <v>1</v>
          </cell>
          <cell r="CK39">
            <v>1</v>
          </cell>
          <cell r="CL39"/>
          <cell r="CM39">
            <v>0</v>
          </cell>
          <cell r="CN39">
            <v>20</v>
          </cell>
          <cell r="CO39">
            <v>0</v>
          </cell>
          <cell r="CP39">
            <v>1</v>
          </cell>
          <cell r="CQ39">
            <v>1</v>
          </cell>
          <cell r="CR39"/>
          <cell r="CS39">
            <v>0</v>
          </cell>
          <cell r="CT39">
            <v>21.166666666666664</v>
          </cell>
          <cell r="CU39">
            <v>0</v>
          </cell>
          <cell r="CV39">
            <v>1</v>
          </cell>
          <cell r="CW39">
            <v>1</v>
          </cell>
          <cell r="CX39"/>
          <cell r="CY39">
            <v>0</v>
          </cell>
          <cell r="CZ39">
            <v>27</v>
          </cell>
          <cell r="DA39">
            <v>0</v>
          </cell>
          <cell r="DB39">
            <v>2</v>
          </cell>
          <cell r="DC39">
            <v>0</v>
          </cell>
          <cell r="DD39"/>
          <cell r="DE39">
            <v>2</v>
          </cell>
          <cell r="DF39">
            <v>24</v>
          </cell>
          <cell r="DG39">
            <v>0</v>
          </cell>
          <cell r="DH39">
            <v>1</v>
          </cell>
          <cell r="DI39">
            <v>1</v>
          </cell>
          <cell r="DJ39"/>
          <cell r="DK39">
            <v>2</v>
          </cell>
        </row>
        <row r="40">
          <cell r="B40" t="str">
            <v>CN0373</v>
          </cell>
          <cell r="C40" t="str">
            <v>Khối sản xuất</v>
          </cell>
          <cell r="D40" t="str">
            <v>Lý Tiên</v>
          </cell>
          <cell r="E40" t="str">
            <v>SX</v>
          </cell>
          <cell r="F40">
            <v>43361.394189895836</v>
          </cell>
          <cell r="G40"/>
          <cell r="H40">
            <v>23.833333333333336</v>
          </cell>
          <cell r="I40">
            <v>0</v>
          </cell>
          <cell r="J40">
            <v>1</v>
          </cell>
          <cell r="K40">
            <v>1</v>
          </cell>
          <cell r="L40"/>
          <cell r="M40">
            <v>5</v>
          </cell>
          <cell r="N40">
            <v>23</v>
          </cell>
          <cell r="O40">
            <v>0</v>
          </cell>
          <cell r="P40">
            <v>1</v>
          </cell>
          <cell r="Q40">
            <v>3</v>
          </cell>
          <cell r="R40"/>
          <cell r="S40">
            <v>3</v>
          </cell>
          <cell r="T40" t="e">
            <v>#REF!</v>
          </cell>
          <cell r="U40">
            <v>0</v>
          </cell>
          <cell r="V40" t="e">
            <v>#REF!</v>
          </cell>
          <cell r="W40" t="e">
            <v>#REF!</v>
          </cell>
          <cell r="X40"/>
          <cell r="Y40">
            <v>2</v>
          </cell>
          <cell r="Z40">
            <v>22.833333333333336</v>
          </cell>
          <cell r="AA40">
            <v>0</v>
          </cell>
          <cell r="AB40">
            <v>1</v>
          </cell>
          <cell r="AC40">
            <v>1</v>
          </cell>
          <cell r="AD40"/>
          <cell r="AE40">
            <v>2</v>
          </cell>
          <cell r="AF40">
            <v>24.25</v>
          </cell>
          <cell r="AG40">
            <v>0</v>
          </cell>
          <cell r="AH40">
            <v>1</v>
          </cell>
          <cell r="AI40">
            <v>1</v>
          </cell>
          <cell r="AJ40"/>
          <cell r="AK40">
            <v>2</v>
          </cell>
          <cell r="AL40">
            <v>20.333333333333336</v>
          </cell>
          <cell r="AM40">
            <v>0</v>
          </cell>
          <cell r="AN40">
            <v>1</v>
          </cell>
          <cell r="AO40">
            <v>2</v>
          </cell>
          <cell r="AP40"/>
          <cell r="AQ40">
            <v>1</v>
          </cell>
          <cell r="AR40">
            <v>27</v>
          </cell>
          <cell r="AS40">
            <v>0</v>
          </cell>
          <cell r="AT40">
            <v>1</v>
          </cell>
          <cell r="AU40">
            <v>0</v>
          </cell>
          <cell r="AV40"/>
          <cell r="AW40">
            <v>3</v>
          </cell>
          <cell r="AX40">
            <v>24</v>
          </cell>
          <cell r="AY40">
            <v>0</v>
          </cell>
          <cell r="AZ40">
            <v>1</v>
          </cell>
          <cell r="BA40">
            <v>2</v>
          </cell>
          <cell r="BB40"/>
          <cell r="BC40">
            <v>5</v>
          </cell>
          <cell r="BD40">
            <v>25</v>
          </cell>
          <cell r="BE40">
            <v>0</v>
          </cell>
          <cell r="BF40">
            <v>1</v>
          </cell>
          <cell r="BG40">
            <v>1</v>
          </cell>
          <cell r="BH40"/>
          <cell r="BI40">
            <v>2</v>
          </cell>
          <cell r="BJ40">
            <v>25</v>
          </cell>
          <cell r="BK40">
            <v>0</v>
          </cell>
          <cell r="BL40">
            <v>1</v>
          </cell>
          <cell r="BM40">
            <v>1</v>
          </cell>
          <cell r="BN40"/>
          <cell r="BO40">
            <v>2</v>
          </cell>
          <cell r="BP40">
            <v>25</v>
          </cell>
          <cell r="BQ40">
            <v>0</v>
          </cell>
          <cell r="BR40">
            <v>1</v>
          </cell>
          <cell r="BS40">
            <v>1</v>
          </cell>
          <cell r="BT40"/>
          <cell r="BU40">
            <v>3</v>
          </cell>
          <cell r="BV40">
            <v>23.833333333333336</v>
          </cell>
          <cell r="BW40">
            <v>0</v>
          </cell>
          <cell r="BX40">
            <v>1</v>
          </cell>
          <cell r="BY40">
            <v>1</v>
          </cell>
          <cell r="BZ40"/>
          <cell r="CA40">
            <v>3</v>
          </cell>
          <cell r="CB40">
            <v>24</v>
          </cell>
          <cell r="CC40">
            <v>0</v>
          </cell>
          <cell r="CD40">
            <v>1</v>
          </cell>
          <cell r="CE40">
            <v>2</v>
          </cell>
          <cell r="CF40"/>
          <cell r="CG40">
            <v>2</v>
          </cell>
          <cell r="CH40">
            <v>24</v>
          </cell>
          <cell r="CI40">
            <v>0</v>
          </cell>
          <cell r="CJ40">
            <v>1</v>
          </cell>
          <cell r="CK40">
            <v>1</v>
          </cell>
          <cell r="CL40"/>
          <cell r="CM40">
            <v>0</v>
          </cell>
          <cell r="CN40">
            <v>21</v>
          </cell>
          <cell r="CO40">
            <v>0</v>
          </cell>
          <cell r="CP40">
            <v>1</v>
          </cell>
          <cell r="CQ40">
            <v>1</v>
          </cell>
          <cell r="CR40"/>
          <cell r="CS40">
            <v>0</v>
          </cell>
          <cell r="CT40">
            <v>24</v>
          </cell>
          <cell r="CU40">
            <v>0</v>
          </cell>
          <cell r="CV40">
            <v>1</v>
          </cell>
          <cell r="CW40">
            <v>0</v>
          </cell>
          <cell r="CX40"/>
          <cell r="CY40">
            <v>1</v>
          </cell>
          <cell r="CZ40">
            <v>26.416666666666664</v>
          </cell>
          <cell r="DA40">
            <v>0</v>
          </cell>
          <cell r="DB40">
            <v>2</v>
          </cell>
          <cell r="DC40">
            <v>0</v>
          </cell>
          <cell r="DD40"/>
          <cell r="DE40">
            <v>3</v>
          </cell>
          <cell r="DF40">
            <v>25</v>
          </cell>
          <cell r="DG40">
            <v>0</v>
          </cell>
          <cell r="DH40">
            <v>1</v>
          </cell>
          <cell r="DI40">
            <v>0</v>
          </cell>
          <cell r="DJ40"/>
          <cell r="DK40">
            <v>4</v>
          </cell>
        </row>
        <row r="41">
          <cell r="B41" t="str">
            <v>CN0206</v>
          </cell>
          <cell r="C41" t="str">
            <v>Khối sản xuất</v>
          </cell>
          <cell r="D41" t="str">
            <v>Thạch Chanh Rây</v>
          </cell>
          <cell r="E41" t="str">
            <v>SX</v>
          </cell>
          <cell r="F41">
            <v>43158</v>
          </cell>
          <cell r="G41"/>
          <cell r="H41">
            <v>23</v>
          </cell>
          <cell r="I41">
            <v>0</v>
          </cell>
          <cell r="J41">
            <v>1</v>
          </cell>
          <cell r="K41">
            <v>3</v>
          </cell>
          <cell r="L41"/>
          <cell r="M41">
            <v>6</v>
          </cell>
          <cell r="N41">
            <v>25</v>
          </cell>
          <cell r="O41">
            <v>0</v>
          </cell>
          <cell r="P41">
            <v>1</v>
          </cell>
          <cell r="Q41">
            <v>1</v>
          </cell>
          <cell r="R41"/>
          <cell r="S41">
            <v>6</v>
          </cell>
          <cell r="T41" t="e">
            <v>#REF!</v>
          </cell>
          <cell r="U41">
            <v>0</v>
          </cell>
          <cell r="V41" t="e">
            <v>#REF!</v>
          </cell>
          <cell r="W41" t="e">
            <v>#REF!</v>
          </cell>
          <cell r="X41"/>
          <cell r="Y41">
            <v>2</v>
          </cell>
          <cell r="Z41">
            <v>24</v>
          </cell>
          <cell r="AA41">
            <v>0</v>
          </cell>
          <cell r="AB41">
            <v>1</v>
          </cell>
          <cell r="AC41">
            <v>0</v>
          </cell>
          <cell r="AD41"/>
          <cell r="AE41">
            <v>3</v>
          </cell>
          <cell r="AF41">
            <v>25</v>
          </cell>
          <cell r="AG41">
            <v>0</v>
          </cell>
          <cell r="AH41">
            <v>1</v>
          </cell>
          <cell r="AI41">
            <v>1</v>
          </cell>
          <cell r="AJ41"/>
          <cell r="AK41">
            <v>3</v>
          </cell>
          <cell r="AL41">
            <v>22</v>
          </cell>
          <cell r="AM41">
            <v>0</v>
          </cell>
          <cell r="AN41">
            <v>1</v>
          </cell>
          <cell r="AO41">
            <v>1</v>
          </cell>
          <cell r="AP41"/>
          <cell r="AQ41">
            <v>3</v>
          </cell>
          <cell r="AR41">
            <v>27</v>
          </cell>
          <cell r="AS41">
            <v>0</v>
          </cell>
          <cell r="AT41">
            <v>1</v>
          </cell>
          <cell r="AU41">
            <v>0</v>
          </cell>
          <cell r="AV41"/>
          <cell r="AW41">
            <v>5</v>
          </cell>
          <cell r="AX41">
            <v>26</v>
          </cell>
          <cell r="AY41">
            <v>0</v>
          </cell>
          <cell r="AZ41">
            <v>1</v>
          </cell>
          <cell r="BA41">
            <v>0</v>
          </cell>
          <cell r="BB41"/>
          <cell r="BC41">
            <v>16</v>
          </cell>
          <cell r="BD41">
            <v>26</v>
          </cell>
          <cell r="BE41">
            <v>0</v>
          </cell>
          <cell r="BF41">
            <v>1</v>
          </cell>
          <cell r="BG41">
            <v>0</v>
          </cell>
          <cell r="BH41"/>
          <cell r="BI41">
            <v>7</v>
          </cell>
          <cell r="BJ41">
            <v>26</v>
          </cell>
          <cell r="BK41">
            <v>0</v>
          </cell>
          <cell r="BL41">
            <v>1</v>
          </cell>
          <cell r="BM41">
            <v>0</v>
          </cell>
          <cell r="BN41"/>
          <cell r="BO41">
            <v>7</v>
          </cell>
          <cell r="BP41">
            <v>26</v>
          </cell>
          <cell r="BQ41">
            <v>0</v>
          </cell>
          <cell r="BR41">
            <v>1</v>
          </cell>
          <cell r="BS41">
            <v>0</v>
          </cell>
          <cell r="BT41"/>
          <cell r="BU41">
            <v>8</v>
          </cell>
          <cell r="BV41">
            <v>25</v>
          </cell>
          <cell r="BW41">
            <v>0</v>
          </cell>
          <cell r="BX41">
            <v>1</v>
          </cell>
          <cell r="BY41">
            <v>1</v>
          </cell>
          <cell r="BZ41"/>
          <cell r="CA41">
            <v>8</v>
          </cell>
          <cell r="CB41">
            <v>26</v>
          </cell>
          <cell r="CC41">
            <v>0</v>
          </cell>
          <cell r="CD41">
            <v>1</v>
          </cell>
          <cell r="CE41">
            <v>0</v>
          </cell>
          <cell r="CF41"/>
          <cell r="CG41">
            <v>9</v>
          </cell>
          <cell r="CH41">
            <v>24</v>
          </cell>
          <cell r="CI41">
            <v>0</v>
          </cell>
          <cell r="CJ41">
            <v>1</v>
          </cell>
          <cell r="CK41">
            <v>1</v>
          </cell>
          <cell r="CL41"/>
          <cell r="CM41">
            <v>0</v>
          </cell>
          <cell r="CN41">
            <v>20</v>
          </cell>
          <cell r="CO41">
            <v>0</v>
          </cell>
          <cell r="CP41">
            <v>1</v>
          </cell>
          <cell r="CQ41">
            <v>1</v>
          </cell>
          <cell r="CR41"/>
          <cell r="CS41">
            <v>0</v>
          </cell>
          <cell r="CT41">
            <v>24</v>
          </cell>
          <cell r="CU41">
            <v>0</v>
          </cell>
          <cell r="CV41">
            <v>1</v>
          </cell>
          <cell r="CW41">
            <v>0</v>
          </cell>
          <cell r="CX41"/>
          <cell r="CY41">
            <v>1</v>
          </cell>
          <cell r="CZ41">
            <v>27</v>
          </cell>
          <cell r="DA41">
            <v>0</v>
          </cell>
          <cell r="DB41">
            <v>2</v>
          </cell>
          <cell r="DC41">
            <v>0</v>
          </cell>
          <cell r="DD41"/>
          <cell r="DE41">
            <v>3</v>
          </cell>
          <cell r="DF41">
            <v>25</v>
          </cell>
          <cell r="DG41">
            <v>0</v>
          </cell>
          <cell r="DH41">
            <v>1</v>
          </cell>
          <cell r="DI41">
            <v>0</v>
          </cell>
          <cell r="DJ41"/>
          <cell r="DK41">
            <v>4</v>
          </cell>
        </row>
        <row r="42">
          <cell r="B42" t="str">
            <v>CN0046</v>
          </cell>
          <cell r="C42" t="str">
            <v>Khối sản xuất</v>
          </cell>
          <cell r="D42" t="str">
            <v>Danh Hồng Cường</v>
          </cell>
          <cell r="E42" t="str">
            <v>SX</v>
          </cell>
          <cell r="F42">
            <v>40378</v>
          </cell>
          <cell r="G42"/>
          <cell r="H42">
            <v>26</v>
          </cell>
          <cell r="I42">
            <v>0</v>
          </cell>
          <cell r="J42">
            <v>1</v>
          </cell>
          <cell r="K42">
            <v>0</v>
          </cell>
          <cell r="L42"/>
          <cell r="M42">
            <v>5</v>
          </cell>
          <cell r="N42">
            <v>25</v>
          </cell>
          <cell r="O42">
            <v>0</v>
          </cell>
          <cell r="P42">
            <v>1</v>
          </cell>
          <cell r="Q42">
            <v>1</v>
          </cell>
          <cell r="R42"/>
          <cell r="S42">
            <v>5</v>
          </cell>
          <cell r="T42" t="e">
            <v>#REF!</v>
          </cell>
          <cell r="U42">
            <v>0</v>
          </cell>
          <cell r="V42" t="e">
            <v>#REF!</v>
          </cell>
          <cell r="W42" t="e">
            <v>#REF!</v>
          </cell>
          <cell r="X42"/>
          <cell r="Y42">
            <v>2</v>
          </cell>
          <cell r="Z42">
            <v>23</v>
          </cell>
          <cell r="AA42">
            <v>0</v>
          </cell>
          <cell r="AB42">
            <v>1</v>
          </cell>
          <cell r="AC42">
            <v>1</v>
          </cell>
          <cell r="AD42"/>
          <cell r="AE42">
            <v>2</v>
          </cell>
          <cell r="AF42">
            <v>23</v>
          </cell>
          <cell r="AG42">
            <v>0</v>
          </cell>
          <cell r="AH42">
            <v>1</v>
          </cell>
          <cell r="AI42">
            <v>2</v>
          </cell>
          <cell r="AJ42"/>
          <cell r="AK42">
            <v>1</v>
          </cell>
          <cell r="AL42">
            <v>22.333333333333336</v>
          </cell>
          <cell r="AM42">
            <v>0</v>
          </cell>
          <cell r="AN42">
            <v>1</v>
          </cell>
          <cell r="AO42">
            <v>0</v>
          </cell>
          <cell r="AP42"/>
          <cell r="AQ42">
            <v>2</v>
          </cell>
          <cell r="AR42">
            <v>27</v>
          </cell>
          <cell r="AS42">
            <v>0</v>
          </cell>
          <cell r="AT42">
            <v>1</v>
          </cell>
          <cell r="AU42">
            <v>0</v>
          </cell>
          <cell r="AV42"/>
          <cell r="AW42">
            <v>6</v>
          </cell>
          <cell r="AX42">
            <v>26</v>
          </cell>
          <cell r="AY42">
            <v>0</v>
          </cell>
          <cell r="AZ42">
            <v>1</v>
          </cell>
          <cell r="BA42">
            <v>0</v>
          </cell>
          <cell r="BB42"/>
          <cell r="BC42">
            <v>20</v>
          </cell>
          <cell r="BD42">
            <v>26</v>
          </cell>
          <cell r="BE42">
            <v>0</v>
          </cell>
          <cell r="BF42">
            <v>1</v>
          </cell>
          <cell r="BG42">
            <v>0</v>
          </cell>
          <cell r="BH42"/>
          <cell r="BI42">
            <v>8</v>
          </cell>
          <cell r="BJ42">
            <v>25</v>
          </cell>
          <cell r="BK42">
            <v>0</v>
          </cell>
          <cell r="BL42">
            <v>1</v>
          </cell>
          <cell r="BM42">
            <v>1</v>
          </cell>
          <cell r="BN42"/>
          <cell r="BO42">
            <v>7</v>
          </cell>
          <cell r="BP42">
            <v>25</v>
          </cell>
          <cell r="BQ42">
            <v>0</v>
          </cell>
          <cell r="BR42">
            <v>1</v>
          </cell>
          <cell r="BS42">
            <v>1</v>
          </cell>
          <cell r="BT42"/>
          <cell r="BU42">
            <v>8</v>
          </cell>
          <cell r="BV42">
            <v>26</v>
          </cell>
          <cell r="BW42">
            <v>0</v>
          </cell>
          <cell r="BX42">
            <v>1</v>
          </cell>
          <cell r="BY42">
            <v>0</v>
          </cell>
          <cell r="BZ42"/>
          <cell r="CA42">
            <v>9</v>
          </cell>
          <cell r="CB42">
            <v>26</v>
          </cell>
          <cell r="CC42">
            <v>0</v>
          </cell>
          <cell r="CD42">
            <v>1</v>
          </cell>
          <cell r="CE42">
            <v>0</v>
          </cell>
          <cell r="CF42"/>
          <cell r="CG42">
            <v>10</v>
          </cell>
          <cell r="CH42">
            <v>24</v>
          </cell>
          <cell r="CI42">
            <v>0</v>
          </cell>
          <cell r="CJ42">
            <v>1</v>
          </cell>
          <cell r="CK42">
            <v>1</v>
          </cell>
          <cell r="CL42"/>
          <cell r="CM42">
            <v>0</v>
          </cell>
          <cell r="CN42">
            <v>21</v>
          </cell>
          <cell r="CO42">
            <v>0</v>
          </cell>
          <cell r="CP42">
            <v>1</v>
          </cell>
          <cell r="CQ42">
            <v>1</v>
          </cell>
          <cell r="CR42"/>
          <cell r="CS42">
            <v>0</v>
          </cell>
          <cell r="CT42">
            <v>24</v>
          </cell>
          <cell r="CU42">
            <v>0</v>
          </cell>
          <cell r="CV42">
            <v>1</v>
          </cell>
          <cell r="CW42">
            <v>0</v>
          </cell>
          <cell r="CX42"/>
          <cell r="CY42">
            <v>1</v>
          </cell>
          <cell r="CZ42">
            <v>27</v>
          </cell>
          <cell r="DA42">
            <v>0</v>
          </cell>
          <cell r="DB42">
            <v>4</v>
          </cell>
          <cell r="DC42">
            <v>0</v>
          </cell>
          <cell r="DD42"/>
          <cell r="DE42">
            <v>5</v>
          </cell>
          <cell r="DF42">
            <v>25</v>
          </cell>
          <cell r="DG42">
            <v>0</v>
          </cell>
          <cell r="DH42">
            <v>1</v>
          </cell>
          <cell r="DI42">
            <v>0</v>
          </cell>
          <cell r="DJ42"/>
          <cell r="DK42">
            <v>6</v>
          </cell>
        </row>
        <row r="43">
          <cell r="B43" t="str">
            <v>CN0037</v>
          </cell>
          <cell r="C43" t="str">
            <v>Khối sản xuất</v>
          </cell>
          <cell r="D43" t="str">
            <v>Nguyễn Chí Tâm</v>
          </cell>
          <cell r="E43" t="str">
            <v>SX</v>
          </cell>
          <cell r="F43">
            <v>41606</v>
          </cell>
          <cell r="G43"/>
          <cell r="H43">
            <v>26</v>
          </cell>
          <cell r="I43">
            <v>0</v>
          </cell>
          <cell r="J43">
            <v>1</v>
          </cell>
          <cell r="K43">
            <v>0</v>
          </cell>
          <cell r="L43"/>
          <cell r="M43">
            <v>8</v>
          </cell>
          <cell r="N43">
            <v>25</v>
          </cell>
          <cell r="O43">
            <v>0</v>
          </cell>
          <cell r="P43">
            <v>1</v>
          </cell>
          <cell r="Q43">
            <v>0</v>
          </cell>
          <cell r="R43"/>
          <cell r="S43">
            <v>9</v>
          </cell>
          <cell r="T43" t="e">
            <v>#REF!</v>
          </cell>
          <cell r="U43">
            <v>0</v>
          </cell>
          <cell r="V43" t="e">
            <v>#REF!</v>
          </cell>
          <cell r="W43" t="e">
            <v>#REF!</v>
          </cell>
          <cell r="X43"/>
          <cell r="Y43">
            <v>2</v>
          </cell>
          <cell r="Z43">
            <v>24</v>
          </cell>
          <cell r="AA43">
            <v>0</v>
          </cell>
          <cell r="AB43">
            <v>1</v>
          </cell>
          <cell r="AC43">
            <v>0</v>
          </cell>
          <cell r="AD43"/>
          <cell r="AE43">
            <v>3</v>
          </cell>
          <cell r="AF43">
            <v>26</v>
          </cell>
          <cell r="AG43">
            <v>0</v>
          </cell>
          <cell r="AH43">
            <v>1</v>
          </cell>
          <cell r="AI43">
            <v>0</v>
          </cell>
          <cell r="AJ43"/>
          <cell r="AK43">
            <v>4</v>
          </cell>
          <cell r="AL43">
            <v>23</v>
          </cell>
          <cell r="AM43">
            <v>0</v>
          </cell>
          <cell r="AN43">
            <v>1</v>
          </cell>
          <cell r="AO43">
            <v>0</v>
          </cell>
          <cell r="AP43"/>
          <cell r="AQ43">
            <v>5</v>
          </cell>
          <cell r="AR43">
            <v>27</v>
          </cell>
          <cell r="AS43">
            <v>0</v>
          </cell>
          <cell r="AT43">
            <v>1</v>
          </cell>
          <cell r="AU43">
            <v>0</v>
          </cell>
          <cell r="AV43"/>
          <cell r="AW43">
            <v>8</v>
          </cell>
          <cell r="AX43">
            <v>23.583333333333336</v>
          </cell>
          <cell r="AY43">
            <v>0</v>
          </cell>
          <cell r="AZ43">
            <v>1</v>
          </cell>
          <cell r="BA43">
            <v>2</v>
          </cell>
          <cell r="BB43"/>
          <cell r="BC43">
            <v>17</v>
          </cell>
          <cell r="BD43">
            <v>21</v>
          </cell>
          <cell r="BE43">
            <v>0</v>
          </cell>
          <cell r="BF43">
            <v>1</v>
          </cell>
          <cell r="BG43">
            <v>5</v>
          </cell>
          <cell r="BH43"/>
          <cell r="BI43">
            <v>3</v>
          </cell>
          <cell r="BJ43">
            <v>24</v>
          </cell>
          <cell r="BK43">
            <v>0</v>
          </cell>
          <cell r="BL43">
            <v>1</v>
          </cell>
          <cell r="BM43">
            <v>2</v>
          </cell>
          <cell r="BN43"/>
          <cell r="BO43">
            <v>6</v>
          </cell>
          <cell r="BP43">
            <v>24</v>
          </cell>
          <cell r="BQ43">
            <v>0</v>
          </cell>
          <cell r="BR43">
            <v>1</v>
          </cell>
          <cell r="BS43">
            <v>2</v>
          </cell>
          <cell r="BT43"/>
          <cell r="BU43">
            <v>7</v>
          </cell>
          <cell r="BV43">
            <v>25</v>
          </cell>
          <cell r="BW43">
            <v>0</v>
          </cell>
          <cell r="BX43">
            <v>1</v>
          </cell>
          <cell r="BY43">
            <v>1</v>
          </cell>
          <cell r="BZ43"/>
          <cell r="CA43">
            <v>7</v>
          </cell>
          <cell r="CB43">
            <v>26</v>
          </cell>
          <cell r="CC43">
            <v>0</v>
          </cell>
          <cell r="CD43">
            <v>1</v>
          </cell>
          <cell r="CE43">
            <v>0</v>
          </cell>
          <cell r="CF43"/>
          <cell r="CG43">
            <v>8</v>
          </cell>
          <cell r="CH43">
            <v>24</v>
          </cell>
          <cell r="CI43">
            <v>0</v>
          </cell>
          <cell r="CJ43">
            <v>1</v>
          </cell>
          <cell r="CK43">
            <v>1</v>
          </cell>
          <cell r="CL43"/>
          <cell r="CM43">
            <v>0</v>
          </cell>
          <cell r="CN43">
            <v>20</v>
          </cell>
          <cell r="CO43">
            <v>0</v>
          </cell>
          <cell r="CP43">
            <v>1</v>
          </cell>
          <cell r="CQ43">
            <v>1</v>
          </cell>
          <cell r="CR43"/>
          <cell r="CS43">
            <v>0</v>
          </cell>
          <cell r="CT43">
            <v>24</v>
          </cell>
          <cell r="CU43">
            <v>0</v>
          </cell>
          <cell r="CV43">
            <v>1</v>
          </cell>
          <cell r="CW43">
            <v>0</v>
          </cell>
          <cell r="CX43"/>
          <cell r="CY43">
            <v>1</v>
          </cell>
          <cell r="CZ43">
            <v>27</v>
          </cell>
          <cell r="DA43">
            <v>0</v>
          </cell>
          <cell r="DB43">
            <v>3</v>
          </cell>
          <cell r="DC43">
            <v>0</v>
          </cell>
          <cell r="DD43"/>
          <cell r="DE43">
            <v>4</v>
          </cell>
          <cell r="DF43">
            <v>23</v>
          </cell>
          <cell r="DG43">
            <v>0</v>
          </cell>
          <cell r="DH43">
            <v>1</v>
          </cell>
          <cell r="DI43">
            <v>0</v>
          </cell>
          <cell r="DJ43"/>
          <cell r="DK43">
            <v>5</v>
          </cell>
        </row>
        <row r="44">
          <cell r="B44" t="str">
            <v>CN0058</v>
          </cell>
          <cell r="C44" t="str">
            <v>Khối sản xuất</v>
          </cell>
          <cell r="D44" t="str">
            <v>Lâm Kim Long</v>
          </cell>
          <cell r="E44" t="str">
            <v>SX</v>
          </cell>
          <cell r="F44">
            <v>40301</v>
          </cell>
          <cell r="G44"/>
          <cell r="H44">
            <v>25.5</v>
          </cell>
          <cell r="I44">
            <v>0</v>
          </cell>
          <cell r="J44">
            <v>1</v>
          </cell>
          <cell r="K44">
            <v>0.5</v>
          </cell>
          <cell r="L44"/>
          <cell r="M44">
            <v>0.5</v>
          </cell>
          <cell r="N44">
            <v>23</v>
          </cell>
          <cell r="O44">
            <v>0</v>
          </cell>
          <cell r="P44">
            <v>1</v>
          </cell>
          <cell r="Q44">
            <v>3</v>
          </cell>
          <cell r="R44"/>
          <cell r="S44">
            <v>-1.5</v>
          </cell>
          <cell r="T44" t="e">
            <v>#REF!</v>
          </cell>
          <cell r="U44">
            <v>0</v>
          </cell>
          <cell r="V44" t="e">
            <v>#REF!</v>
          </cell>
          <cell r="W44" t="e">
            <v>#REF!</v>
          </cell>
          <cell r="X44"/>
          <cell r="Y44">
            <v>-0.5</v>
          </cell>
          <cell r="Z44">
            <v>24</v>
          </cell>
          <cell r="AA44">
            <v>0</v>
          </cell>
          <cell r="AB44">
            <v>1</v>
          </cell>
          <cell r="AC44">
            <v>0</v>
          </cell>
          <cell r="AD44"/>
          <cell r="AE44">
            <v>0.5</v>
          </cell>
          <cell r="AF44">
            <v>26</v>
          </cell>
          <cell r="AG44">
            <v>0</v>
          </cell>
          <cell r="AH44">
            <v>1</v>
          </cell>
          <cell r="AI44">
            <v>0</v>
          </cell>
          <cell r="AJ44"/>
          <cell r="AK44">
            <v>1.5</v>
          </cell>
          <cell r="AL44">
            <v>23</v>
          </cell>
          <cell r="AM44">
            <v>0</v>
          </cell>
          <cell r="AN44">
            <v>1</v>
          </cell>
          <cell r="AO44">
            <v>0</v>
          </cell>
          <cell r="AP44"/>
          <cell r="AQ44">
            <v>2.5</v>
          </cell>
          <cell r="AR44">
            <v>26.5</v>
          </cell>
          <cell r="AS44">
            <v>0</v>
          </cell>
          <cell r="AT44">
            <v>1</v>
          </cell>
          <cell r="AU44">
            <v>0.5</v>
          </cell>
          <cell r="AV44"/>
          <cell r="AW44">
            <v>6</v>
          </cell>
          <cell r="AX44">
            <v>25</v>
          </cell>
          <cell r="AY44">
            <v>0</v>
          </cell>
          <cell r="AZ44">
            <v>1</v>
          </cell>
          <cell r="BA44">
            <v>1</v>
          </cell>
          <cell r="BB44"/>
          <cell r="BC44">
            <v>18</v>
          </cell>
          <cell r="BD44">
            <v>25</v>
          </cell>
          <cell r="BE44">
            <v>0</v>
          </cell>
          <cell r="BF44">
            <v>1</v>
          </cell>
          <cell r="BG44">
            <v>1</v>
          </cell>
          <cell r="BH44"/>
          <cell r="BI44">
            <v>6</v>
          </cell>
          <cell r="BJ44">
            <v>26</v>
          </cell>
          <cell r="BK44">
            <v>0</v>
          </cell>
          <cell r="BL44">
            <v>1</v>
          </cell>
          <cell r="BM44">
            <v>0</v>
          </cell>
          <cell r="BN44"/>
          <cell r="BO44">
            <v>7</v>
          </cell>
          <cell r="BP44">
            <v>26</v>
          </cell>
          <cell r="BQ44">
            <v>0</v>
          </cell>
          <cell r="BR44">
            <v>1</v>
          </cell>
          <cell r="BS44">
            <v>0</v>
          </cell>
          <cell r="BT44"/>
          <cell r="BU44">
            <v>8</v>
          </cell>
          <cell r="BV44">
            <v>25</v>
          </cell>
          <cell r="BW44">
            <v>0</v>
          </cell>
          <cell r="BX44">
            <v>1</v>
          </cell>
          <cell r="BY44">
            <v>1</v>
          </cell>
          <cell r="BZ44"/>
          <cell r="CA44">
            <v>8</v>
          </cell>
          <cell r="CB44">
            <v>26</v>
          </cell>
          <cell r="CC44">
            <v>0</v>
          </cell>
          <cell r="CD44">
            <v>1</v>
          </cell>
          <cell r="CE44">
            <v>0</v>
          </cell>
          <cell r="CF44"/>
          <cell r="CG44">
            <v>9</v>
          </cell>
          <cell r="CH44">
            <v>23.5</v>
          </cell>
          <cell r="CI44">
            <v>0</v>
          </cell>
          <cell r="CJ44">
            <v>1</v>
          </cell>
          <cell r="CK44">
            <v>1.5</v>
          </cell>
          <cell r="CL44"/>
          <cell r="CM44">
            <v>-0.5</v>
          </cell>
          <cell r="CN44">
            <v>21</v>
          </cell>
          <cell r="CO44">
            <v>0</v>
          </cell>
          <cell r="CP44">
            <v>1</v>
          </cell>
          <cell r="CQ44">
            <v>1</v>
          </cell>
          <cell r="CR44"/>
          <cell r="CS44">
            <v>-0.5</v>
          </cell>
          <cell r="CT44">
            <v>23</v>
          </cell>
          <cell r="CU44">
            <v>0</v>
          </cell>
          <cell r="CV44">
            <v>1</v>
          </cell>
          <cell r="CW44">
            <v>1</v>
          </cell>
          <cell r="CX44"/>
          <cell r="CY44">
            <v>-0.5</v>
          </cell>
          <cell r="CZ44">
            <v>27</v>
          </cell>
          <cell r="DA44">
            <v>0</v>
          </cell>
          <cell r="DB44">
            <v>4</v>
          </cell>
          <cell r="DC44">
            <v>0</v>
          </cell>
          <cell r="DD44"/>
          <cell r="DE44">
            <v>3.5</v>
          </cell>
          <cell r="DF44">
            <v>25</v>
          </cell>
          <cell r="DG44">
            <v>0</v>
          </cell>
          <cell r="DH44">
            <v>1</v>
          </cell>
          <cell r="DI44">
            <v>0</v>
          </cell>
          <cell r="DJ44"/>
          <cell r="DK44">
            <v>4.5</v>
          </cell>
        </row>
        <row r="45">
          <cell r="B45" t="str">
            <v>CN0066</v>
          </cell>
          <cell r="C45" t="str">
            <v>Khối sản xuất</v>
          </cell>
          <cell r="D45" t="str">
            <v>Đỗ Thanh Nhàn</v>
          </cell>
          <cell r="E45" t="str">
            <v>SX</v>
          </cell>
          <cell r="F45">
            <v>41144</v>
          </cell>
          <cell r="G45"/>
          <cell r="H45">
            <v>26</v>
          </cell>
          <cell r="I45">
            <v>0</v>
          </cell>
          <cell r="J45">
            <v>1</v>
          </cell>
          <cell r="K45">
            <v>0</v>
          </cell>
          <cell r="L45"/>
          <cell r="M45">
            <v>12.5</v>
          </cell>
          <cell r="N45">
            <v>26</v>
          </cell>
          <cell r="O45">
            <v>0</v>
          </cell>
          <cell r="P45">
            <v>1</v>
          </cell>
          <cell r="Q45">
            <v>0</v>
          </cell>
          <cell r="R45"/>
          <cell r="S45">
            <v>13.5</v>
          </cell>
          <cell r="T45" t="e">
            <v>#REF!</v>
          </cell>
          <cell r="U45">
            <v>0</v>
          </cell>
          <cell r="V45" t="e">
            <v>#REF!</v>
          </cell>
          <cell r="W45" t="e">
            <v>#REF!</v>
          </cell>
          <cell r="X45"/>
          <cell r="Y45">
            <v>2</v>
          </cell>
          <cell r="Z45">
            <v>23</v>
          </cell>
          <cell r="AA45">
            <v>0</v>
          </cell>
          <cell r="AB45">
            <v>1</v>
          </cell>
          <cell r="AC45">
            <v>1</v>
          </cell>
          <cell r="AD45"/>
          <cell r="AE45">
            <v>2</v>
          </cell>
          <cell r="AF45">
            <v>26</v>
          </cell>
          <cell r="AG45">
            <v>0</v>
          </cell>
          <cell r="AH45">
            <v>1</v>
          </cell>
          <cell r="AI45">
            <v>0</v>
          </cell>
          <cell r="AJ45"/>
          <cell r="AK45">
            <v>3</v>
          </cell>
          <cell r="AL45">
            <v>23</v>
          </cell>
          <cell r="AM45">
            <v>0</v>
          </cell>
          <cell r="AN45">
            <v>1</v>
          </cell>
          <cell r="AO45">
            <v>0</v>
          </cell>
          <cell r="AP45"/>
          <cell r="AQ45">
            <v>4</v>
          </cell>
          <cell r="AR45">
            <v>27</v>
          </cell>
          <cell r="AS45">
            <v>0</v>
          </cell>
          <cell r="AT45">
            <v>1</v>
          </cell>
          <cell r="AU45">
            <v>0</v>
          </cell>
          <cell r="AV45"/>
          <cell r="AW45">
            <v>7</v>
          </cell>
          <cell r="AX45">
            <v>26</v>
          </cell>
          <cell r="AY45">
            <v>0</v>
          </cell>
          <cell r="AZ45">
            <v>1</v>
          </cell>
          <cell r="BA45">
            <v>0</v>
          </cell>
          <cell r="BB45"/>
          <cell r="BC45">
            <v>21</v>
          </cell>
          <cell r="BD45">
            <v>23.333333333333332</v>
          </cell>
          <cell r="BE45">
            <v>0</v>
          </cell>
          <cell r="BF45">
            <v>1</v>
          </cell>
          <cell r="BG45">
            <v>0</v>
          </cell>
          <cell r="BH45"/>
          <cell r="BI45">
            <v>9</v>
          </cell>
          <cell r="BJ45">
            <v>26</v>
          </cell>
          <cell r="BK45">
            <v>0</v>
          </cell>
          <cell r="BL45">
            <v>1</v>
          </cell>
          <cell r="BM45">
            <v>0</v>
          </cell>
          <cell r="BN45"/>
          <cell r="BO45">
            <v>9</v>
          </cell>
          <cell r="BP45">
            <v>26</v>
          </cell>
          <cell r="BQ45">
            <v>0</v>
          </cell>
          <cell r="BR45">
            <v>1</v>
          </cell>
          <cell r="BS45">
            <v>0</v>
          </cell>
          <cell r="BT45"/>
          <cell r="BU45">
            <v>10</v>
          </cell>
          <cell r="BV45">
            <v>24.5</v>
          </cell>
          <cell r="BW45">
            <v>0</v>
          </cell>
          <cell r="BX45">
            <v>1</v>
          </cell>
          <cell r="BY45">
            <v>1</v>
          </cell>
          <cell r="BZ45"/>
          <cell r="CA45">
            <v>10</v>
          </cell>
          <cell r="CB45">
            <v>25.916666666666664</v>
          </cell>
          <cell r="CC45">
            <v>0</v>
          </cell>
          <cell r="CD45">
            <v>1</v>
          </cell>
          <cell r="CE45">
            <v>0</v>
          </cell>
          <cell r="CF45"/>
          <cell r="CG45">
            <v>11</v>
          </cell>
          <cell r="CH45">
            <v>24</v>
          </cell>
          <cell r="CI45">
            <v>0</v>
          </cell>
          <cell r="CJ45">
            <v>1</v>
          </cell>
          <cell r="CK45">
            <v>1</v>
          </cell>
          <cell r="CL45"/>
          <cell r="CM45">
            <v>0</v>
          </cell>
          <cell r="CN45">
            <v>20</v>
          </cell>
          <cell r="CO45">
            <v>0</v>
          </cell>
          <cell r="CP45">
            <v>1</v>
          </cell>
          <cell r="CQ45">
            <v>2</v>
          </cell>
          <cell r="CR45"/>
          <cell r="CS45">
            <v>-1</v>
          </cell>
          <cell r="CT45">
            <v>24</v>
          </cell>
          <cell r="CU45">
            <v>0</v>
          </cell>
          <cell r="CV45">
            <v>1</v>
          </cell>
          <cell r="CW45">
            <v>0</v>
          </cell>
          <cell r="CX45"/>
          <cell r="CY45">
            <v>0</v>
          </cell>
          <cell r="CZ45">
            <v>27</v>
          </cell>
          <cell r="DA45">
            <v>0</v>
          </cell>
          <cell r="DB45">
            <v>3</v>
          </cell>
          <cell r="DC45">
            <v>0</v>
          </cell>
          <cell r="DD45"/>
          <cell r="DE45">
            <v>3</v>
          </cell>
          <cell r="DF45">
            <v>25</v>
          </cell>
          <cell r="DG45">
            <v>0</v>
          </cell>
          <cell r="DH45">
            <v>1</v>
          </cell>
          <cell r="DI45">
            <v>0</v>
          </cell>
          <cell r="DJ45"/>
          <cell r="DK45">
            <v>4</v>
          </cell>
        </row>
        <row r="46">
          <cell r="B46" t="str">
            <v>CN0434</v>
          </cell>
          <cell r="C46" t="str">
            <v>Khối sản xuất</v>
          </cell>
          <cell r="D46" t="str">
            <v>Lê Văn Xoài</v>
          </cell>
          <cell r="E46" t="str">
            <v>SX</v>
          </cell>
          <cell r="F46">
            <v>43530</v>
          </cell>
          <cell r="G46"/>
          <cell r="H46">
            <v>26</v>
          </cell>
          <cell r="I46">
            <v>0</v>
          </cell>
          <cell r="J46">
            <v>1</v>
          </cell>
          <cell r="K46">
            <v>0</v>
          </cell>
          <cell r="L46"/>
          <cell r="M46">
            <v>6</v>
          </cell>
          <cell r="N46">
            <v>25</v>
          </cell>
          <cell r="O46">
            <v>0</v>
          </cell>
          <cell r="P46">
            <v>1</v>
          </cell>
          <cell r="Q46">
            <v>1</v>
          </cell>
          <cell r="R46"/>
          <cell r="S46">
            <v>6</v>
          </cell>
          <cell r="T46" t="e">
            <v>#REF!</v>
          </cell>
          <cell r="U46">
            <v>0</v>
          </cell>
          <cell r="V46" t="e">
            <v>#REF!</v>
          </cell>
          <cell r="W46" t="e">
            <v>#REF!</v>
          </cell>
          <cell r="X46"/>
          <cell r="Y46">
            <v>2</v>
          </cell>
          <cell r="Z46">
            <v>24</v>
          </cell>
          <cell r="AA46">
            <v>0</v>
          </cell>
          <cell r="AB46">
            <v>1</v>
          </cell>
          <cell r="AC46">
            <v>0</v>
          </cell>
          <cell r="AD46"/>
          <cell r="AE46">
            <v>3</v>
          </cell>
          <cell r="AF46">
            <v>25</v>
          </cell>
          <cell r="AG46">
            <v>0</v>
          </cell>
          <cell r="AH46">
            <v>1</v>
          </cell>
          <cell r="AI46">
            <v>1</v>
          </cell>
          <cell r="AJ46"/>
          <cell r="AK46">
            <v>3</v>
          </cell>
          <cell r="AL46">
            <v>23</v>
          </cell>
          <cell r="AM46">
            <v>0</v>
          </cell>
          <cell r="AN46">
            <v>1</v>
          </cell>
          <cell r="AO46">
            <v>0</v>
          </cell>
          <cell r="AP46"/>
          <cell r="AQ46">
            <v>4</v>
          </cell>
          <cell r="AR46">
            <v>26.833333333333332</v>
          </cell>
          <cell r="AS46">
            <v>0</v>
          </cell>
          <cell r="AT46">
            <v>1</v>
          </cell>
          <cell r="AU46">
            <v>0</v>
          </cell>
          <cell r="AV46"/>
          <cell r="AW46">
            <v>6</v>
          </cell>
          <cell r="AX46">
            <v>26</v>
          </cell>
          <cell r="AY46">
            <v>0</v>
          </cell>
          <cell r="AZ46">
            <v>1</v>
          </cell>
          <cell r="BA46">
            <v>0</v>
          </cell>
          <cell r="BB46"/>
          <cell r="BC46">
            <v>19</v>
          </cell>
          <cell r="BD46">
            <v>26</v>
          </cell>
          <cell r="BE46">
            <v>0</v>
          </cell>
          <cell r="BF46">
            <v>1</v>
          </cell>
          <cell r="BG46">
            <v>0</v>
          </cell>
          <cell r="BH46"/>
          <cell r="BI46">
            <v>8</v>
          </cell>
          <cell r="BJ46">
            <v>26</v>
          </cell>
          <cell r="BK46">
            <v>0</v>
          </cell>
          <cell r="BL46">
            <v>1</v>
          </cell>
          <cell r="BM46">
            <v>0</v>
          </cell>
          <cell r="BN46"/>
          <cell r="BO46">
            <v>8</v>
          </cell>
          <cell r="BP46">
            <v>26</v>
          </cell>
          <cell r="BQ46">
            <v>0</v>
          </cell>
          <cell r="BR46">
            <v>1</v>
          </cell>
          <cell r="BS46">
            <v>0</v>
          </cell>
          <cell r="BT46"/>
          <cell r="BU46">
            <v>9</v>
          </cell>
          <cell r="BV46">
            <v>26</v>
          </cell>
          <cell r="BW46">
            <v>0</v>
          </cell>
          <cell r="BX46">
            <v>1</v>
          </cell>
          <cell r="BY46">
            <v>0</v>
          </cell>
          <cell r="BZ46"/>
          <cell r="CA46">
            <v>10</v>
          </cell>
          <cell r="CB46">
            <v>26</v>
          </cell>
          <cell r="CC46">
            <v>0</v>
          </cell>
          <cell r="CD46">
            <v>1</v>
          </cell>
          <cell r="CE46">
            <v>0</v>
          </cell>
          <cell r="CF46"/>
          <cell r="CG46">
            <v>11</v>
          </cell>
          <cell r="CH46">
            <v>24</v>
          </cell>
          <cell r="CI46">
            <v>0</v>
          </cell>
          <cell r="CJ46">
            <v>1</v>
          </cell>
          <cell r="CK46">
            <v>1</v>
          </cell>
          <cell r="CL46"/>
          <cell r="CM46">
            <v>0</v>
          </cell>
          <cell r="CN46">
            <v>21</v>
          </cell>
          <cell r="CO46">
            <v>0</v>
          </cell>
          <cell r="CP46">
            <v>1</v>
          </cell>
          <cell r="CQ46">
            <v>1</v>
          </cell>
          <cell r="CR46"/>
          <cell r="CS46">
            <v>0</v>
          </cell>
          <cell r="CT46">
            <v>24</v>
          </cell>
          <cell r="CU46">
            <v>0</v>
          </cell>
          <cell r="CV46">
            <v>1</v>
          </cell>
          <cell r="CW46">
            <v>0</v>
          </cell>
          <cell r="CX46"/>
          <cell r="CY46">
            <v>1</v>
          </cell>
          <cell r="CZ46">
            <v>27</v>
          </cell>
          <cell r="DA46">
            <v>0</v>
          </cell>
          <cell r="DB46">
            <v>2</v>
          </cell>
          <cell r="DC46">
            <v>0</v>
          </cell>
          <cell r="DD46"/>
          <cell r="DE46">
            <v>3</v>
          </cell>
          <cell r="DF46">
            <v>25</v>
          </cell>
          <cell r="DG46">
            <v>0</v>
          </cell>
          <cell r="DH46">
            <v>1</v>
          </cell>
          <cell r="DI46">
            <v>0</v>
          </cell>
          <cell r="DJ46"/>
          <cell r="DK46">
            <v>4</v>
          </cell>
        </row>
        <row r="47">
          <cell r="B47" t="str">
            <v>CN0377</v>
          </cell>
          <cell r="C47" t="str">
            <v>Khối sản xuất</v>
          </cell>
          <cell r="D47" t="str">
            <v>Võ Văn Ngàn</v>
          </cell>
          <cell r="E47" t="str">
            <v>SX</v>
          </cell>
          <cell r="F47">
            <v>43377</v>
          </cell>
          <cell r="G47"/>
          <cell r="H47">
            <v>26</v>
          </cell>
          <cell r="I47">
            <v>0</v>
          </cell>
          <cell r="J47">
            <v>1</v>
          </cell>
          <cell r="K47">
            <v>0</v>
          </cell>
          <cell r="L47"/>
          <cell r="M47">
            <v>9.5</v>
          </cell>
          <cell r="N47">
            <v>24</v>
          </cell>
          <cell r="O47">
            <v>0</v>
          </cell>
          <cell r="P47">
            <v>1</v>
          </cell>
          <cell r="Q47">
            <v>2</v>
          </cell>
          <cell r="R47"/>
          <cell r="S47">
            <v>8.5</v>
          </cell>
          <cell r="T47" t="e">
            <v>#REF!</v>
          </cell>
          <cell r="U47">
            <v>0</v>
          </cell>
          <cell r="V47" t="e">
            <v>#REF!</v>
          </cell>
          <cell r="W47" t="e">
            <v>#REF!</v>
          </cell>
          <cell r="X47"/>
          <cell r="Y47">
            <v>2</v>
          </cell>
          <cell r="Z47">
            <v>24</v>
          </cell>
          <cell r="AA47">
            <v>0</v>
          </cell>
          <cell r="AB47">
            <v>1</v>
          </cell>
          <cell r="AC47">
            <v>0</v>
          </cell>
          <cell r="AD47"/>
          <cell r="AE47">
            <v>3</v>
          </cell>
          <cell r="AF47">
            <v>26</v>
          </cell>
          <cell r="AG47">
            <v>0</v>
          </cell>
          <cell r="AH47">
            <v>1</v>
          </cell>
          <cell r="AI47">
            <v>0</v>
          </cell>
          <cell r="AJ47"/>
          <cell r="AK47">
            <v>4</v>
          </cell>
          <cell r="AL47">
            <v>22</v>
          </cell>
          <cell r="AM47">
            <v>0</v>
          </cell>
          <cell r="AN47">
            <v>1</v>
          </cell>
          <cell r="AO47">
            <v>1</v>
          </cell>
          <cell r="AP47"/>
          <cell r="AQ47">
            <v>4</v>
          </cell>
          <cell r="AR47">
            <v>23</v>
          </cell>
          <cell r="AS47">
            <v>0</v>
          </cell>
          <cell r="AT47">
            <v>1</v>
          </cell>
          <cell r="AU47">
            <v>4</v>
          </cell>
          <cell r="AV47"/>
          <cell r="AW47">
            <v>2</v>
          </cell>
          <cell r="AX47">
            <v>26</v>
          </cell>
          <cell r="AY47">
            <v>0</v>
          </cell>
          <cell r="AZ47">
            <v>1</v>
          </cell>
          <cell r="BA47">
            <v>0</v>
          </cell>
          <cell r="BB47"/>
          <cell r="BC47">
            <v>11</v>
          </cell>
          <cell r="BD47">
            <v>26</v>
          </cell>
          <cell r="BE47">
            <v>0</v>
          </cell>
          <cell r="BF47">
            <v>1</v>
          </cell>
          <cell r="BG47">
            <v>0</v>
          </cell>
          <cell r="BH47"/>
          <cell r="BI47">
            <v>4</v>
          </cell>
          <cell r="BJ47">
            <v>26</v>
          </cell>
          <cell r="BK47">
            <v>0</v>
          </cell>
          <cell r="BL47">
            <v>1</v>
          </cell>
          <cell r="BM47">
            <v>0</v>
          </cell>
          <cell r="BN47"/>
          <cell r="BO47">
            <v>4</v>
          </cell>
          <cell r="BP47">
            <v>26</v>
          </cell>
          <cell r="BQ47">
            <v>0</v>
          </cell>
          <cell r="BR47">
            <v>1</v>
          </cell>
          <cell r="BS47">
            <v>0</v>
          </cell>
          <cell r="BT47"/>
          <cell r="BU47">
            <v>5</v>
          </cell>
          <cell r="BV47">
            <v>26</v>
          </cell>
          <cell r="BW47">
            <v>0</v>
          </cell>
          <cell r="BX47">
            <v>1</v>
          </cell>
          <cell r="BY47">
            <v>0</v>
          </cell>
          <cell r="BZ47"/>
          <cell r="CA47">
            <v>6</v>
          </cell>
          <cell r="CB47">
            <v>26</v>
          </cell>
          <cell r="CC47">
            <v>0</v>
          </cell>
          <cell r="CD47">
            <v>1</v>
          </cell>
          <cell r="CE47">
            <v>0</v>
          </cell>
          <cell r="CF47"/>
          <cell r="CG47">
            <v>7</v>
          </cell>
          <cell r="CH47">
            <v>24</v>
          </cell>
          <cell r="CI47">
            <v>0</v>
          </cell>
          <cell r="CJ47">
            <v>1</v>
          </cell>
          <cell r="CK47">
            <v>1</v>
          </cell>
          <cell r="CL47"/>
          <cell r="CM47">
            <v>0</v>
          </cell>
          <cell r="CN47">
            <v>21</v>
          </cell>
          <cell r="CO47">
            <v>0</v>
          </cell>
          <cell r="CP47">
            <v>1</v>
          </cell>
          <cell r="CQ47">
            <v>1</v>
          </cell>
          <cell r="CR47"/>
          <cell r="CS47">
            <v>0</v>
          </cell>
          <cell r="CT47">
            <v>24</v>
          </cell>
          <cell r="CU47">
            <v>0</v>
          </cell>
          <cell r="CV47">
            <v>1</v>
          </cell>
          <cell r="CW47">
            <v>0</v>
          </cell>
          <cell r="CX47"/>
          <cell r="CY47">
            <v>1</v>
          </cell>
          <cell r="CZ47">
            <v>27</v>
          </cell>
          <cell r="DA47">
            <v>0</v>
          </cell>
          <cell r="DB47">
            <v>2</v>
          </cell>
          <cell r="DC47">
            <v>0</v>
          </cell>
          <cell r="DD47"/>
          <cell r="DE47">
            <v>3</v>
          </cell>
          <cell r="DF47">
            <v>25</v>
          </cell>
          <cell r="DG47">
            <v>0</v>
          </cell>
          <cell r="DH47">
            <v>1</v>
          </cell>
          <cell r="DI47">
            <v>0</v>
          </cell>
          <cell r="DJ47"/>
          <cell r="DK47">
            <v>4</v>
          </cell>
        </row>
        <row r="48">
          <cell r="B48" t="str">
            <v>CN0027</v>
          </cell>
          <cell r="C48" t="str">
            <v>Khối sản xuất</v>
          </cell>
          <cell r="D48" t="str">
            <v>Thạch Tùng</v>
          </cell>
          <cell r="E48" t="str">
            <v>SX</v>
          </cell>
          <cell r="F48">
            <v>41414</v>
          </cell>
          <cell r="G48"/>
          <cell r="H48">
            <v>26</v>
          </cell>
          <cell r="I48">
            <v>0</v>
          </cell>
          <cell r="J48">
            <v>1</v>
          </cell>
          <cell r="K48">
            <v>0</v>
          </cell>
          <cell r="L48"/>
          <cell r="M48">
            <v>8.5</v>
          </cell>
          <cell r="N48">
            <v>24</v>
          </cell>
          <cell r="O48">
            <v>0</v>
          </cell>
          <cell r="P48">
            <v>1</v>
          </cell>
          <cell r="Q48">
            <v>2</v>
          </cell>
          <cell r="R48"/>
          <cell r="S48">
            <v>7.5</v>
          </cell>
          <cell r="T48" t="e">
            <v>#REF!</v>
          </cell>
          <cell r="U48">
            <v>0</v>
          </cell>
          <cell r="V48" t="e">
            <v>#REF!</v>
          </cell>
          <cell r="W48" t="e">
            <v>#REF!</v>
          </cell>
          <cell r="X48"/>
          <cell r="Y48">
            <v>2</v>
          </cell>
          <cell r="Z48">
            <v>23.666666666666664</v>
          </cell>
          <cell r="AA48">
            <v>0</v>
          </cell>
          <cell r="AB48">
            <v>1</v>
          </cell>
          <cell r="AC48">
            <v>0</v>
          </cell>
          <cell r="AD48"/>
          <cell r="AE48">
            <v>3</v>
          </cell>
          <cell r="AF48">
            <v>25</v>
          </cell>
          <cell r="AG48">
            <v>0</v>
          </cell>
          <cell r="AH48">
            <v>1</v>
          </cell>
          <cell r="AI48">
            <v>0</v>
          </cell>
          <cell r="AJ48"/>
          <cell r="AK48">
            <v>4</v>
          </cell>
          <cell r="AL48">
            <v>23</v>
          </cell>
          <cell r="AM48">
            <v>0</v>
          </cell>
          <cell r="AN48">
            <v>1</v>
          </cell>
          <cell r="AO48">
            <v>0</v>
          </cell>
          <cell r="AP48"/>
          <cell r="AQ48">
            <v>5</v>
          </cell>
          <cell r="AR48">
            <v>26.833333333333336</v>
          </cell>
          <cell r="AS48">
            <v>0</v>
          </cell>
          <cell r="AT48">
            <v>1</v>
          </cell>
          <cell r="AU48">
            <v>0</v>
          </cell>
          <cell r="AV48"/>
          <cell r="AW48">
            <v>8</v>
          </cell>
          <cell r="AX48">
            <v>26</v>
          </cell>
          <cell r="AY48">
            <v>0</v>
          </cell>
          <cell r="AZ48">
            <v>1</v>
          </cell>
          <cell r="BA48">
            <v>0</v>
          </cell>
          <cell r="BB48"/>
          <cell r="BC48">
            <v>12</v>
          </cell>
          <cell r="BD48">
            <v>25.416666666666668</v>
          </cell>
          <cell r="BE48">
            <v>0</v>
          </cell>
          <cell r="BF48">
            <v>1</v>
          </cell>
          <cell r="BG48">
            <v>0</v>
          </cell>
          <cell r="BH48"/>
          <cell r="BI48">
            <v>10</v>
          </cell>
          <cell r="BJ48">
            <v>24</v>
          </cell>
          <cell r="BK48">
            <v>0</v>
          </cell>
          <cell r="BL48">
            <v>1</v>
          </cell>
          <cell r="BM48">
            <v>2</v>
          </cell>
          <cell r="BN48"/>
          <cell r="BO48">
            <v>8</v>
          </cell>
          <cell r="BP48">
            <v>24</v>
          </cell>
          <cell r="BQ48">
            <v>0</v>
          </cell>
          <cell r="BR48">
            <v>1</v>
          </cell>
          <cell r="BS48">
            <v>2</v>
          </cell>
          <cell r="BT48"/>
          <cell r="BU48">
            <v>9</v>
          </cell>
          <cell r="BV48">
            <v>18</v>
          </cell>
          <cell r="BW48">
            <v>0</v>
          </cell>
          <cell r="BX48">
            <v>1</v>
          </cell>
          <cell r="BY48">
            <v>8</v>
          </cell>
          <cell r="BZ48"/>
          <cell r="CA48">
            <v>2</v>
          </cell>
          <cell r="CB48">
            <v>24</v>
          </cell>
          <cell r="CC48">
            <v>0</v>
          </cell>
          <cell r="CD48">
            <v>1</v>
          </cell>
          <cell r="CE48">
            <v>2</v>
          </cell>
          <cell r="CF48"/>
          <cell r="CG48">
            <v>1</v>
          </cell>
          <cell r="CH48">
            <v>25</v>
          </cell>
          <cell r="CI48">
            <v>0</v>
          </cell>
          <cell r="CJ48">
            <v>1</v>
          </cell>
          <cell r="CK48">
            <v>0</v>
          </cell>
          <cell r="CL48"/>
          <cell r="CM48">
            <v>1</v>
          </cell>
          <cell r="CN48">
            <v>20</v>
          </cell>
          <cell r="CO48">
            <v>0</v>
          </cell>
          <cell r="CP48">
            <v>1</v>
          </cell>
          <cell r="CQ48">
            <v>2</v>
          </cell>
          <cell r="CR48"/>
          <cell r="CS48">
            <v>0</v>
          </cell>
          <cell r="CT48">
            <v>23.666666666666664</v>
          </cell>
          <cell r="CU48">
            <v>0</v>
          </cell>
          <cell r="CV48">
            <v>1</v>
          </cell>
          <cell r="CW48">
            <v>0</v>
          </cell>
          <cell r="CX48"/>
          <cell r="CY48">
            <v>1</v>
          </cell>
          <cell r="CZ48">
            <v>27</v>
          </cell>
          <cell r="DA48">
            <v>0</v>
          </cell>
          <cell r="DB48">
            <v>3</v>
          </cell>
          <cell r="DC48">
            <v>0</v>
          </cell>
          <cell r="DD48"/>
          <cell r="DE48">
            <v>4</v>
          </cell>
          <cell r="DF48">
            <v>22</v>
          </cell>
          <cell r="DG48">
            <v>0</v>
          </cell>
          <cell r="DH48">
            <v>1</v>
          </cell>
          <cell r="DI48">
            <v>0</v>
          </cell>
          <cell r="DJ48"/>
          <cell r="DK48">
            <v>5</v>
          </cell>
        </row>
        <row r="49">
          <cell r="B49" t="str">
            <v>CN0151</v>
          </cell>
          <cell r="C49" t="str">
            <v>Khối sản xuất</v>
          </cell>
          <cell r="D49" t="str">
            <v>Lưu Văn Hiếu</v>
          </cell>
          <cell r="E49" t="str">
            <v>SX</v>
          </cell>
          <cell r="F49">
            <v>42949.442970949072</v>
          </cell>
          <cell r="G49"/>
          <cell r="H49">
            <v>24</v>
          </cell>
          <cell r="I49">
            <v>0</v>
          </cell>
          <cell r="J49">
            <v>1</v>
          </cell>
          <cell r="K49">
            <v>1</v>
          </cell>
          <cell r="L49"/>
          <cell r="M49">
            <v>3.5</v>
          </cell>
          <cell r="N49">
            <v>25</v>
          </cell>
          <cell r="O49">
            <v>0</v>
          </cell>
          <cell r="P49">
            <v>1</v>
          </cell>
          <cell r="Q49">
            <v>1</v>
          </cell>
          <cell r="R49"/>
          <cell r="S49">
            <v>3.5</v>
          </cell>
          <cell r="T49" t="e">
            <v>#REF!</v>
          </cell>
          <cell r="U49">
            <v>0</v>
          </cell>
          <cell r="V49" t="e">
            <v>#REF!</v>
          </cell>
          <cell r="W49" t="e">
            <v>#REF!</v>
          </cell>
          <cell r="X49"/>
          <cell r="Y49">
            <v>2</v>
          </cell>
          <cell r="Z49">
            <v>23</v>
          </cell>
          <cell r="AA49">
            <v>0</v>
          </cell>
          <cell r="AB49">
            <v>1</v>
          </cell>
          <cell r="AC49">
            <v>1</v>
          </cell>
          <cell r="AD49"/>
          <cell r="AE49">
            <v>2</v>
          </cell>
          <cell r="AF49">
            <v>26</v>
          </cell>
          <cell r="AG49">
            <v>0</v>
          </cell>
          <cell r="AH49">
            <v>1</v>
          </cell>
          <cell r="AI49">
            <v>0</v>
          </cell>
          <cell r="AJ49"/>
          <cell r="AK49">
            <v>3</v>
          </cell>
          <cell r="AL49">
            <v>22</v>
          </cell>
          <cell r="AM49">
            <v>0</v>
          </cell>
          <cell r="AN49">
            <v>1</v>
          </cell>
          <cell r="AO49">
            <v>0</v>
          </cell>
          <cell r="AP49"/>
          <cell r="AQ49">
            <v>4</v>
          </cell>
          <cell r="AR49">
            <v>26</v>
          </cell>
          <cell r="AS49">
            <v>0</v>
          </cell>
          <cell r="AT49">
            <v>1</v>
          </cell>
          <cell r="AU49">
            <v>1</v>
          </cell>
          <cell r="AV49"/>
          <cell r="AW49">
            <v>5</v>
          </cell>
          <cell r="AX49">
            <v>25</v>
          </cell>
          <cell r="AY49">
            <v>0</v>
          </cell>
          <cell r="AZ49">
            <v>1</v>
          </cell>
          <cell r="BA49">
            <v>1</v>
          </cell>
          <cell r="BB49"/>
          <cell r="BC49">
            <v>13</v>
          </cell>
          <cell r="BD49">
            <v>24</v>
          </cell>
          <cell r="BE49">
            <v>0</v>
          </cell>
          <cell r="BF49">
            <v>1</v>
          </cell>
          <cell r="BG49">
            <v>2</v>
          </cell>
          <cell r="BH49"/>
          <cell r="BI49">
            <v>4</v>
          </cell>
          <cell r="BJ49">
            <v>25</v>
          </cell>
          <cell r="BK49">
            <v>0</v>
          </cell>
          <cell r="BL49">
            <v>1</v>
          </cell>
          <cell r="BM49">
            <v>1</v>
          </cell>
          <cell r="BN49"/>
          <cell r="BO49">
            <v>5</v>
          </cell>
          <cell r="BP49">
            <v>25</v>
          </cell>
          <cell r="BQ49">
            <v>0</v>
          </cell>
          <cell r="BR49">
            <v>1</v>
          </cell>
          <cell r="BS49">
            <v>1</v>
          </cell>
          <cell r="BT49"/>
          <cell r="BU49">
            <v>6</v>
          </cell>
          <cell r="BV49">
            <v>25</v>
          </cell>
          <cell r="BW49">
            <v>0</v>
          </cell>
          <cell r="BX49">
            <v>1</v>
          </cell>
          <cell r="BY49">
            <v>1</v>
          </cell>
          <cell r="BZ49"/>
          <cell r="CA49">
            <v>6</v>
          </cell>
          <cell r="CB49">
            <v>26</v>
          </cell>
          <cell r="CC49">
            <v>0</v>
          </cell>
          <cell r="CD49">
            <v>1</v>
          </cell>
          <cell r="CE49">
            <v>0</v>
          </cell>
          <cell r="CF49"/>
          <cell r="CG49">
            <v>7</v>
          </cell>
          <cell r="CH49">
            <v>24</v>
          </cell>
          <cell r="CI49">
            <v>0</v>
          </cell>
          <cell r="CJ49">
            <v>1</v>
          </cell>
          <cell r="CK49">
            <v>1</v>
          </cell>
          <cell r="CL49"/>
          <cell r="CM49">
            <v>0</v>
          </cell>
          <cell r="CN49">
            <v>20</v>
          </cell>
          <cell r="CO49">
            <v>0</v>
          </cell>
          <cell r="CP49">
            <v>1</v>
          </cell>
          <cell r="CQ49">
            <v>1</v>
          </cell>
          <cell r="CR49"/>
          <cell r="CS49">
            <v>0</v>
          </cell>
          <cell r="CT49">
            <v>24</v>
          </cell>
          <cell r="CU49">
            <v>0</v>
          </cell>
          <cell r="CV49">
            <v>1</v>
          </cell>
          <cell r="CW49">
            <v>0</v>
          </cell>
          <cell r="CX49"/>
          <cell r="CY49">
            <v>1</v>
          </cell>
          <cell r="CZ49">
            <v>25</v>
          </cell>
          <cell r="DA49">
            <v>0</v>
          </cell>
          <cell r="DB49">
            <v>2</v>
          </cell>
          <cell r="DC49">
            <v>2</v>
          </cell>
          <cell r="DD49"/>
          <cell r="DE49">
            <v>1</v>
          </cell>
          <cell r="DF49">
            <v>24</v>
          </cell>
          <cell r="DG49">
            <v>0</v>
          </cell>
          <cell r="DH49">
            <v>1</v>
          </cell>
          <cell r="DI49">
            <v>0</v>
          </cell>
          <cell r="DJ49"/>
          <cell r="DK49">
            <v>2</v>
          </cell>
        </row>
        <row r="50">
          <cell r="B50" t="str">
            <v>CN0028</v>
          </cell>
          <cell r="C50" t="str">
            <v>Khối sản xuất</v>
          </cell>
          <cell r="D50" t="str">
            <v>Dương Hoàng Oanh</v>
          </cell>
          <cell r="E50" t="str">
            <v>SX</v>
          </cell>
          <cell r="F50">
            <v>41686</v>
          </cell>
          <cell r="G50"/>
          <cell r="H50">
            <v>26</v>
          </cell>
          <cell r="I50">
            <v>0</v>
          </cell>
          <cell r="J50">
            <v>1</v>
          </cell>
          <cell r="K50">
            <v>0</v>
          </cell>
          <cell r="L50"/>
          <cell r="M50">
            <v>1</v>
          </cell>
          <cell r="N50">
            <v>26</v>
          </cell>
          <cell r="O50">
            <v>0</v>
          </cell>
          <cell r="P50">
            <v>1</v>
          </cell>
          <cell r="Q50">
            <v>0</v>
          </cell>
          <cell r="R50"/>
          <cell r="S50">
            <v>2</v>
          </cell>
          <cell r="T50" t="e">
            <v>#REF!</v>
          </cell>
          <cell r="U50">
            <v>0</v>
          </cell>
          <cell r="V50" t="e">
            <v>#REF!</v>
          </cell>
          <cell r="W50" t="e">
            <v>#REF!</v>
          </cell>
          <cell r="X50"/>
          <cell r="Y50">
            <v>0</v>
          </cell>
          <cell r="Z50">
            <v>24</v>
          </cell>
          <cell r="AA50">
            <v>0</v>
          </cell>
          <cell r="AB50">
            <v>1</v>
          </cell>
          <cell r="AC50">
            <v>0</v>
          </cell>
          <cell r="AD50"/>
          <cell r="AE50">
            <v>1</v>
          </cell>
          <cell r="AF50">
            <v>23.25</v>
          </cell>
          <cell r="AG50">
            <v>0</v>
          </cell>
          <cell r="AH50">
            <v>1</v>
          </cell>
          <cell r="AI50">
            <v>2</v>
          </cell>
          <cell r="AJ50"/>
          <cell r="AK50">
            <v>0</v>
          </cell>
          <cell r="AL50">
            <v>21</v>
          </cell>
          <cell r="AM50">
            <v>0</v>
          </cell>
          <cell r="AN50">
            <v>1</v>
          </cell>
          <cell r="AO50">
            <v>1</v>
          </cell>
          <cell r="AP50"/>
          <cell r="AQ50">
            <v>0</v>
          </cell>
          <cell r="AR50">
            <v>27</v>
          </cell>
          <cell r="AS50">
            <v>0</v>
          </cell>
          <cell r="AT50">
            <v>1</v>
          </cell>
          <cell r="AU50">
            <v>0</v>
          </cell>
          <cell r="AV50"/>
          <cell r="AW50">
            <v>3</v>
          </cell>
          <cell r="AX50">
            <v>26</v>
          </cell>
          <cell r="AY50">
            <v>0</v>
          </cell>
          <cell r="AZ50">
            <v>1</v>
          </cell>
          <cell r="BA50">
            <v>0</v>
          </cell>
          <cell r="BB50"/>
          <cell r="BC50">
            <v>11</v>
          </cell>
          <cell r="BD50">
            <v>26</v>
          </cell>
          <cell r="BE50">
            <v>0</v>
          </cell>
          <cell r="BF50">
            <v>1</v>
          </cell>
          <cell r="BG50">
            <v>0</v>
          </cell>
          <cell r="BH50"/>
          <cell r="BI50">
            <v>5</v>
          </cell>
          <cell r="BJ50">
            <v>26</v>
          </cell>
          <cell r="BK50">
            <v>0</v>
          </cell>
          <cell r="BL50">
            <v>1</v>
          </cell>
          <cell r="BM50">
            <v>0</v>
          </cell>
          <cell r="BN50"/>
          <cell r="BO50">
            <v>5</v>
          </cell>
          <cell r="BP50">
            <v>26</v>
          </cell>
          <cell r="BQ50">
            <v>0</v>
          </cell>
          <cell r="BR50">
            <v>1</v>
          </cell>
          <cell r="BS50">
            <v>0</v>
          </cell>
          <cell r="BT50"/>
          <cell r="BU50">
            <v>6</v>
          </cell>
          <cell r="BV50">
            <v>25</v>
          </cell>
          <cell r="BW50">
            <v>0</v>
          </cell>
          <cell r="BX50">
            <v>1</v>
          </cell>
          <cell r="BY50">
            <v>1</v>
          </cell>
          <cell r="BZ50"/>
          <cell r="CA50">
            <v>6</v>
          </cell>
          <cell r="CB50">
            <v>24</v>
          </cell>
          <cell r="CC50">
            <v>0</v>
          </cell>
          <cell r="CD50">
            <v>1</v>
          </cell>
          <cell r="CE50">
            <v>2</v>
          </cell>
          <cell r="CF50"/>
          <cell r="CG50">
            <v>5</v>
          </cell>
          <cell r="CH50">
            <v>21</v>
          </cell>
          <cell r="CI50">
            <v>0</v>
          </cell>
          <cell r="CJ50">
            <v>1</v>
          </cell>
          <cell r="CK50">
            <v>1</v>
          </cell>
          <cell r="CL50"/>
          <cell r="CM50">
            <v>0</v>
          </cell>
          <cell r="CN50">
            <v>21</v>
          </cell>
          <cell r="CO50">
            <v>0</v>
          </cell>
          <cell r="CP50">
            <v>1</v>
          </cell>
          <cell r="CQ50">
            <v>1</v>
          </cell>
          <cell r="CR50"/>
          <cell r="CS50">
            <v>0</v>
          </cell>
          <cell r="CT50">
            <v>23</v>
          </cell>
          <cell r="CU50">
            <v>0</v>
          </cell>
          <cell r="CV50">
            <v>1</v>
          </cell>
          <cell r="CW50">
            <v>0</v>
          </cell>
          <cell r="CX50"/>
          <cell r="CY50">
            <v>1</v>
          </cell>
          <cell r="CZ50">
            <v>27</v>
          </cell>
          <cell r="DA50">
            <v>0</v>
          </cell>
          <cell r="DB50">
            <v>3</v>
          </cell>
          <cell r="DC50">
            <v>0</v>
          </cell>
          <cell r="DD50"/>
          <cell r="DE50">
            <v>4</v>
          </cell>
          <cell r="DF50">
            <v>25</v>
          </cell>
          <cell r="DG50">
            <v>0</v>
          </cell>
          <cell r="DH50">
            <v>1</v>
          </cell>
          <cell r="DI50">
            <v>0</v>
          </cell>
          <cell r="DJ50"/>
          <cell r="DK50">
            <v>5</v>
          </cell>
        </row>
        <row r="51">
          <cell r="B51" t="str">
            <v>CN0556</v>
          </cell>
          <cell r="C51" t="str">
            <v>Khối sản xuất</v>
          </cell>
          <cell r="D51" t="str">
            <v>Dương Hoàng Diễn</v>
          </cell>
          <cell r="E51" t="str">
            <v>SX</v>
          </cell>
          <cell r="F51">
            <v>43887</v>
          </cell>
          <cell r="G51"/>
          <cell r="H51">
            <v>25.916666666666664</v>
          </cell>
          <cell r="I51">
            <v>0</v>
          </cell>
          <cell r="J51">
            <v>1</v>
          </cell>
          <cell r="K51">
            <v>0</v>
          </cell>
          <cell r="L51"/>
          <cell r="M51">
            <v>0</v>
          </cell>
          <cell r="N51">
            <v>23.666666666666664</v>
          </cell>
          <cell r="O51">
            <v>0</v>
          </cell>
          <cell r="P51">
            <v>1</v>
          </cell>
          <cell r="Q51">
            <v>2</v>
          </cell>
          <cell r="R51"/>
          <cell r="S51">
            <v>-1</v>
          </cell>
          <cell r="T51" t="e">
            <v>#REF!</v>
          </cell>
          <cell r="U51">
            <v>0</v>
          </cell>
          <cell r="V51" t="e">
            <v>#REF!</v>
          </cell>
          <cell r="W51" t="e">
            <v>#REF!</v>
          </cell>
          <cell r="X51"/>
          <cell r="Y51">
            <v>0</v>
          </cell>
          <cell r="Z51">
            <v>23</v>
          </cell>
          <cell r="AA51">
            <v>0</v>
          </cell>
          <cell r="AB51">
            <v>1</v>
          </cell>
          <cell r="AC51">
            <v>1</v>
          </cell>
          <cell r="AD51"/>
          <cell r="AE51">
            <v>0</v>
          </cell>
          <cell r="AF51">
            <v>23</v>
          </cell>
          <cell r="AG51">
            <v>0</v>
          </cell>
          <cell r="AH51">
            <v>1</v>
          </cell>
          <cell r="AI51">
            <v>1</v>
          </cell>
          <cell r="AJ51"/>
          <cell r="AK51">
            <v>0</v>
          </cell>
          <cell r="AL51">
            <v>21.75</v>
          </cell>
          <cell r="AM51">
            <v>0</v>
          </cell>
          <cell r="AN51">
            <v>1</v>
          </cell>
          <cell r="AO51">
            <v>1</v>
          </cell>
          <cell r="AP51"/>
          <cell r="AQ51">
            <v>0</v>
          </cell>
          <cell r="AR51">
            <v>21.916666666666664</v>
          </cell>
          <cell r="AS51">
            <v>0</v>
          </cell>
          <cell r="AT51">
            <v>1</v>
          </cell>
          <cell r="AU51">
            <v>2</v>
          </cell>
          <cell r="AV51"/>
          <cell r="AW51">
            <v>0</v>
          </cell>
          <cell r="AX51">
            <v>25.5</v>
          </cell>
          <cell r="AY51">
            <v>0</v>
          </cell>
          <cell r="AZ51">
            <v>1</v>
          </cell>
          <cell r="BA51">
            <v>0</v>
          </cell>
          <cell r="BB51"/>
          <cell r="BC51">
            <v>5</v>
          </cell>
          <cell r="BD51">
            <v>23</v>
          </cell>
          <cell r="BE51">
            <v>0</v>
          </cell>
          <cell r="BF51">
            <v>1</v>
          </cell>
          <cell r="BG51">
            <v>1</v>
          </cell>
          <cell r="BH51"/>
          <cell r="BI51">
            <v>1</v>
          </cell>
          <cell r="BJ51">
            <v>26</v>
          </cell>
          <cell r="BK51">
            <v>0</v>
          </cell>
          <cell r="BL51">
            <v>1</v>
          </cell>
          <cell r="BM51">
            <v>0</v>
          </cell>
          <cell r="BN51"/>
          <cell r="BO51">
            <v>2</v>
          </cell>
          <cell r="BP51">
            <v>26</v>
          </cell>
          <cell r="BQ51">
            <v>0</v>
          </cell>
          <cell r="BR51">
            <v>1</v>
          </cell>
          <cell r="BS51">
            <v>0</v>
          </cell>
          <cell r="BT51"/>
          <cell r="BU51">
            <v>3</v>
          </cell>
          <cell r="BV51">
            <v>25</v>
          </cell>
          <cell r="BW51">
            <v>0</v>
          </cell>
          <cell r="BX51">
            <v>1</v>
          </cell>
          <cell r="BY51">
            <v>1</v>
          </cell>
          <cell r="BZ51"/>
          <cell r="CA51">
            <v>3</v>
          </cell>
          <cell r="CB51">
            <v>24.916666666666664</v>
          </cell>
          <cell r="CC51">
            <v>0</v>
          </cell>
          <cell r="CD51">
            <v>1</v>
          </cell>
          <cell r="CE51">
            <v>1</v>
          </cell>
          <cell r="CF51"/>
          <cell r="CG51">
            <v>3</v>
          </cell>
          <cell r="CH51">
            <v>23</v>
          </cell>
          <cell r="CI51">
            <v>0</v>
          </cell>
          <cell r="CJ51">
            <v>1</v>
          </cell>
          <cell r="CK51">
            <v>1</v>
          </cell>
          <cell r="CL51"/>
          <cell r="CM51">
            <v>0</v>
          </cell>
          <cell r="CN51">
            <v>21</v>
          </cell>
          <cell r="CO51">
            <v>0</v>
          </cell>
          <cell r="CP51">
            <v>1</v>
          </cell>
          <cell r="CQ51">
            <v>1</v>
          </cell>
          <cell r="CR51"/>
          <cell r="CS51">
            <v>0</v>
          </cell>
          <cell r="CT51">
            <v>23</v>
          </cell>
          <cell r="CU51">
            <v>0</v>
          </cell>
          <cell r="CV51">
            <v>1</v>
          </cell>
          <cell r="CW51">
            <v>1</v>
          </cell>
          <cell r="CX51"/>
          <cell r="CY51">
            <v>0</v>
          </cell>
          <cell r="CZ51">
            <v>24</v>
          </cell>
          <cell r="DA51">
            <v>0</v>
          </cell>
          <cell r="DB51">
            <v>2</v>
          </cell>
          <cell r="DC51">
            <v>2</v>
          </cell>
          <cell r="DD51"/>
          <cell r="DE51">
            <v>0</v>
          </cell>
          <cell r="DF51">
            <v>20</v>
          </cell>
          <cell r="DG51">
            <v>0</v>
          </cell>
          <cell r="DH51">
            <v>1</v>
          </cell>
          <cell r="DI51">
            <v>1</v>
          </cell>
          <cell r="DJ51"/>
          <cell r="DK51">
            <v>0</v>
          </cell>
        </row>
        <row r="52">
          <cell r="B52" t="str">
            <v>CN0029</v>
          </cell>
          <cell r="C52" t="str">
            <v>Khối sản xuất</v>
          </cell>
          <cell r="D52" t="str">
            <v>Nguyễn Văn Hiển</v>
          </cell>
          <cell r="E52" t="str">
            <v>SX</v>
          </cell>
          <cell r="F52">
            <v>42080</v>
          </cell>
          <cell r="G52"/>
          <cell r="H52">
            <v>26</v>
          </cell>
          <cell r="I52">
            <v>0</v>
          </cell>
          <cell r="J52">
            <v>1</v>
          </cell>
          <cell r="K52">
            <v>0</v>
          </cell>
          <cell r="L52"/>
          <cell r="M52">
            <v>7</v>
          </cell>
          <cell r="N52">
            <v>26.666666666666668</v>
          </cell>
          <cell r="O52">
            <v>0</v>
          </cell>
          <cell r="P52">
            <v>1</v>
          </cell>
          <cell r="Q52">
            <v>0</v>
          </cell>
          <cell r="R52"/>
          <cell r="S52">
            <v>8</v>
          </cell>
          <cell r="T52" t="e">
            <v>#REF!</v>
          </cell>
          <cell r="U52">
            <v>0</v>
          </cell>
          <cell r="V52" t="e">
            <v>#REF!</v>
          </cell>
          <cell r="W52" t="e">
            <v>#REF!</v>
          </cell>
          <cell r="X52"/>
          <cell r="Y52">
            <v>2</v>
          </cell>
          <cell r="Z52">
            <v>23</v>
          </cell>
          <cell r="AA52">
            <v>0</v>
          </cell>
          <cell r="AB52">
            <v>1</v>
          </cell>
          <cell r="AC52">
            <v>1</v>
          </cell>
          <cell r="AD52"/>
          <cell r="AE52">
            <v>2</v>
          </cell>
          <cell r="AF52">
            <v>26</v>
          </cell>
          <cell r="AG52">
            <v>0</v>
          </cell>
          <cell r="AH52">
            <v>1</v>
          </cell>
          <cell r="AI52">
            <v>0</v>
          </cell>
          <cell r="AJ52"/>
          <cell r="AK52">
            <v>3</v>
          </cell>
          <cell r="AL52">
            <v>22.916666666666664</v>
          </cell>
          <cell r="AM52">
            <v>0</v>
          </cell>
          <cell r="AN52">
            <v>1</v>
          </cell>
          <cell r="AO52">
            <v>0</v>
          </cell>
          <cell r="AP52"/>
          <cell r="AQ52">
            <v>4</v>
          </cell>
          <cell r="AR52">
            <v>27</v>
          </cell>
          <cell r="AS52">
            <v>0</v>
          </cell>
          <cell r="AT52">
            <v>1</v>
          </cell>
          <cell r="AU52">
            <v>0</v>
          </cell>
          <cell r="AV52"/>
          <cell r="AW52">
            <v>7</v>
          </cell>
          <cell r="AX52">
            <v>25</v>
          </cell>
          <cell r="AY52">
            <v>0</v>
          </cell>
          <cell r="AZ52">
            <v>1</v>
          </cell>
          <cell r="BA52">
            <v>1</v>
          </cell>
          <cell r="BB52"/>
          <cell r="BC52">
            <v>19</v>
          </cell>
          <cell r="BD52">
            <v>23.75</v>
          </cell>
          <cell r="BE52">
            <v>0</v>
          </cell>
          <cell r="BF52">
            <v>1</v>
          </cell>
          <cell r="BG52">
            <v>1</v>
          </cell>
          <cell r="BH52"/>
          <cell r="BI52">
            <v>7</v>
          </cell>
          <cell r="BJ52">
            <v>26</v>
          </cell>
          <cell r="BK52">
            <v>0</v>
          </cell>
          <cell r="BL52">
            <v>1</v>
          </cell>
          <cell r="BM52">
            <v>0</v>
          </cell>
          <cell r="BN52"/>
          <cell r="BO52">
            <v>8</v>
          </cell>
          <cell r="BP52">
            <v>26</v>
          </cell>
          <cell r="BQ52">
            <v>0</v>
          </cell>
          <cell r="BR52">
            <v>1</v>
          </cell>
          <cell r="BS52">
            <v>0</v>
          </cell>
          <cell r="BT52"/>
          <cell r="BU52">
            <v>9</v>
          </cell>
          <cell r="BV52">
            <v>25</v>
          </cell>
          <cell r="BW52">
            <v>0</v>
          </cell>
          <cell r="BX52">
            <v>1</v>
          </cell>
          <cell r="BY52">
            <v>1</v>
          </cell>
          <cell r="BZ52"/>
          <cell r="CA52">
            <v>9</v>
          </cell>
          <cell r="CB52">
            <v>26</v>
          </cell>
          <cell r="CC52">
            <v>0</v>
          </cell>
          <cell r="CD52">
            <v>1</v>
          </cell>
          <cell r="CE52">
            <v>0</v>
          </cell>
          <cell r="CF52"/>
          <cell r="CG52">
            <v>10</v>
          </cell>
          <cell r="CH52">
            <v>24</v>
          </cell>
          <cell r="CI52">
            <v>0</v>
          </cell>
          <cell r="CJ52">
            <v>1</v>
          </cell>
          <cell r="CK52">
            <v>1</v>
          </cell>
          <cell r="CL52"/>
          <cell r="CM52">
            <v>0</v>
          </cell>
          <cell r="CN52">
            <v>20</v>
          </cell>
          <cell r="CO52">
            <v>0</v>
          </cell>
          <cell r="CP52">
            <v>1</v>
          </cell>
          <cell r="CQ52">
            <v>1</v>
          </cell>
          <cell r="CR52"/>
          <cell r="CS52">
            <v>0</v>
          </cell>
          <cell r="CT52">
            <v>24</v>
          </cell>
          <cell r="CU52">
            <v>0</v>
          </cell>
          <cell r="CV52">
            <v>1</v>
          </cell>
          <cell r="CW52">
            <v>0</v>
          </cell>
          <cell r="CX52"/>
          <cell r="CY52">
            <v>1</v>
          </cell>
          <cell r="CZ52">
            <v>27</v>
          </cell>
          <cell r="DA52">
            <v>0</v>
          </cell>
          <cell r="DB52">
            <v>3</v>
          </cell>
          <cell r="DC52">
            <v>0</v>
          </cell>
          <cell r="DD52"/>
          <cell r="DE52">
            <v>4</v>
          </cell>
          <cell r="DF52">
            <v>23</v>
          </cell>
          <cell r="DG52">
            <v>0</v>
          </cell>
          <cell r="DH52">
            <v>1</v>
          </cell>
          <cell r="DI52">
            <v>0</v>
          </cell>
          <cell r="DJ52"/>
          <cell r="DK52">
            <v>5</v>
          </cell>
        </row>
        <row r="53">
          <cell r="B53" t="str">
            <v>CN0011</v>
          </cell>
          <cell r="C53" t="str">
            <v>Khối sản xuất</v>
          </cell>
          <cell r="D53" t="str">
            <v>Nguyễn Diệu Hiền</v>
          </cell>
          <cell r="E53" t="str">
            <v>SX</v>
          </cell>
          <cell r="F53">
            <v>39629</v>
          </cell>
          <cell r="G53"/>
          <cell r="H53">
            <v>25</v>
          </cell>
          <cell r="I53">
            <v>0</v>
          </cell>
          <cell r="J53">
            <v>1</v>
          </cell>
          <cell r="K53">
            <v>1</v>
          </cell>
          <cell r="L53"/>
          <cell r="M53">
            <v>7</v>
          </cell>
          <cell r="N53">
            <v>24</v>
          </cell>
          <cell r="O53">
            <v>0</v>
          </cell>
          <cell r="P53">
            <v>1</v>
          </cell>
          <cell r="Q53">
            <v>1</v>
          </cell>
          <cell r="R53"/>
          <cell r="S53">
            <v>7</v>
          </cell>
          <cell r="T53" t="e">
            <v>#REF!</v>
          </cell>
          <cell r="U53">
            <v>0</v>
          </cell>
          <cell r="V53" t="e">
            <v>#REF!</v>
          </cell>
          <cell r="W53" t="e">
            <v>#REF!</v>
          </cell>
          <cell r="X53"/>
          <cell r="Y53">
            <v>2</v>
          </cell>
          <cell r="Z53">
            <v>22</v>
          </cell>
          <cell r="AA53">
            <v>0</v>
          </cell>
          <cell r="AB53">
            <v>1</v>
          </cell>
          <cell r="AC53">
            <v>2</v>
          </cell>
          <cell r="AD53"/>
          <cell r="AE53">
            <v>1</v>
          </cell>
          <cell r="AF53">
            <v>24.583333333333332</v>
          </cell>
          <cell r="AG53">
            <v>0</v>
          </cell>
          <cell r="AH53">
            <v>1</v>
          </cell>
          <cell r="AI53">
            <v>1</v>
          </cell>
          <cell r="AJ53"/>
          <cell r="AK53">
            <v>1</v>
          </cell>
          <cell r="AL53">
            <v>21.833333333333332</v>
          </cell>
          <cell r="AM53">
            <v>0</v>
          </cell>
          <cell r="AN53">
            <v>1</v>
          </cell>
          <cell r="AO53">
            <v>1</v>
          </cell>
          <cell r="AP53"/>
          <cell r="AQ53">
            <v>1</v>
          </cell>
          <cell r="AR53">
            <v>25</v>
          </cell>
          <cell r="AS53">
            <v>0</v>
          </cell>
          <cell r="AT53">
            <v>1</v>
          </cell>
          <cell r="AU53">
            <v>2</v>
          </cell>
          <cell r="AV53"/>
          <cell r="AW53">
            <v>3</v>
          </cell>
          <cell r="AX53">
            <v>25</v>
          </cell>
          <cell r="AY53">
            <v>0</v>
          </cell>
          <cell r="AZ53">
            <v>1</v>
          </cell>
          <cell r="BA53">
            <v>1</v>
          </cell>
          <cell r="BB53"/>
          <cell r="BC53">
            <v>9</v>
          </cell>
          <cell r="BD53">
            <v>25</v>
          </cell>
          <cell r="BE53">
            <v>0</v>
          </cell>
          <cell r="BF53">
            <v>1</v>
          </cell>
          <cell r="BG53">
            <v>1</v>
          </cell>
          <cell r="BH53"/>
          <cell r="BI53">
            <v>3</v>
          </cell>
          <cell r="BJ53">
            <v>25</v>
          </cell>
          <cell r="BK53">
            <v>0</v>
          </cell>
          <cell r="BL53">
            <v>1</v>
          </cell>
          <cell r="BM53">
            <v>1</v>
          </cell>
          <cell r="BN53"/>
          <cell r="BO53">
            <v>3</v>
          </cell>
          <cell r="BP53">
            <v>25</v>
          </cell>
          <cell r="BQ53">
            <v>0</v>
          </cell>
          <cell r="BR53">
            <v>1</v>
          </cell>
          <cell r="BS53">
            <v>1</v>
          </cell>
          <cell r="BT53"/>
          <cell r="BU53">
            <v>4</v>
          </cell>
          <cell r="BV53">
            <v>24</v>
          </cell>
          <cell r="BW53">
            <v>0</v>
          </cell>
          <cell r="BX53">
            <v>1</v>
          </cell>
          <cell r="BY53">
            <v>2</v>
          </cell>
          <cell r="BZ53"/>
          <cell r="CA53">
            <v>3</v>
          </cell>
          <cell r="CB53">
            <v>25</v>
          </cell>
          <cell r="CC53">
            <v>0</v>
          </cell>
          <cell r="CD53">
            <v>1</v>
          </cell>
          <cell r="CE53">
            <v>1</v>
          </cell>
          <cell r="CF53"/>
          <cell r="CG53">
            <v>3</v>
          </cell>
          <cell r="CH53">
            <v>24</v>
          </cell>
          <cell r="CI53">
            <v>0</v>
          </cell>
          <cell r="CJ53">
            <v>1</v>
          </cell>
          <cell r="CK53">
            <v>1</v>
          </cell>
          <cell r="CL53"/>
          <cell r="CM53">
            <v>0</v>
          </cell>
          <cell r="CN53">
            <v>20</v>
          </cell>
          <cell r="CO53">
            <v>0</v>
          </cell>
          <cell r="CP53">
            <v>1</v>
          </cell>
          <cell r="CQ53">
            <v>1</v>
          </cell>
          <cell r="CR53"/>
          <cell r="CS53">
            <v>0</v>
          </cell>
          <cell r="CT53">
            <v>22.25</v>
          </cell>
          <cell r="CU53">
            <v>0</v>
          </cell>
          <cell r="CV53">
            <v>1</v>
          </cell>
          <cell r="CW53">
            <v>1</v>
          </cell>
          <cell r="CX53"/>
          <cell r="CY53">
            <v>0</v>
          </cell>
          <cell r="CZ53">
            <v>26.916666666666668</v>
          </cell>
          <cell r="DA53">
            <v>0</v>
          </cell>
          <cell r="DB53">
            <v>4</v>
          </cell>
          <cell r="DC53">
            <v>0</v>
          </cell>
          <cell r="DD53"/>
          <cell r="DE53">
            <v>4</v>
          </cell>
          <cell r="DF53">
            <v>21.916666666666668</v>
          </cell>
          <cell r="DG53">
            <v>0</v>
          </cell>
          <cell r="DH53">
            <v>1</v>
          </cell>
          <cell r="DI53">
            <v>0</v>
          </cell>
          <cell r="DJ53"/>
          <cell r="DK53">
            <v>5</v>
          </cell>
        </row>
        <row r="54">
          <cell r="B54" t="str">
            <v>CN0549</v>
          </cell>
          <cell r="C54" t="str">
            <v>Khối sản xuất</v>
          </cell>
          <cell r="D54" t="str">
            <v>Danh Thị Thanh</v>
          </cell>
          <cell r="E54" t="str">
            <v>SX</v>
          </cell>
          <cell r="F54">
            <v>43866</v>
          </cell>
          <cell r="G54"/>
          <cell r="H54">
            <v>26</v>
          </cell>
          <cell r="I54">
            <v>0</v>
          </cell>
          <cell r="J54">
            <v>1</v>
          </cell>
          <cell r="K54">
            <v>0</v>
          </cell>
          <cell r="L54"/>
          <cell r="M54">
            <v>8</v>
          </cell>
          <cell r="N54">
            <v>25.416666666666668</v>
          </cell>
          <cell r="O54">
            <v>0</v>
          </cell>
          <cell r="P54">
            <v>1</v>
          </cell>
          <cell r="Q54">
            <v>0</v>
          </cell>
          <cell r="R54"/>
          <cell r="S54">
            <v>9</v>
          </cell>
          <cell r="T54" t="e">
            <v>#REF!</v>
          </cell>
          <cell r="U54">
            <v>0</v>
          </cell>
          <cell r="V54" t="e">
            <v>#REF!</v>
          </cell>
          <cell r="W54" t="e">
            <v>#REF!</v>
          </cell>
          <cell r="X54"/>
          <cell r="Y54">
            <v>2</v>
          </cell>
          <cell r="Z54">
            <v>24</v>
          </cell>
          <cell r="AA54">
            <v>0</v>
          </cell>
          <cell r="AB54">
            <v>1</v>
          </cell>
          <cell r="AC54">
            <v>0</v>
          </cell>
          <cell r="AD54"/>
          <cell r="AE54">
            <v>3</v>
          </cell>
          <cell r="AF54">
            <v>26</v>
          </cell>
          <cell r="AG54">
            <v>0</v>
          </cell>
          <cell r="AH54">
            <v>1</v>
          </cell>
          <cell r="AI54">
            <v>0</v>
          </cell>
          <cell r="AJ54"/>
          <cell r="AK54">
            <v>4</v>
          </cell>
          <cell r="AL54">
            <v>23</v>
          </cell>
          <cell r="AM54">
            <v>0</v>
          </cell>
          <cell r="AN54">
            <v>1</v>
          </cell>
          <cell r="AO54">
            <v>0</v>
          </cell>
          <cell r="AP54"/>
          <cell r="AQ54">
            <v>5</v>
          </cell>
          <cell r="AR54">
            <v>27</v>
          </cell>
          <cell r="AS54">
            <v>0</v>
          </cell>
          <cell r="AT54">
            <v>1</v>
          </cell>
          <cell r="AU54">
            <v>0</v>
          </cell>
          <cell r="AV54"/>
          <cell r="AW54">
            <v>7</v>
          </cell>
          <cell r="AX54">
            <v>25.916666666666668</v>
          </cell>
          <cell r="AY54">
            <v>0</v>
          </cell>
          <cell r="AZ54">
            <v>1</v>
          </cell>
          <cell r="BA54">
            <v>0</v>
          </cell>
          <cell r="BB54"/>
          <cell r="BC54">
            <v>21</v>
          </cell>
          <cell r="BD54">
            <v>26</v>
          </cell>
          <cell r="BE54">
            <v>0</v>
          </cell>
          <cell r="BF54">
            <v>1</v>
          </cell>
          <cell r="BG54">
            <v>0</v>
          </cell>
          <cell r="BH54"/>
          <cell r="BI54">
            <v>9</v>
          </cell>
          <cell r="BJ54">
            <v>26</v>
          </cell>
          <cell r="BK54">
            <v>0</v>
          </cell>
          <cell r="BL54">
            <v>1</v>
          </cell>
          <cell r="BM54">
            <v>0</v>
          </cell>
          <cell r="BN54"/>
          <cell r="BO54">
            <v>9</v>
          </cell>
          <cell r="BP54">
            <v>26</v>
          </cell>
          <cell r="BQ54">
            <v>0</v>
          </cell>
          <cell r="BR54">
            <v>1</v>
          </cell>
          <cell r="BS54">
            <v>0</v>
          </cell>
          <cell r="BT54"/>
          <cell r="BU54">
            <v>10</v>
          </cell>
          <cell r="BV54">
            <v>26</v>
          </cell>
          <cell r="BW54">
            <v>0</v>
          </cell>
          <cell r="BX54">
            <v>1</v>
          </cell>
          <cell r="BY54">
            <v>0</v>
          </cell>
          <cell r="BZ54"/>
          <cell r="CA54">
            <v>11</v>
          </cell>
          <cell r="CB54">
            <v>26</v>
          </cell>
          <cell r="CC54">
            <v>0</v>
          </cell>
          <cell r="CD54">
            <v>1</v>
          </cell>
          <cell r="CE54">
            <v>0</v>
          </cell>
          <cell r="CF54"/>
          <cell r="CG54">
            <v>12</v>
          </cell>
          <cell r="CH54">
            <v>25</v>
          </cell>
          <cell r="CI54">
            <v>0</v>
          </cell>
          <cell r="CJ54">
            <v>1</v>
          </cell>
          <cell r="CK54">
            <v>0</v>
          </cell>
          <cell r="CL54"/>
          <cell r="CM54">
            <v>1</v>
          </cell>
          <cell r="CN54">
            <v>21</v>
          </cell>
          <cell r="CO54">
            <v>0</v>
          </cell>
          <cell r="CP54">
            <v>1</v>
          </cell>
          <cell r="CQ54">
            <v>1</v>
          </cell>
          <cell r="CR54"/>
          <cell r="CS54">
            <v>1</v>
          </cell>
          <cell r="CT54">
            <v>24</v>
          </cell>
          <cell r="CU54">
            <v>0</v>
          </cell>
          <cell r="CV54">
            <v>1</v>
          </cell>
          <cell r="CW54">
            <v>0</v>
          </cell>
          <cell r="CX54"/>
          <cell r="CY54">
            <v>2</v>
          </cell>
          <cell r="CZ54">
            <v>27</v>
          </cell>
          <cell r="DA54">
            <v>0</v>
          </cell>
          <cell r="DB54">
            <v>2</v>
          </cell>
          <cell r="DC54">
            <v>0</v>
          </cell>
          <cell r="DD54"/>
          <cell r="DE54">
            <v>4</v>
          </cell>
          <cell r="DF54">
            <v>22</v>
          </cell>
          <cell r="DG54">
            <v>0</v>
          </cell>
          <cell r="DH54">
            <v>1</v>
          </cell>
          <cell r="DI54">
            <v>1</v>
          </cell>
          <cell r="DJ54"/>
          <cell r="DK54">
            <v>4</v>
          </cell>
        </row>
        <row r="55">
          <cell r="B55" t="str">
            <v>CN0512</v>
          </cell>
          <cell r="C55" t="str">
            <v>Khối sản xuất</v>
          </cell>
          <cell r="D55" t="str">
            <v>Phan Kim Tâm</v>
          </cell>
          <cell r="E55" t="str">
            <v>SX</v>
          </cell>
          <cell r="F55">
            <v>43726</v>
          </cell>
          <cell r="G55"/>
          <cell r="H55">
            <v>25.333333333333332</v>
          </cell>
          <cell r="I55">
            <v>0</v>
          </cell>
          <cell r="J55">
            <v>1</v>
          </cell>
          <cell r="K55">
            <v>0</v>
          </cell>
          <cell r="L55"/>
          <cell r="M55">
            <v>6</v>
          </cell>
          <cell r="N55">
            <v>24.416666666666668</v>
          </cell>
          <cell r="O55">
            <v>0</v>
          </cell>
          <cell r="P55">
            <v>1</v>
          </cell>
          <cell r="Q55">
            <v>1</v>
          </cell>
          <cell r="R55"/>
          <cell r="S55">
            <v>6</v>
          </cell>
          <cell r="T55" t="e">
            <v>#REF!</v>
          </cell>
          <cell r="U55">
            <v>0</v>
          </cell>
          <cell r="V55" t="e">
            <v>#REF!</v>
          </cell>
          <cell r="W55" t="e">
            <v>#REF!</v>
          </cell>
          <cell r="X55"/>
          <cell r="Y55">
            <v>2</v>
          </cell>
          <cell r="Z55">
            <v>24</v>
          </cell>
          <cell r="AA55">
            <v>0</v>
          </cell>
          <cell r="AB55">
            <v>1</v>
          </cell>
          <cell r="AC55">
            <v>0</v>
          </cell>
          <cell r="AD55"/>
          <cell r="AE55">
            <v>3</v>
          </cell>
          <cell r="AF55">
            <v>26</v>
          </cell>
          <cell r="AG55">
            <v>0</v>
          </cell>
          <cell r="AH55">
            <v>1</v>
          </cell>
          <cell r="AI55">
            <v>0</v>
          </cell>
          <cell r="AJ55"/>
          <cell r="AK55">
            <v>4</v>
          </cell>
          <cell r="AL55">
            <v>13.25</v>
          </cell>
          <cell r="AM55">
            <v>0</v>
          </cell>
          <cell r="AN55">
            <v>0</v>
          </cell>
          <cell r="AO55">
            <v>4</v>
          </cell>
          <cell r="AP55"/>
          <cell r="AQ55">
            <v>0</v>
          </cell>
          <cell r="AR55">
            <v>27</v>
          </cell>
          <cell r="AS55">
            <v>0</v>
          </cell>
          <cell r="AT55">
            <v>1</v>
          </cell>
          <cell r="AU55">
            <v>0</v>
          </cell>
          <cell r="AV55"/>
          <cell r="AW55">
            <v>2</v>
          </cell>
          <cell r="AX55">
            <v>25</v>
          </cell>
          <cell r="AY55">
            <v>0</v>
          </cell>
          <cell r="AZ55">
            <v>1</v>
          </cell>
          <cell r="BA55">
            <v>1</v>
          </cell>
          <cell r="BB55"/>
          <cell r="BC55">
            <v>5</v>
          </cell>
          <cell r="BD55">
            <v>26</v>
          </cell>
          <cell r="BE55">
            <v>0</v>
          </cell>
          <cell r="BF55">
            <v>1</v>
          </cell>
          <cell r="BG55">
            <v>0</v>
          </cell>
          <cell r="BH55"/>
          <cell r="BI55">
            <v>3</v>
          </cell>
          <cell r="BJ55">
            <v>23</v>
          </cell>
          <cell r="BK55">
            <v>0</v>
          </cell>
          <cell r="BL55">
            <v>1</v>
          </cell>
          <cell r="BM55">
            <v>3</v>
          </cell>
          <cell r="BN55"/>
          <cell r="BO55">
            <v>0</v>
          </cell>
          <cell r="BP55">
            <v>23</v>
          </cell>
          <cell r="BQ55">
            <v>0</v>
          </cell>
          <cell r="BR55">
            <v>1</v>
          </cell>
          <cell r="BS55">
            <v>3</v>
          </cell>
          <cell r="BT55"/>
          <cell r="BU55">
            <v>1</v>
          </cell>
          <cell r="BV55">
            <v>26</v>
          </cell>
          <cell r="BW55">
            <v>0</v>
          </cell>
          <cell r="BX55">
            <v>1</v>
          </cell>
          <cell r="BY55">
            <v>0</v>
          </cell>
          <cell r="BZ55"/>
          <cell r="CA55">
            <v>2</v>
          </cell>
          <cell r="CB55">
            <v>25</v>
          </cell>
          <cell r="CC55">
            <v>0</v>
          </cell>
          <cell r="CD55">
            <v>1</v>
          </cell>
          <cell r="CE55">
            <v>1</v>
          </cell>
          <cell r="CF55"/>
          <cell r="CG55">
            <v>2</v>
          </cell>
          <cell r="CH55">
            <v>25</v>
          </cell>
          <cell r="CI55">
            <v>0</v>
          </cell>
          <cell r="CJ55">
            <v>1</v>
          </cell>
          <cell r="CK55">
            <v>0</v>
          </cell>
          <cell r="CL55"/>
          <cell r="CM55">
            <v>1</v>
          </cell>
          <cell r="CN55">
            <v>20</v>
          </cell>
          <cell r="CO55">
            <v>0</v>
          </cell>
          <cell r="CP55">
            <v>1</v>
          </cell>
          <cell r="CQ55">
            <v>2</v>
          </cell>
          <cell r="CR55"/>
          <cell r="CS55">
            <v>0</v>
          </cell>
          <cell r="CT55">
            <v>23</v>
          </cell>
          <cell r="CU55">
            <v>0</v>
          </cell>
          <cell r="CV55">
            <v>1</v>
          </cell>
          <cell r="CW55">
            <v>1</v>
          </cell>
          <cell r="CX55"/>
          <cell r="CY55">
            <v>0</v>
          </cell>
          <cell r="CZ55">
            <v>26.416666666666664</v>
          </cell>
          <cell r="DA55">
            <v>0</v>
          </cell>
          <cell r="DB55">
            <v>2</v>
          </cell>
          <cell r="DC55">
            <v>0</v>
          </cell>
          <cell r="DD55"/>
          <cell r="DE55">
            <v>2</v>
          </cell>
          <cell r="DF55">
            <v>24</v>
          </cell>
          <cell r="DG55">
            <v>0</v>
          </cell>
          <cell r="DH55">
            <v>1</v>
          </cell>
          <cell r="DI55">
            <v>0</v>
          </cell>
          <cell r="DJ55"/>
          <cell r="DK55">
            <v>3</v>
          </cell>
        </row>
        <row r="56">
          <cell r="B56" t="str">
            <v>CN0013</v>
          </cell>
          <cell r="C56" t="str">
            <v>Khối sản xuất</v>
          </cell>
          <cell r="D56" t="str">
            <v>Hà Phước Thanh</v>
          </cell>
          <cell r="E56" t="str">
            <v>SX</v>
          </cell>
          <cell r="F56">
            <v>41347</v>
          </cell>
          <cell r="G56"/>
          <cell r="H56">
            <v>26</v>
          </cell>
          <cell r="I56">
            <v>0</v>
          </cell>
          <cell r="J56">
            <v>1</v>
          </cell>
          <cell r="K56">
            <v>0</v>
          </cell>
          <cell r="L56"/>
          <cell r="M56">
            <v>13</v>
          </cell>
          <cell r="N56">
            <v>26</v>
          </cell>
          <cell r="O56">
            <v>0</v>
          </cell>
          <cell r="P56">
            <v>1</v>
          </cell>
          <cell r="Q56">
            <v>0</v>
          </cell>
          <cell r="R56"/>
          <cell r="S56">
            <v>14</v>
          </cell>
          <cell r="T56" t="e">
            <v>#REF!</v>
          </cell>
          <cell r="U56">
            <v>0</v>
          </cell>
          <cell r="V56" t="e">
            <v>#REF!</v>
          </cell>
          <cell r="W56" t="e">
            <v>#REF!</v>
          </cell>
          <cell r="X56"/>
          <cell r="Y56">
            <v>2</v>
          </cell>
          <cell r="Z56">
            <v>24</v>
          </cell>
          <cell r="AA56">
            <v>0</v>
          </cell>
          <cell r="AB56">
            <v>1</v>
          </cell>
          <cell r="AC56">
            <v>0</v>
          </cell>
          <cell r="AD56"/>
          <cell r="AE56">
            <v>3</v>
          </cell>
          <cell r="AF56">
            <v>26</v>
          </cell>
          <cell r="AG56">
            <v>0</v>
          </cell>
          <cell r="AH56">
            <v>1</v>
          </cell>
          <cell r="AI56">
            <v>0</v>
          </cell>
          <cell r="AJ56"/>
          <cell r="AK56">
            <v>4</v>
          </cell>
          <cell r="AL56">
            <v>23</v>
          </cell>
          <cell r="AM56">
            <v>0</v>
          </cell>
          <cell r="AN56">
            <v>1</v>
          </cell>
          <cell r="AO56">
            <v>0</v>
          </cell>
          <cell r="AP56"/>
          <cell r="AQ56">
            <v>5</v>
          </cell>
          <cell r="AR56">
            <v>27</v>
          </cell>
          <cell r="AS56">
            <v>0</v>
          </cell>
          <cell r="AT56">
            <v>1</v>
          </cell>
          <cell r="AU56">
            <v>0</v>
          </cell>
          <cell r="AV56"/>
          <cell r="AW56">
            <v>8</v>
          </cell>
          <cell r="AX56">
            <v>26</v>
          </cell>
          <cell r="AY56">
            <v>0</v>
          </cell>
          <cell r="AZ56">
            <v>1</v>
          </cell>
          <cell r="BA56">
            <v>0</v>
          </cell>
          <cell r="BB56"/>
          <cell r="BC56">
            <v>24</v>
          </cell>
          <cell r="BD56">
            <v>26</v>
          </cell>
          <cell r="BE56">
            <v>0</v>
          </cell>
          <cell r="BF56">
            <v>1</v>
          </cell>
          <cell r="BG56">
            <v>0</v>
          </cell>
          <cell r="BH56"/>
          <cell r="BI56">
            <v>10</v>
          </cell>
          <cell r="BJ56">
            <v>26</v>
          </cell>
          <cell r="BK56">
            <v>0</v>
          </cell>
          <cell r="BL56">
            <v>1</v>
          </cell>
          <cell r="BM56">
            <v>0</v>
          </cell>
          <cell r="BN56"/>
          <cell r="BO56">
            <v>10</v>
          </cell>
          <cell r="BP56">
            <v>26</v>
          </cell>
          <cell r="BQ56">
            <v>0</v>
          </cell>
          <cell r="BR56">
            <v>1</v>
          </cell>
          <cell r="BS56">
            <v>0</v>
          </cell>
          <cell r="BT56"/>
          <cell r="BU56">
            <v>11</v>
          </cell>
          <cell r="BV56">
            <v>26</v>
          </cell>
          <cell r="BW56">
            <v>0</v>
          </cell>
          <cell r="BX56">
            <v>1</v>
          </cell>
          <cell r="BY56">
            <v>0</v>
          </cell>
          <cell r="BZ56"/>
          <cell r="CA56">
            <v>12</v>
          </cell>
          <cell r="CB56">
            <v>26</v>
          </cell>
          <cell r="CC56">
            <v>0</v>
          </cell>
          <cell r="CD56">
            <v>1</v>
          </cell>
          <cell r="CE56">
            <v>0</v>
          </cell>
          <cell r="CF56"/>
          <cell r="CG56">
            <v>13</v>
          </cell>
          <cell r="CH56">
            <v>25</v>
          </cell>
          <cell r="CI56">
            <v>0</v>
          </cell>
          <cell r="CJ56">
            <v>1</v>
          </cell>
          <cell r="CK56">
            <v>0</v>
          </cell>
          <cell r="CL56"/>
          <cell r="CM56">
            <v>1</v>
          </cell>
          <cell r="CN56">
            <v>21</v>
          </cell>
          <cell r="CO56">
            <v>0</v>
          </cell>
          <cell r="CP56">
            <v>1</v>
          </cell>
          <cell r="CQ56">
            <v>1</v>
          </cell>
          <cell r="CR56"/>
          <cell r="CS56">
            <v>1</v>
          </cell>
          <cell r="CT56">
            <v>24</v>
          </cell>
          <cell r="CU56">
            <v>0</v>
          </cell>
          <cell r="CV56">
            <v>1</v>
          </cell>
          <cell r="CW56">
            <v>0</v>
          </cell>
          <cell r="CX56"/>
          <cell r="CY56">
            <v>2</v>
          </cell>
          <cell r="CZ56">
            <v>27</v>
          </cell>
          <cell r="DA56">
            <v>0</v>
          </cell>
          <cell r="DB56">
            <v>3</v>
          </cell>
          <cell r="DC56">
            <v>0</v>
          </cell>
          <cell r="DD56"/>
          <cell r="DE56">
            <v>5</v>
          </cell>
          <cell r="DF56">
            <v>24</v>
          </cell>
          <cell r="DG56">
            <v>0</v>
          </cell>
          <cell r="DH56">
            <v>1</v>
          </cell>
          <cell r="DI56">
            <v>0</v>
          </cell>
          <cell r="DJ56"/>
          <cell r="DK56">
            <v>6</v>
          </cell>
        </row>
        <row r="57">
          <cell r="B57" t="str">
            <v>CN0170</v>
          </cell>
          <cell r="C57" t="str">
            <v>Khối sản xuất</v>
          </cell>
          <cell r="D57" t="str">
            <v>Trương Văn Dũng</v>
          </cell>
          <cell r="E57" t="str">
            <v>SX</v>
          </cell>
          <cell r="F57">
            <v>43000.62401929398</v>
          </cell>
          <cell r="G57"/>
          <cell r="H57">
            <v>24</v>
          </cell>
          <cell r="I57">
            <v>0</v>
          </cell>
          <cell r="J57">
            <v>1</v>
          </cell>
          <cell r="K57">
            <v>2</v>
          </cell>
          <cell r="L57"/>
          <cell r="M57">
            <v>8</v>
          </cell>
          <cell r="N57">
            <v>23.916666666666668</v>
          </cell>
          <cell r="O57">
            <v>0</v>
          </cell>
          <cell r="P57">
            <v>1</v>
          </cell>
          <cell r="Q57">
            <v>2</v>
          </cell>
          <cell r="R57"/>
          <cell r="S57">
            <v>7</v>
          </cell>
          <cell r="T57" t="e">
            <v>#REF!</v>
          </cell>
          <cell r="U57">
            <v>0</v>
          </cell>
          <cell r="V57" t="e">
            <v>#REF!</v>
          </cell>
          <cell r="W57" t="e">
            <v>#REF!</v>
          </cell>
          <cell r="X57"/>
          <cell r="Y57">
            <v>2</v>
          </cell>
          <cell r="Z57">
            <v>23</v>
          </cell>
          <cell r="AA57">
            <v>0</v>
          </cell>
          <cell r="AB57">
            <v>1</v>
          </cell>
          <cell r="AC57">
            <v>1</v>
          </cell>
          <cell r="AD57"/>
          <cell r="AE57">
            <v>2</v>
          </cell>
          <cell r="AF57">
            <v>26</v>
          </cell>
          <cell r="AG57">
            <v>0</v>
          </cell>
          <cell r="AH57">
            <v>1</v>
          </cell>
          <cell r="AI57">
            <v>0</v>
          </cell>
          <cell r="AJ57"/>
          <cell r="AK57">
            <v>3</v>
          </cell>
          <cell r="AL57">
            <v>23</v>
          </cell>
          <cell r="AM57">
            <v>0</v>
          </cell>
          <cell r="AN57">
            <v>1</v>
          </cell>
          <cell r="AO57">
            <v>0</v>
          </cell>
          <cell r="AP57"/>
          <cell r="AQ57">
            <v>4</v>
          </cell>
          <cell r="AR57">
            <v>26.416666666666668</v>
          </cell>
          <cell r="AS57">
            <v>0</v>
          </cell>
          <cell r="AT57">
            <v>1</v>
          </cell>
          <cell r="AU57">
            <v>0</v>
          </cell>
          <cell r="AV57"/>
          <cell r="AW57">
            <v>6</v>
          </cell>
          <cell r="AX57">
            <v>26</v>
          </cell>
          <cell r="AY57">
            <v>0</v>
          </cell>
          <cell r="AZ57">
            <v>1</v>
          </cell>
          <cell r="BA57">
            <v>0</v>
          </cell>
          <cell r="BB57"/>
          <cell r="BC57">
            <v>19</v>
          </cell>
          <cell r="BD57">
            <v>25</v>
          </cell>
          <cell r="BE57">
            <v>0</v>
          </cell>
          <cell r="BF57">
            <v>1</v>
          </cell>
          <cell r="BG57">
            <v>1</v>
          </cell>
          <cell r="BH57"/>
          <cell r="BI57">
            <v>7</v>
          </cell>
          <cell r="BJ57">
            <v>25.666666666666668</v>
          </cell>
          <cell r="BK57">
            <v>0</v>
          </cell>
          <cell r="BL57">
            <v>1</v>
          </cell>
          <cell r="BM57">
            <v>0</v>
          </cell>
          <cell r="BN57"/>
          <cell r="BO57">
            <v>8</v>
          </cell>
          <cell r="BP57">
            <v>25.666666666666668</v>
          </cell>
          <cell r="BQ57">
            <v>0</v>
          </cell>
          <cell r="BR57">
            <v>1</v>
          </cell>
          <cell r="BS57">
            <v>0</v>
          </cell>
          <cell r="BT57"/>
          <cell r="BU57">
            <v>9</v>
          </cell>
          <cell r="BV57">
            <v>26</v>
          </cell>
          <cell r="BW57">
            <v>0</v>
          </cell>
          <cell r="BX57">
            <v>1</v>
          </cell>
          <cell r="BY57">
            <v>0</v>
          </cell>
          <cell r="BZ57"/>
          <cell r="CA57">
            <v>10</v>
          </cell>
          <cell r="CB57">
            <v>26</v>
          </cell>
          <cell r="CC57">
            <v>0</v>
          </cell>
          <cell r="CD57">
            <v>1</v>
          </cell>
          <cell r="CE57">
            <v>0</v>
          </cell>
          <cell r="CF57"/>
          <cell r="CG57">
            <v>11</v>
          </cell>
          <cell r="CH57">
            <v>23.833333333333332</v>
          </cell>
          <cell r="CI57">
            <v>0</v>
          </cell>
          <cell r="CJ57">
            <v>1</v>
          </cell>
          <cell r="CK57">
            <v>1</v>
          </cell>
          <cell r="CL57"/>
          <cell r="CM57">
            <v>0</v>
          </cell>
          <cell r="CN57">
            <v>20.833333333333332</v>
          </cell>
          <cell r="CO57">
            <v>0</v>
          </cell>
          <cell r="CP57">
            <v>1</v>
          </cell>
          <cell r="CQ57">
            <v>1</v>
          </cell>
          <cell r="CR57"/>
          <cell r="CS57">
            <v>0</v>
          </cell>
          <cell r="CT57">
            <v>24</v>
          </cell>
          <cell r="CU57">
            <v>0</v>
          </cell>
          <cell r="CV57">
            <v>1</v>
          </cell>
          <cell r="CW57">
            <v>0</v>
          </cell>
          <cell r="CX57"/>
          <cell r="CY57">
            <v>1</v>
          </cell>
          <cell r="CZ57">
            <v>27</v>
          </cell>
          <cell r="DA57">
            <v>0</v>
          </cell>
          <cell r="DB57">
            <v>2</v>
          </cell>
          <cell r="DC57">
            <v>0</v>
          </cell>
          <cell r="DD57"/>
          <cell r="DE57">
            <v>3</v>
          </cell>
          <cell r="DF57">
            <v>24</v>
          </cell>
          <cell r="DG57">
            <v>0</v>
          </cell>
          <cell r="DH57">
            <v>1</v>
          </cell>
          <cell r="DI57">
            <v>0</v>
          </cell>
          <cell r="DJ57"/>
          <cell r="DK57">
            <v>4</v>
          </cell>
        </row>
        <row r="58">
          <cell r="B58" t="str">
            <v>CN0210</v>
          </cell>
          <cell r="C58" t="str">
            <v>Khối sản xuất</v>
          </cell>
          <cell r="D58" t="str">
            <v>Mai Thị Bé Ly</v>
          </cell>
          <cell r="E58" t="str">
            <v>SX</v>
          </cell>
          <cell r="F58">
            <v>43159</v>
          </cell>
          <cell r="G58"/>
          <cell r="H58">
            <v>25</v>
          </cell>
          <cell r="I58">
            <v>0</v>
          </cell>
          <cell r="J58">
            <v>1</v>
          </cell>
          <cell r="K58">
            <v>0</v>
          </cell>
          <cell r="L58"/>
          <cell r="M58">
            <v>5</v>
          </cell>
          <cell r="N58">
            <v>24</v>
          </cell>
          <cell r="O58">
            <v>0</v>
          </cell>
          <cell r="P58">
            <v>1</v>
          </cell>
          <cell r="Q58">
            <v>2</v>
          </cell>
          <cell r="R58"/>
          <cell r="S58">
            <v>4</v>
          </cell>
          <cell r="T58" t="e">
            <v>#REF!</v>
          </cell>
          <cell r="U58">
            <v>0</v>
          </cell>
          <cell r="V58" t="e">
            <v>#REF!</v>
          </cell>
          <cell r="W58" t="e">
            <v>#REF!</v>
          </cell>
          <cell r="X58"/>
          <cell r="Y58">
            <v>2</v>
          </cell>
          <cell r="Z58">
            <v>23</v>
          </cell>
          <cell r="AA58">
            <v>0</v>
          </cell>
          <cell r="AB58">
            <v>1</v>
          </cell>
          <cell r="AC58">
            <v>1</v>
          </cell>
          <cell r="AD58"/>
          <cell r="AE58">
            <v>2</v>
          </cell>
          <cell r="AF58">
            <v>25</v>
          </cell>
          <cell r="AG58">
            <v>0</v>
          </cell>
          <cell r="AH58">
            <v>1</v>
          </cell>
          <cell r="AI58">
            <v>1</v>
          </cell>
          <cell r="AJ58"/>
          <cell r="AK58">
            <v>2</v>
          </cell>
          <cell r="AL58">
            <v>20.833333333333332</v>
          </cell>
          <cell r="AM58">
            <v>0</v>
          </cell>
          <cell r="AN58">
            <v>1</v>
          </cell>
          <cell r="AO58">
            <v>2</v>
          </cell>
          <cell r="AP58"/>
          <cell r="AQ58">
            <v>1</v>
          </cell>
          <cell r="AR58">
            <v>27</v>
          </cell>
          <cell r="AS58">
            <v>0</v>
          </cell>
          <cell r="AT58">
            <v>1</v>
          </cell>
          <cell r="AU58">
            <v>0</v>
          </cell>
          <cell r="AV58"/>
          <cell r="AW58">
            <v>3</v>
          </cell>
          <cell r="AX58">
            <v>25</v>
          </cell>
          <cell r="AY58">
            <v>0</v>
          </cell>
          <cell r="AZ58">
            <v>1</v>
          </cell>
          <cell r="BA58">
            <v>1</v>
          </cell>
          <cell r="BB58"/>
          <cell r="BC58">
            <v>9</v>
          </cell>
          <cell r="BD58">
            <v>24</v>
          </cell>
          <cell r="BE58">
            <v>0</v>
          </cell>
          <cell r="BF58">
            <v>1</v>
          </cell>
          <cell r="BG58">
            <v>2</v>
          </cell>
          <cell r="BH58"/>
          <cell r="BI58">
            <v>2</v>
          </cell>
          <cell r="BJ58">
            <v>26</v>
          </cell>
          <cell r="BK58">
            <v>0</v>
          </cell>
          <cell r="BL58">
            <v>1</v>
          </cell>
          <cell r="BM58">
            <v>0</v>
          </cell>
          <cell r="BN58"/>
          <cell r="BO58">
            <v>4</v>
          </cell>
          <cell r="BP58">
            <v>26</v>
          </cell>
          <cell r="BQ58">
            <v>0</v>
          </cell>
          <cell r="BR58">
            <v>1</v>
          </cell>
          <cell r="BS58">
            <v>0</v>
          </cell>
          <cell r="BT58"/>
          <cell r="BU58">
            <v>5</v>
          </cell>
          <cell r="BV58">
            <v>26</v>
          </cell>
          <cell r="BW58">
            <v>0</v>
          </cell>
          <cell r="BX58">
            <v>1</v>
          </cell>
          <cell r="BY58">
            <v>0</v>
          </cell>
          <cell r="BZ58"/>
          <cell r="CA58">
            <v>6</v>
          </cell>
          <cell r="CB58">
            <v>24</v>
          </cell>
          <cell r="CC58">
            <v>0</v>
          </cell>
          <cell r="CD58">
            <v>1</v>
          </cell>
          <cell r="CE58">
            <v>2</v>
          </cell>
          <cell r="CF58"/>
          <cell r="CG58">
            <v>5</v>
          </cell>
          <cell r="CH58">
            <v>25</v>
          </cell>
          <cell r="CI58">
            <v>0</v>
          </cell>
          <cell r="CJ58">
            <v>1</v>
          </cell>
          <cell r="CK58">
            <v>0</v>
          </cell>
          <cell r="CL58"/>
          <cell r="CM58">
            <v>1</v>
          </cell>
          <cell r="CN58">
            <v>21</v>
          </cell>
          <cell r="CO58">
            <v>0</v>
          </cell>
          <cell r="CP58">
            <v>1</v>
          </cell>
          <cell r="CQ58">
            <v>1</v>
          </cell>
          <cell r="CR58"/>
          <cell r="CS58">
            <v>1</v>
          </cell>
          <cell r="CT58">
            <v>21.083333333333332</v>
          </cell>
          <cell r="CU58">
            <v>0</v>
          </cell>
          <cell r="CV58">
            <v>1</v>
          </cell>
          <cell r="CW58">
            <v>1</v>
          </cell>
          <cell r="CX58"/>
          <cell r="CY58">
            <v>1</v>
          </cell>
          <cell r="CZ58">
            <v>27</v>
          </cell>
          <cell r="DA58">
            <v>0</v>
          </cell>
          <cell r="DB58">
            <v>2</v>
          </cell>
          <cell r="DC58">
            <v>0</v>
          </cell>
          <cell r="DD58"/>
          <cell r="DE58">
            <v>3</v>
          </cell>
          <cell r="DF58">
            <v>19</v>
          </cell>
          <cell r="DG58">
            <v>0</v>
          </cell>
          <cell r="DH58">
            <v>1</v>
          </cell>
          <cell r="DI58">
            <v>1</v>
          </cell>
          <cell r="DJ58"/>
          <cell r="DK58">
            <v>3</v>
          </cell>
        </row>
        <row r="59">
          <cell r="B59" t="str">
            <v>CN0465</v>
          </cell>
          <cell r="C59" t="str">
            <v>Khối sản xuất</v>
          </cell>
          <cell r="D59" t="str">
            <v>Nguyễn Văn Minh</v>
          </cell>
          <cell r="E59" t="str">
            <v>SX</v>
          </cell>
          <cell r="F59">
            <v>43159</v>
          </cell>
          <cell r="G59"/>
          <cell r="H59">
            <v>25</v>
          </cell>
          <cell r="I59">
            <v>0</v>
          </cell>
          <cell r="J59">
            <v>1</v>
          </cell>
          <cell r="K59">
            <v>1</v>
          </cell>
          <cell r="L59"/>
          <cell r="M59">
            <v>3</v>
          </cell>
          <cell r="N59">
            <v>25</v>
          </cell>
          <cell r="O59">
            <v>0</v>
          </cell>
          <cell r="P59">
            <v>1</v>
          </cell>
          <cell r="Q59">
            <v>1</v>
          </cell>
          <cell r="R59"/>
          <cell r="S59">
            <v>3</v>
          </cell>
          <cell r="T59" t="e">
            <v>#REF!</v>
          </cell>
          <cell r="U59">
            <v>0</v>
          </cell>
          <cell r="V59" t="e">
            <v>#REF!</v>
          </cell>
          <cell r="W59" t="e">
            <v>#REF!</v>
          </cell>
          <cell r="X59"/>
          <cell r="Y59">
            <v>2</v>
          </cell>
          <cell r="Z59">
            <v>23.833333333333332</v>
          </cell>
          <cell r="AA59">
            <v>0</v>
          </cell>
          <cell r="AB59">
            <v>1</v>
          </cell>
          <cell r="AC59">
            <v>0</v>
          </cell>
          <cell r="AD59"/>
          <cell r="AE59">
            <v>3</v>
          </cell>
          <cell r="AF59">
            <v>24.916666666666668</v>
          </cell>
          <cell r="AG59">
            <v>0</v>
          </cell>
          <cell r="AH59">
            <v>1</v>
          </cell>
          <cell r="AI59">
            <v>1</v>
          </cell>
          <cell r="AJ59"/>
          <cell r="AK59">
            <v>3</v>
          </cell>
          <cell r="AL59">
            <v>20.5</v>
          </cell>
          <cell r="AM59">
            <v>0</v>
          </cell>
          <cell r="AN59">
            <v>1</v>
          </cell>
          <cell r="AO59">
            <v>2</v>
          </cell>
          <cell r="AP59"/>
          <cell r="AQ59">
            <v>2</v>
          </cell>
          <cell r="AR59">
            <v>25.25</v>
          </cell>
          <cell r="AS59">
            <v>0</v>
          </cell>
          <cell r="AT59">
            <v>1</v>
          </cell>
          <cell r="AU59">
            <v>1</v>
          </cell>
          <cell r="AV59"/>
          <cell r="AW59">
            <v>3</v>
          </cell>
          <cell r="AX59">
            <v>25</v>
          </cell>
          <cell r="AY59">
            <v>0</v>
          </cell>
          <cell r="AZ59">
            <v>1</v>
          </cell>
          <cell r="BA59">
            <v>1</v>
          </cell>
          <cell r="BB59"/>
          <cell r="BC59">
            <v>9</v>
          </cell>
          <cell r="BD59">
            <v>24.666666666666668</v>
          </cell>
          <cell r="BE59">
            <v>0</v>
          </cell>
          <cell r="BF59">
            <v>1</v>
          </cell>
          <cell r="BG59">
            <v>1</v>
          </cell>
          <cell r="BH59"/>
          <cell r="BI59">
            <v>3</v>
          </cell>
          <cell r="BJ59">
            <v>25</v>
          </cell>
          <cell r="BK59">
            <v>0</v>
          </cell>
          <cell r="BL59">
            <v>1</v>
          </cell>
          <cell r="BM59">
            <v>1</v>
          </cell>
          <cell r="BN59"/>
          <cell r="BO59">
            <v>3</v>
          </cell>
          <cell r="BP59">
            <v>25</v>
          </cell>
          <cell r="BQ59">
            <v>0</v>
          </cell>
          <cell r="BR59">
            <v>1</v>
          </cell>
          <cell r="BS59">
            <v>1</v>
          </cell>
          <cell r="BT59"/>
          <cell r="BU59">
            <v>4</v>
          </cell>
          <cell r="BV59">
            <v>25.416666666666668</v>
          </cell>
          <cell r="BW59">
            <v>0</v>
          </cell>
          <cell r="BX59">
            <v>1</v>
          </cell>
          <cell r="BY59">
            <v>0</v>
          </cell>
          <cell r="BZ59"/>
          <cell r="CA59">
            <v>5</v>
          </cell>
          <cell r="CB59">
            <v>23.916666666666668</v>
          </cell>
          <cell r="CC59">
            <v>0</v>
          </cell>
          <cell r="CD59">
            <v>1</v>
          </cell>
          <cell r="CE59">
            <v>1</v>
          </cell>
          <cell r="CF59"/>
          <cell r="CG59">
            <v>5</v>
          </cell>
          <cell r="CH59">
            <v>23.833333333333332</v>
          </cell>
          <cell r="CI59">
            <v>0</v>
          </cell>
          <cell r="CJ59">
            <v>1</v>
          </cell>
          <cell r="CK59">
            <v>1</v>
          </cell>
          <cell r="CL59"/>
          <cell r="CM59">
            <v>0</v>
          </cell>
          <cell r="CN59">
            <v>19.916666666666668</v>
          </cell>
          <cell r="CO59">
            <v>0</v>
          </cell>
          <cell r="CP59">
            <v>1</v>
          </cell>
          <cell r="CQ59">
            <v>1</v>
          </cell>
          <cell r="CR59"/>
          <cell r="CS59">
            <v>0</v>
          </cell>
          <cell r="CT59">
            <v>24</v>
          </cell>
          <cell r="CU59">
            <v>0</v>
          </cell>
          <cell r="CV59">
            <v>1</v>
          </cell>
          <cell r="CW59">
            <v>0</v>
          </cell>
          <cell r="CX59"/>
          <cell r="CY59">
            <v>1</v>
          </cell>
          <cell r="CZ59">
            <v>27</v>
          </cell>
          <cell r="DA59">
            <v>0</v>
          </cell>
          <cell r="DB59">
            <v>2</v>
          </cell>
          <cell r="DC59">
            <v>0</v>
          </cell>
          <cell r="DD59"/>
          <cell r="DE59">
            <v>3</v>
          </cell>
          <cell r="DF59">
            <v>20</v>
          </cell>
          <cell r="DG59">
            <v>0</v>
          </cell>
          <cell r="DH59">
            <v>1</v>
          </cell>
          <cell r="DI59">
            <v>2</v>
          </cell>
          <cell r="DJ59"/>
          <cell r="DK59">
            <v>2</v>
          </cell>
        </row>
        <row r="60">
          <cell r="B60" t="str">
            <v>CN0616</v>
          </cell>
          <cell r="C60" t="str">
            <v>Khối sản xuất</v>
          </cell>
          <cell r="D60" t="str">
            <v>Phạm Thành Tiên</v>
          </cell>
          <cell r="E60" t="str">
            <v>SX</v>
          </cell>
          <cell r="F60">
            <v>43976</v>
          </cell>
          <cell r="G60"/>
          <cell r="H60">
            <v>25</v>
          </cell>
          <cell r="I60">
            <v>0</v>
          </cell>
          <cell r="J60">
            <v>1</v>
          </cell>
          <cell r="K60">
            <v>1</v>
          </cell>
          <cell r="L60"/>
          <cell r="M60">
            <v>8</v>
          </cell>
          <cell r="N60">
            <v>26</v>
          </cell>
          <cell r="O60">
            <v>0</v>
          </cell>
          <cell r="P60">
            <v>1</v>
          </cell>
          <cell r="Q60">
            <v>0</v>
          </cell>
          <cell r="R60"/>
          <cell r="S60">
            <v>9</v>
          </cell>
          <cell r="T60" t="e">
            <v>#REF!</v>
          </cell>
          <cell r="U60">
            <v>0</v>
          </cell>
          <cell r="V60" t="e">
            <v>#REF!</v>
          </cell>
          <cell r="W60" t="e">
            <v>#REF!</v>
          </cell>
          <cell r="X60"/>
          <cell r="Y60">
            <v>2</v>
          </cell>
          <cell r="Z60">
            <v>22.25</v>
          </cell>
          <cell r="AA60">
            <v>0</v>
          </cell>
          <cell r="AB60">
            <v>1</v>
          </cell>
          <cell r="AC60">
            <v>1</v>
          </cell>
          <cell r="AD60"/>
          <cell r="AE60">
            <v>2</v>
          </cell>
          <cell r="AF60">
            <v>26</v>
          </cell>
          <cell r="AG60">
            <v>0</v>
          </cell>
          <cell r="AH60">
            <v>1</v>
          </cell>
          <cell r="AI60">
            <v>0</v>
          </cell>
          <cell r="AJ60"/>
          <cell r="AK60">
            <v>3</v>
          </cell>
          <cell r="AL60">
            <v>22</v>
          </cell>
          <cell r="AM60">
            <v>0</v>
          </cell>
          <cell r="AN60">
            <v>1</v>
          </cell>
          <cell r="AO60">
            <v>1</v>
          </cell>
          <cell r="AP60"/>
          <cell r="AQ60">
            <v>3</v>
          </cell>
          <cell r="AR60">
            <v>27</v>
          </cell>
          <cell r="AS60">
            <v>0</v>
          </cell>
          <cell r="AT60">
            <v>1</v>
          </cell>
          <cell r="AU60">
            <v>0</v>
          </cell>
          <cell r="AV60"/>
          <cell r="AW60">
            <v>5</v>
          </cell>
          <cell r="AX60">
            <v>18</v>
          </cell>
          <cell r="AY60">
            <v>0</v>
          </cell>
          <cell r="AZ60">
            <v>1</v>
          </cell>
          <cell r="BA60">
            <v>6</v>
          </cell>
          <cell r="BB60"/>
          <cell r="BC60">
            <v>4</v>
          </cell>
          <cell r="BD60">
            <v>25</v>
          </cell>
          <cell r="BE60">
            <v>0</v>
          </cell>
          <cell r="BF60">
            <v>1</v>
          </cell>
          <cell r="BG60">
            <v>1</v>
          </cell>
          <cell r="BH60"/>
          <cell r="BI60">
            <v>0</v>
          </cell>
          <cell r="BJ60">
            <v>26</v>
          </cell>
          <cell r="BK60">
            <v>0</v>
          </cell>
          <cell r="BL60">
            <v>1</v>
          </cell>
          <cell r="BM60">
            <v>0</v>
          </cell>
          <cell r="BN60"/>
          <cell r="BO60">
            <v>1</v>
          </cell>
          <cell r="BP60">
            <v>26</v>
          </cell>
          <cell r="BQ60">
            <v>0</v>
          </cell>
          <cell r="BR60">
            <v>1</v>
          </cell>
          <cell r="BS60">
            <v>0</v>
          </cell>
          <cell r="BT60"/>
          <cell r="BU60">
            <v>2</v>
          </cell>
          <cell r="BV60">
            <v>26</v>
          </cell>
          <cell r="BW60">
            <v>0</v>
          </cell>
          <cell r="BX60">
            <v>1</v>
          </cell>
          <cell r="BY60">
            <v>0</v>
          </cell>
          <cell r="BZ60"/>
          <cell r="CA60">
            <v>3</v>
          </cell>
          <cell r="CB60">
            <v>25</v>
          </cell>
          <cell r="CC60">
            <v>0</v>
          </cell>
          <cell r="CD60">
            <v>1</v>
          </cell>
          <cell r="CE60">
            <v>1</v>
          </cell>
          <cell r="CF60"/>
          <cell r="CG60">
            <v>3</v>
          </cell>
          <cell r="CH60">
            <v>25</v>
          </cell>
          <cell r="CI60">
            <v>0</v>
          </cell>
          <cell r="CJ60">
            <v>1</v>
          </cell>
          <cell r="CK60">
            <v>0</v>
          </cell>
          <cell r="CL60"/>
          <cell r="CM60">
            <v>1</v>
          </cell>
          <cell r="CN60">
            <v>20.5</v>
          </cell>
          <cell r="CO60">
            <v>0</v>
          </cell>
          <cell r="CP60">
            <v>1</v>
          </cell>
          <cell r="CQ60">
            <v>1</v>
          </cell>
          <cell r="CR60"/>
          <cell r="CS60">
            <v>1</v>
          </cell>
          <cell r="CT60">
            <v>24</v>
          </cell>
          <cell r="CU60">
            <v>0</v>
          </cell>
          <cell r="CV60">
            <v>1</v>
          </cell>
          <cell r="CW60">
            <v>0</v>
          </cell>
          <cell r="CX60"/>
          <cell r="CY60">
            <v>2</v>
          </cell>
          <cell r="CZ60">
            <v>25</v>
          </cell>
          <cell r="DA60">
            <v>0</v>
          </cell>
          <cell r="DB60">
            <v>2</v>
          </cell>
          <cell r="DC60">
            <v>2</v>
          </cell>
          <cell r="DD60"/>
          <cell r="DE60">
            <v>2</v>
          </cell>
          <cell r="DF60">
            <v>25</v>
          </cell>
          <cell r="DG60">
            <v>0</v>
          </cell>
          <cell r="DH60">
            <v>1</v>
          </cell>
          <cell r="DI60">
            <v>0</v>
          </cell>
          <cell r="DJ60"/>
          <cell r="DK60">
            <v>3</v>
          </cell>
        </row>
        <row r="61">
          <cell r="B61" t="str">
            <v>CN0709</v>
          </cell>
          <cell r="C61" t="str">
            <v>Khối sản xuất</v>
          </cell>
          <cell r="D61" t="str">
            <v>Đặng Thị Ngọc Trà</v>
          </cell>
          <cell r="E61" t="str">
            <v>SX</v>
          </cell>
          <cell r="F61">
            <v>44336</v>
          </cell>
          <cell r="G61"/>
          <cell r="H61">
            <v>26</v>
          </cell>
          <cell r="I61">
            <v>0</v>
          </cell>
          <cell r="J61">
            <v>1</v>
          </cell>
          <cell r="K61">
            <v>0</v>
          </cell>
          <cell r="L61"/>
          <cell r="M61">
            <v>6</v>
          </cell>
          <cell r="N61">
            <v>24.833333333333332</v>
          </cell>
          <cell r="O61">
            <v>0</v>
          </cell>
          <cell r="P61">
            <v>1</v>
          </cell>
          <cell r="Q61">
            <v>1</v>
          </cell>
          <cell r="R61"/>
          <cell r="S61">
            <v>6</v>
          </cell>
          <cell r="T61" t="e">
            <v>#REF!</v>
          </cell>
          <cell r="U61">
            <v>0</v>
          </cell>
          <cell r="V61" t="e">
            <v>#REF!</v>
          </cell>
          <cell r="W61" t="e">
            <v>#REF!</v>
          </cell>
          <cell r="X61"/>
          <cell r="Y61">
            <v>2</v>
          </cell>
          <cell r="Z61">
            <v>24</v>
          </cell>
          <cell r="AA61">
            <v>0</v>
          </cell>
          <cell r="AB61">
            <v>1</v>
          </cell>
          <cell r="AC61">
            <v>0</v>
          </cell>
          <cell r="AD61"/>
          <cell r="AE61">
            <v>3</v>
          </cell>
          <cell r="AF61">
            <v>25</v>
          </cell>
          <cell r="AG61">
            <v>0</v>
          </cell>
          <cell r="AH61">
            <v>1</v>
          </cell>
          <cell r="AI61">
            <v>1</v>
          </cell>
          <cell r="AJ61"/>
          <cell r="AK61">
            <v>3</v>
          </cell>
          <cell r="AL61">
            <v>23</v>
          </cell>
          <cell r="AM61">
            <v>0</v>
          </cell>
          <cell r="AN61">
            <v>1</v>
          </cell>
          <cell r="AO61">
            <v>0</v>
          </cell>
          <cell r="AP61"/>
          <cell r="AQ61">
            <v>4</v>
          </cell>
          <cell r="AR61">
            <v>27</v>
          </cell>
          <cell r="AS61">
            <v>0</v>
          </cell>
          <cell r="AT61">
            <v>1</v>
          </cell>
          <cell r="AU61">
            <v>0</v>
          </cell>
          <cell r="AV61"/>
          <cell r="AW61">
            <v>5</v>
          </cell>
          <cell r="AX61">
            <v>26</v>
          </cell>
          <cell r="AY61">
            <v>0</v>
          </cell>
          <cell r="AZ61">
            <v>1</v>
          </cell>
          <cell r="BA61">
            <v>0</v>
          </cell>
          <cell r="BB61"/>
          <cell r="BC61">
            <v>17</v>
          </cell>
          <cell r="BD61">
            <v>24.416666666666668</v>
          </cell>
          <cell r="BE61">
            <v>0</v>
          </cell>
          <cell r="BF61">
            <v>1</v>
          </cell>
          <cell r="BG61">
            <v>1</v>
          </cell>
          <cell r="BH61"/>
          <cell r="BI61">
            <v>6</v>
          </cell>
          <cell r="BJ61">
            <v>26</v>
          </cell>
          <cell r="BK61">
            <v>0</v>
          </cell>
          <cell r="BL61">
            <v>1</v>
          </cell>
          <cell r="BM61">
            <v>0</v>
          </cell>
          <cell r="BN61"/>
          <cell r="BO61">
            <v>7</v>
          </cell>
          <cell r="BP61">
            <v>26</v>
          </cell>
          <cell r="BQ61">
            <v>0</v>
          </cell>
          <cell r="BR61">
            <v>1</v>
          </cell>
          <cell r="BS61">
            <v>0</v>
          </cell>
          <cell r="BT61"/>
          <cell r="BU61">
            <v>8</v>
          </cell>
          <cell r="BV61">
            <v>26</v>
          </cell>
          <cell r="BW61">
            <v>0</v>
          </cell>
          <cell r="BX61">
            <v>1</v>
          </cell>
          <cell r="BY61">
            <v>0</v>
          </cell>
          <cell r="BZ61"/>
          <cell r="CA61">
            <v>9</v>
          </cell>
          <cell r="CB61">
            <v>25.583333333333332</v>
          </cell>
          <cell r="CC61">
            <v>0</v>
          </cell>
          <cell r="CD61">
            <v>1</v>
          </cell>
          <cell r="CE61">
            <v>0</v>
          </cell>
          <cell r="CF61"/>
          <cell r="CG61">
            <v>10</v>
          </cell>
          <cell r="CH61">
            <v>25</v>
          </cell>
          <cell r="CI61">
            <v>0</v>
          </cell>
          <cell r="CJ61">
            <v>1</v>
          </cell>
          <cell r="CK61">
            <v>0</v>
          </cell>
          <cell r="CL61"/>
          <cell r="CM61">
            <v>1</v>
          </cell>
          <cell r="CN61">
            <v>20</v>
          </cell>
          <cell r="CO61">
            <v>0</v>
          </cell>
          <cell r="CP61">
            <v>1</v>
          </cell>
          <cell r="CQ61">
            <v>2</v>
          </cell>
          <cell r="CR61"/>
          <cell r="CS61">
            <v>0</v>
          </cell>
          <cell r="CT61">
            <v>24</v>
          </cell>
          <cell r="CU61">
            <v>0</v>
          </cell>
          <cell r="CV61">
            <v>1</v>
          </cell>
          <cell r="CW61">
            <v>0</v>
          </cell>
          <cell r="CX61"/>
          <cell r="CY61">
            <v>1</v>
          </cell>
          <cell r="CZ61">
            <v>27</v>
          </cell>
          <cell r="DA61">
            <v>0</v>
          </cell>
          <cell r="DB61">
            <v>2</v>
          </cell>
          <cell r="DC61">
            <v>0</v>
          </cell>
          <cell r="DD61"/>
          <cell r="DE61">
            <v>3</v>
          </cell>
          <cell r="DF61">
            <v>22.833333333333332</v>
          </cell>
          <cell r="DG61">
            <v>0</v>
          </cell>
          <cell r="DH61">
            <v>1</v>
          </cell>
          <cell r="DI61">
            <v>0</v>
          </cell>
          <cell r="DJ61"/>
          <cell r="DK61">
            <v>4</v>
          </cell>
        </row>
        <row r="62">
          <cell r="B62" t="str">
            <v>CN0736</v>
          </cell>
          <cell r="C62" t="str">
            <v>Khối sản xuất</v>
          </cell>
          <cell r="D62" t="str">
            <v>Lý Thị Kim Tinh</v>
          </cell>
          <cell r="E62" t="str">
            <v>SX</v>
          </cell>
          <cell r="F62">
            <v>44511</v>
          </cell>
          <cell r="G62"/>
          <cell r="H62">
            <v>26</v>
          </cell>
          <cell r="I62">
            <v>0</v>
          </cell>
          <cell r="J62">
            <v>1</v>
          </cell>
          <cell r="K62">
            <v>0</v>
          </cell>
          <cell r="L62"/>
          <cell r="M62">
            <v>1</v>
          </cell>
          <cell r="N62">
            <v>25</v>
          </cell>
          <cell r="O62">
            <v>0</v>
          </cell>
          <cell r="P62">
            <v>1</v>
          </cell>
          <cell r="Q62">
            <v>1</v>
          </cell>
          <cell r="R62"/>
          <cell r="S62">
            <v>1</v>
          </cell>
          <cell r="T62" t="e">
            <v>#REF!</v>
          </cell>
          <cell r="U62">
            <v>0</v>
          </cell>
          <cell r="V62" t="e">
            <v>#REF!</v>
          </cell>
          <cell r="W62" t="e">
            <v>#REF!</v>
          </cell>
          <cell r="X62"/>
          <cell r="Y62">
            <v>2</v>
          </cell>
          <cell r="Z62">
            <v>22</v>
          </cell>
          <cell r="AA62">
            <v>0</v>
          </cell>
          <cell r="AB62">
            <v>1</v>
          </cell>
          <cell r="AC62">
            <v>2</v>
          </cell>
          <cell r="AD62"/>
          <cell r="AE62">
            <v>1</v>
          </cell>
          <cell r="AF62">
            <v>23</v>
          </cell>
          <cell r="AG62">
            <v>0</v>
          </cell>
          <cell r="AH62">
            <v>1</v>
          </cell>
          <cell r="AI62">
            <v>2</v>
          </cell>
          <cell r="AJ62"/>
          <cell r="AK62">
            <v>0</v>
          </cell>
          <cell r="AL62">
            <v>22</v>
          </cell>
          <cell r="AM62">
            <v>0</v>
          </cell>
          <cell r="AN62">
            <v>1</v>
          </cell>
          <cell r="AO62">
            <v>1</v>
          </cell>
          <cell r="AP62"/>
          <cell r="AQ62">
            <v>0</v>
          </cell>
          <cell r="AR62">
            <v>26</v>
          </cell>
          <cell r="AS62">
            <v>0</v>
          </cell>
          <cell r="AT62">
            <v>1</v>
          </cell>
          <cell r="AU62">
            <v>1</v>
          </cell>
          <cell r="AV62"/>
          <cell r="AW62">
            <v>0</v>
          </cell>
          <cell r="AX62">
            <v>24.833333333333336</v>
          </cell>
          <cell r="AY62">
            <v>0</v>
          </cell>
          <cell r="AZ62">
            <v>1</v>
          </cell>
          <cell r="BA62">
            <v>1</v>
          </cell>
          <cell r="BB62"/>
          <cell r="BC62">
            <v>1</v>
          </cell>
          <cell r="BD62">
            <v>25</v>
          </cell>
          <cell r="BE62">
            <v>0</v>
          </cell>
          <cell r="BF62">
            <v>1</v>
          </cell>
          <cell r="BG62">
            <v>1</v>
          </cell>
          <cell r="BH62"/>
          <cell r="BI62">
            <v>0</v>
          </cell>
          <cell r="BJ62">
            <v>25</v>
          </cell>
          <cell r="BK62">
            <v>0</v>
          </cell>
          <cell r="BL62">
            <v>1</v>
          </cell>
          <cell r="BM62">
            <v>1</v>
          </cell>
          <cell r="BN62"/>
          <cell r="BO62">
            <v>0</v>
          </cell>
          <cell r="BP62">
            <v>25</v>
          </cell>
          <cell r="BQ62">
            <v>0</v>
          </cell>
          <cell r="BR62">
            <v>1</v>
          </cell>
          <cell r="BS62">
            <v>1</v>
          </cell>
          <cell r="BT62"/>
          <cell r="BU62">
            <v>1</v>
          </cell>
          <cell r="BV62">
            <v>24</v>
          </cell>
          <cell r="BW62">
            <v>0</v>
          </cell>
          <cell r="BX62">
            <v>1</v>
          </cell>
          <cell r="BY62">
            <v>2</v>
          </cell>
          <cell r="BZ62"/>
          <cell r="CA62">
            <v>0</v>
          </cell>
          <cell r="CB62">
            <v>26</v>
          </cell>
          <cell r="CC62">
            <v>0</v>
          </cell>
          <cell r="CD62">
            <v>1</v>
          </cell>
          <cell r="CE62">
            <v>0</v>
          </cell>
          <cell r="CF62"/>
          <cell r="CG62">
            <v>1</v>
          </cell>
          <cell r="CH62">
            <v>24</v>
          </cell>
          <cell r="CI62">
            <v>0</v>
          </cell>
          <cell r="CJ62">
            <v>1</v>
          </cell>
          <cell r="CK62">
            <v>1</v>
          </cell>
          <cell r="CL62"/>
          <cell r="CM62">
            <v>0</v>
          </cell>
          <cell r="CN62">
            <v>21</v>
          </cell>
          <cell r="CO62">
            <v>0</v>
          </cell>
          <cell r="CP62">
            <v>1</v>
          </cell>
          <cell r="CQ62">
            <v>1</v>
          </cell>
          <cell r="CR62"/>
          <cell r="CS62">
            <v>0</v>
          </cell>
          <cell r="CT62">
            <v>24</v>
          </cell>
          <cell r="CU62">
            <v>0</v>
          </cell>
          <cell r="CV62">
            <v>1</v>
          </cell>
          <cell r="CW62">
            <v>0</v>
          </cell>
          <cell r="CX62"/>
          <cell r="CY62">
            <v>1</v>
          </cell>
          <cell r="CZ62">
            <v>25</v>
          </cell>
          <cell r="DA62">
            <v>0</v>
          </cell>
          <cell r="DB62">
            <v>1</v>
          </cell>
          <cell r="DC62">
            <v>2</v>
          </cell>
          <cell r="DD62"/>
          <cell r="DE62">
            <v>0</v>
          </cell>
          <cell r="DF62">
            <v>25</v>
          </cell>
          <cell r="DG62">
            <v>0</v>
          </cell>
          <cell r="DH62">
            <v>1</v>
          </cell>
          <cell r="DI62">
            <v>0</v>
          </cell>
          <cell r="DJ62"/>
          <cell r="DK62">
            <v>1</v>
          </cell>
        </row>
        <row r="63">
          <cell r="B63" t="str">
            <v>CN0748</v>
          </cell>
          <cell r="C63" t="str">
            <v>Khối sản xuất</v>
          </cell>
          <cell r="D63" t="str">
            <v>Lê Văn Tỏa</v>
          </cell>
          <cell r="E63" t="str">
            <v>SX</v>
          </cell>
          <cell r="F63">
            <v>42074</v>
          </cell>
          <cell r="G63"/>
          <cell r="H63">
            <v>26</v>
          </cell>
          <cell r="I63">
            <v>0</v>
          </cell>
          <cell r="J63">
            <v>1</v>
          </cell>
          <cell r="K63">
            <v>0</v>
          </cell>
          <cell r="L63"/>
          <cell r="M63">
            <v>1</v>
          </cell>
          <cell r="N63">
            <v>24</v>
          </cell>
          <cell r="O63">
            <v>0</v>
          </cell>
          <cell r="P63">
            <v>1</v>
          </cell>
          <cell r="Q63">
            <v>2</v>
          </cell>
          <cell r="R63"/>
          <cell r="S63">
            <v>0</v>
          </cell>
          <cell r="T63" t="e">
            <v>#REF!</v>
          </cell>
          <cell r="U63">
            <v>0</v>
          </cell>
          <cell r="V63" t="e">
            <v>#REF!</v>
          </cell>
          <cell r="W63" t="e">
            <v>#REF!</v>
          </cell>
          <cell r="X63"/>
          <cell r="Y63">
            <v>1</v>
          </cell>
          <cell r="Z63">
            <v>23</v>
          </cell>
          <cell r="AA63">
            <v>0</v>
          </cell>
          <cell r="AB63">
            <v>1</v>
          </cell>
          <cell r="AC63">
            <v>1</v>
          </cell>
          <cell r="AD63"/>
          <cell r="AE63">
            <v>1</v>
          </cell>
          <cell r="AF63">
            <v>26</v>
          </cell>
          <cell r="AG63">
            <v>0</v>
          </cell>
          <cell r="AH63">
            <v>1</v>
          </cell>
          <cell r="AI63">
            <v>0</v>
          </cell>
          <cell r="AJ63"/>
          <cell r="AK63">
            <v>2</v>
          </cell>
          <cell r="AL63">
            <v>22.916666666666668</v>
          </cell>
          <cell r="AM63">
            <v>0</v>
          </cell>
          <cell r="AN63">
            <v>1</v>
          </cell>
          <cell r="AO63">
            <v>0</v>
          </cell>
          <cell r="AP63"/>
          <cell r="AQ63">
            <v>3</v>
          </cell>
          <cell r="AR63">
            <v>26</v>
          </cell>
          <cell r="AS63">
            <v>0</v>
          </cell>
          <cell r="AT63">
            <v>1</v>
          </cell>
          <cell r="AU63">
            <v>1</v>
          </cell>
          <cell r="AV63"/>
          <cell r="AW63">
            <v>5</v>
          </cell>
          <cell r="AX63">
            <v>21.5</v>
          </cell>
          <cell r="AY63">
            <v>0</v>
          </cell>
          <cell r="AZ63">
            <v>1</v>
          </cell>
          <cell r="BA63">
            <v>4</v>
          </cell>
          <cell r="BB63"/>
          <cell r="BC63">
            <v>7</v>
          </cell>
          <cell r="BD63">
            <v>26</v>
          </cell>
          <cell r="BE63">
            <v>0</v>
          </cell>
          <cell r="BF63">
            <v>1</v>
          </cell>
          <cell r="BG63">
            <v>0</v>
          </cell>
          <cell r="BH63"/>
          <cell r="BI63">
            <v>3</v>
          </cell>
          <cell r="BJ63">
            <v>25</v>
          </cell>
          <cell r="BK63">
            <v>0</v>
          </cell>
          <cell r="BL63">
            <v>1</v>
          </cell>
          <cell r="BM63">
            <v>1</v>
          </cell>
          <cell r="BN63"/>
          <cell r="BO63">
            <v>2</v>
          </cell>
          <cell r="BP63">
            <v>25</v>
          </cell>
          <cell r="BQ63">
            <v>0</v>
          </cell>
          <cell r="BR63">
            <v>1</v>
          </cell>
          <cell r="BS63">
            <v>1</v>
          </cell>
          <cell r="BT63"/>
          <cell r="BU63">
            <v>3</v>
          </cell>
          <cell r="BV63">
            <v>24</v>
          </cell>
          <cell r="BW63">
            <v>0</v>
          </cell>
          <cell r="BX63">
            <v>1</v>
          </cell>
          <cell r="BY63">
            <v>2</v>
          </cell>
          <cell r="BZ63"/>
          <cell r="CA63">
            <v>2</v>
          </cell>
          <cell r="CB63">
            <v>26</v>
          </cell>
          <cell r="CC63">
            <v>0</v>
          </cell>
          <cell r="CD63">
            <v>1</v>
          </cell>
          <cell r="CE63">
            <v>0</v>
          </cell>
          <cell r="CF63"/>
          <cell r="CG63">
            <v>3</v>
          </cell>
          <cell r="CH63">
            <v>23</v>
          </cell>
          <cell r="CI63">
            <v>0</v>
          </cell>
          <cell r="CJ63">
            <v>1</v>
          </cell>
          <cell r="CK63">
            <v>1</v>
          </cell>
          <cell r="CL63"/>
          <cell r="CM63">
            <v>0</v>
          </cell>
          <cell r="CN63">
            <v>20</v>
          </cell>
          <cell r="CO63">
            <v>0</v>
          </cell>
          <cell r="CP63">
            <v>1</v>
          </cell>
          <cell r="CQ63">
            <v>1</v>
          </cell>
          <cell r="CR63"/>
          <cell r="CS63">
            <v>0</v>
          </cell>
          <cell r="CT63">
            <v>23</v>
          </cell>
          <cell r="CU63">
            <v>0</v>
          </cell>
          <cell r="CV63">
            <v>1</v>
          </cell>
          <cell r="CW63">
            <v>1</v>
          </cell>
          <cell r="CX63"/>
          <cell r="CY63">
            <v>0</v>
          </cell>
          <cell r="CZ63">
            <v>27</v>
          </cell>
          <cell r="DA63">
            <v>0</v>
          </cell>
          <cell r="DB63">
            <v>3</v>
          </cell>
          <cell r="DC63">
            <v>0</v>
          </cell>
          <cell r="DD63"/>
          <cell r="DE63">
            <v>3</v>
          </cell>
          <cell r="DF63">
            <v>24</v>
          </cell>
          <cell r="DG63">
            <v>0</v>
          </cell>
          <cell r="DH63">
            <v>1</v>
          </cell>
          <cell r="DI63">
            <v>1</v>
          </cell>
          <cell r="DJ63"/>
          <cell r="DK63">
            <v>3</v>
          </cell>
        </row>
        <row r="64">
          <cell r="B64" t="str">
            <v>CN0749</v>
          </cell>
          <cell r="C64" t="str">
            <v>Khối sản xuất</v>
          </cell>
          <cell r="D64" t="str">
            <v>Chay Hoàng Sơn</v>
          </cell>
          <cell r="E64" t="str">
            <v>SX</v>
          </cell>
          <cell r="F64">
            <v>41478</v>
          </cell>
          <cell r="G64"/>
          <cell r="H64">
            <v>26</v>
          </cell>
          <cell r="I64">
            <v>0</v>
          </cell>
          <cell r="J64">
            <v>1</v>
          </cell>
          <cell r="K64">
            <v>0</v>
          </cell>
          <cell r="L64"/>
          <cell r="M64">
            <v>6</v>
          </cell>
          <cell r="N64">
            <v>26</v>
          </cell>
          <cell r="O64">
            <v>0</v>
          </cell>
          <cell r="P64">
            <v>1</v>
          </cell>
          <cell r="Q64">
            <v>0</v>
          </cell>
          <cell r="R64"/>
          <cell r="S64">
            <v>7</v>
          </cell>
          <cell r="T64" t="e">
            <v>#REF!</v>
          </cell>
          <cell r="U64">
            <v>0</v>
          </cell>
          <cell r="V64" t="e">
            <v>#REF!</v>
          </cell>
          <cell r="W64" t="e">
            <v>#REF!</v>
          </cell>
          <cell r="X64"/>
          <cell r="Y64">
            <v>2</v>
          </cell>
          <cell r="Z64">
            <v>24</v>
          </cell>
          <cell r="AA64">
            <v>0</v>
          </cell>
          <cell r="AB64">
            <v>1</v>
          </cell>
          <cell r="AC64">
            <v>0</v>
          </cell>
          <cell r="AD64"/>
          <cell r="AE64">
            <v>3</v>
          </cell>
          <cell r="AF64">
            <v>26</v>
          </cell>
          <cell r="AG64">
            <v>0</v>
          </cell>
          <cell r="AH64">
            <v>1</v>
          </cell>
          <cell r="AI64">
            <v>0</v>
          </cell>
          <cell r="AJ64"/>
          <cell r="AK64">
            <v>4</v>
          </cell>
          <cell r="AL64">
            <v>23</v>
          </cell>
          <cell r="AM64">
            <v>0</v>
          </cell>
          <cell r="AN64">
            <v>1</v>
          </cell>
          <cell r="AO64">
            <v>0</v>
          </cell>
          <cell r="AP64"/>
          <cell r="AQ64">
            <v>5</v>
          </cell>
          <cell r="AR64">
            <v>27</v>
          </cell>
          <cell r="AS64">
            <v>0</v>
          </cell>
          <cell r="AT64">
            <v>1</v>
          </cell>
          <cell r="AU64">
            <v>0</v>
          </cell>
          <cell r="AV64"/>
          <cell r="AW64">
            <v>8</v>
          </cell>
          <cell r="AX64">
            <v>25</v>
          </cell>
          <cell r="AY64">
            <v>0</v>
          </cell>
          <cell r="AZ64">
            <v>1</v>
          </cell>
          <cell r="BA64">
            <v>1</v>
          </cell>
          <cell r="BB64"/>
          <cell r="BC64">
            <v>18</v>
          </cell>
          <cell r="BD64">
            <v>26</v>
          </cell>
          <cell r="BE64">
            <v>0</v>
          </cell>
          <cell r="BF64">
            <v>1</v>
          </cell>
          <cell r="BG64">
            <v>0</v>
          </cell>
          <cell r="BH64"/>
          <cell r="BI64">
            <v>9</v>
          </cell>
          <cell r="BJ64">
            <v>26</v>
          </cell>
          <cell r="BK64">
            <v>0</v>
          </cell>
          <cell r="BL64">
            <v>1</v>
          </cell>
          <cell r="BM64">
            <v>0</v>
          </cell>
          <cell r="BN64"/>
          <cell r="BO64">
            <v>9</v>
          </cell>
          <cell r="BP64">
            <v>26</v>
          </cell>
          <cell r="BQ64">
            <v>0</v>
          </cell>
          <cell r="BR64">
            <v>1</v>
          </cell>
          <cell r="BS64">
            <v>0</v>
          </cell>
          <cell r="BT64"/>
          <cell r="BU64">
            <v>10</v>
          </cell>
          <cell r="BV64">
            <v>22</v>
          </cell>
          <cell r="BW64">
            <v>0</v>
          </cell>
          <cell r="BX64">
            <v>1</v>
          </cell>
          <cell r="BY64">
            <v>4</v>
          </cell>
          <cell r="BZ64"/>
          <cell r="CA64">
            <v>7</v>
          </cell>
          <cell r="CB64">
            <v>26</v>
          </cell>
          <cell r="CC64">
            <v>0</v>
          </cell>
          <cell r="CD64">
            <v>1</v>
          </cell>
          <cell r="CE64">
            <v>0</v>
          </cell>
          <cell r="CF64"/>
          <cell r="CG64">
            <v>8</v>
          </cell>
          <cell r="CH64">
            <v>25</v>
          </cell>
          <cell r="CI64">
            <v>0</v>
          </cell>
          <cell r="CJ64">
            <v>1</v>
          </cell>
          <cell r="CK64">
            <v>0</v>
          </cell>
          <cell r="CL64"/>
          <cell r="CM64">
            <v>1</v>
          </cell>
          <cell r="CN64">
            <v>20</v>
          </cell>
          <cell r="CO64">
            <v>0</v>
          </cell>
          <cell r="CP64">
            <v>1</v>
          </cell>
          <cell r="CQ64">
            <v>2</v>
          </cell>
          <cell r="CR64"/>
          <cell r="CS64">
            <v>0</v>
          </cell>
          <cell r="CT64">
            <v>24</v>
          </cell>
          <cell r="CU64">
            <v>0</v>
          </cell>
          <cell r="CV64">
            <v>1</v>
          </cell>
          <cell r="CW64">
            <v>0</v>
          </cell>
          <cell r="CX64"/>
          <cell r="CY64">
            <v>1</v>
          </cell>
          <cell r="CZ64">
            <v>27</v>
          </cell>
          <cell r="DA64">
            <v>0</v>
          </cell>
          <cell r="DB64">
            <v>3</v>
          </cell>
          <cell r="DC64">
            <v>0</v>
          </cell>
          <cell r="DD64"/>
          <cell r="DE64">
            <v>4</v>
          </cell>
          <cell r="DF64">
            <v>21</v>
          </cell>
          <cell r="DG64">
            <v>0</v>
          </cell>
          <cell r="DH64">
            <v>1</v>
          </cell>
          <cell r="DI64">
            <v>1</v>
          </cell>
          <cell r="DJ64"/>
          <cell r="DK64">
            <v>4</v>
          </cell>
        </row>
        <row r="65">
          <cell r="B65" t="str">
            <v>CN0576</v>
          </cell>
          <cell r="C65" t="str">
            <v>Khối sản xuất</v>
          </cell>
          <cell r="D65" t="str">
            <v>Trương Thái Hoàng Phong</v>
          </cell>
          <cell r="E65" t="str">
            <v>SX</v>
          </cell>
          <cell r="F65">
            <v>43906</v>
          </cell>
          <cell r="G65"/>
          <cell r="H65">
            <v>26</v>
          </cell>
          <cell r="I65">
            <v>0</v>
          </cell>
          <cell r="J65">
            <v>1</v>
          </cell>
          <cell r="K65">
            <v>0</v>
          </cell>
          <cell r="L65"/>
          <cell r="M65">
            <v>2</v>
          </cell>
          <cell r="N65">
            <v>25</v>
          </cell>
          <cell r="O65">
            <v>0</v>
          </cell>
          <cell r="P65">
            <v>1</v>
          </cell>
          <cell r="Q65">
            <v>1</v>
          </cell>
          <cell r="R65"/>
          <cell r="S65">
            <v>2</v>
          </cell>
          <cell r="T65" t="e">
            <v>#REF!</v>
          </cell>
          <cell r="U65">
            <v>0</v>
          </cell>
          <cell r="V65" t="e">
            <v>#REF!</v>
          </cell>
          <cell r="W65" t="e">
            <v>#REF!</v>
          </cell>
          <cell r="X65"/>
          <cell r="Y65">
            <v>2</v>
          </cell>
          <cell r="Z65">
            <v>24</v>
          </cell>
          <cell r="AA65">
            <v>0</v>
          </cell>
          <cell r="AB65">
            <v>1</v>
          </cell>
          <cell r="AC65">
            <v>0</v>
          </cell>
          <cell r="AD65"/>
          <cell r="AE65">
            <v>3</v>
          </cell>
          <cell r="AF65">
            <v>26</v>
          </cell>
          <cell r="AG65">
            <v>0</v>
          </cell>
          <cell r="AH65">
            <v>1</v>
          </cell>
          <cell r="AI65">
            <v>0</v>
          </cell>
          <cell r="AJ65"/>
          <cell r="AK65">
            <v>4</v>
          </cell>
          <cell r="AL65">
            <v>23</v>
          </cell>
          <cell r="AM65">
            <v>0</v>
          </cell>
          <cell r="AN65">
            <v>1</v>
          </cell>
          <cell r="AO65">
            <v>0</v>
          </cell>
          <cell r="AP65"/>
          <cell r="AQ65">
            <v>5</v>
          </cell>
          <cell r="AR65">
            <v>24</v>
          </cell>
          <cell r="AS65">
            <v>0</v>
          </cell>
          <cell r="AT65">
            <v>1</v>
          </cell>
          <cell r="AU65">
            <v>3</v>
          </cell>
          <cell r="AV65"/>
          <cell r="AW65">
            <v>4</v>
          </cell>
          <cell r="AX65">
            <v>26</v>
          </cell>
          <cell r="AY65">
            <v>0</v>
          </cell>
          <cell r="AZ65">
            <v>1</v>
          </cell>
          <cell r="BA65">
            <v>0</v>
          </cell>
          <cell r="BB65"/>
          <cell r="BC65">
            <v>15</v>
          </cell>
          <cell r="BD65">
            <v>26</v>
          </cell>
          <cell r="BE65">
            <v>0</v>
          </cell>
          <cell r="BF65">
            <v>1</v>
          </cell>
          <cell r="BG65">
            <v>0</v>
          </cell>
          <cell r="BH65"/>
          <cell r="BI65">
            <v>6</v>
          </cell>
          <cell r="BJ65">
            <v>26</v>
          </cell>
          <cell r="BK65">
            <v>0</v>
          </cell>
          <cell r="BL65">
            <v>1</v>
          </cell>
          <cell r="BM65">
            <v>0</v>
          </cell>
          <cell r="BN65"/>
          <cell r="BO65">
            <v>6</v>
          </cell>
          <cell r="BP65">
            <v>26</v>
          </cell>
          <cell r="BQ65">
            <v>0</v>
          </cell>
          <cell r="BR65">
            <v>1</v>
          </cell>
          <cell r="BS65">
            <v>0</v>
          </cell>
          <cell r="BT65"/>
          <cell r="BU65">
            <v>7</v>
          </cell>
          <cell r="BV65">
            <v>26</v>
          </cell>
          <cell r="BW65">
            <v>0</v>
          </cell>
          <cell r="BX65">
            <v>1</v>
          </cell>
          <cell r="BY65">
            <v>0</v>
          </cell>
          <cell r="BZ65"/>
          <cell r="CA65">
            <v>8</v>
          </cell>
          <cell r="CB65">
            <v>26</v>
          </cell>
          <cell r="CC65">
            <v>0</v>
          </cell>
          <cell r="CD65">
            <v>1</v>
          </cell>
          <cell r="CE65">
            <v>0</v>
          </cell>
          <cell r="CF65"/>
          <cell r="CG65">
            <v>9</v>
          </cell>
          <cell r="CH65">
            <v>26</v>
          </cell>
          <cell r="CI65">
            <v>0</v>
          </cell>
          <cell r="CJ65">
            <v>1</v>
          </cell>
          <cell r="CK65">
            <v>0</v>
          </cell>
          <cell r="CL65"/>
          <cell r="CM65">
            <v>1</v>
          </cell>
          <cell r="CN65">
            <v>21</v>
          </cell>
          <cell r="CO65">
            <v>0</v>
          </cell>
          <cell r="CP65">
            <v>1</v>
          </cell>
          <cell r="CQ65">
            <v>1</v>
          </cell>
          <cell r="CR65"/>
          <cell r="CS65">
            <v>1</v>
          </cell>
          <cell r="CT65">
            <v>22</v>
          </cell>
          <cell r="CU65">
            <v>0</v>
          </cell>
          <cell r="CV65">
            <v>1</v>
          </cell>
          <cell r="CW65">
            <v>1</v>
          </cell>
          <cell r="CX65"/>
          <cell r="CY65">
            <v>1</v>
          </cell>
          <cell r="CZ65">
            <v>26</v>
          </cell>
          <cell r="DA65">
            <v>0</v>
          </cell>
          <cell r="DB65">
            <v>2</v>
          </cell>
          <cell r="DC65">
            <v>1</v>
          </cell>
          <cell r="DD65"/>
          <cell r="DE65">
            <v>2</v>
          </cell>
          <cell r="DF65">
            <v>25</v>
          </cell>
          <cell r="DG65">
            <v>0</v>
          </cell>
          <cell r="DH65">
            <v>1</v>
          </cell>
          <cell r="DI65">
            <v>0</v>
          </cell>
          <cell r="DJ65"/>
          <cell r="DK65">
            <v>3</v>
          </cell>
        </row>
        <row r="66">
          <cell r="B66" t="str">
            <v>CN0760</v>
          </cell>
          <cell r="C66" t="str">
            <v>Khối sản xuất</v>
          </cell>
          <cell r="D66" t="str">
            <v>Nguyễn Thị Tình</v>
          </cell>
          <cell r="E66" t="str">
            <v>SX</v>
          </cell>
          <cell r="F66">
            <v>44552</v>
          </cell>
          <cell r="G66"/>
          <cell r="H66">
            <v>26</v>
          </cell>
          <cell r="I66">
            <v>0</v>
          </cell>
          <cell r="J66">
            <v>1</v>
          </cell>
          <cell r="K66">
            <v>0</v>
          </cell>
          <cell r="L66"/>
          <cell r="M66">
            <v>11</v>
          </cell>
          <cell r="N66">
            <v>25.3</v>
          </cell>
          <cell r="O66">
            <v>0</v>
          </cell>
          <cell r="P66">
            <v>1</v>
          </cell>
          <cell r="Q66">
            <v>0.5</v>
          </cell>
          <cell r="R66"/>
          <cell r="S66">
            <v>11.5</v>
          </cell>
          <cell r="T66" t="e">
            <v>#REF!</v>
          </cell>
          <cell r="U66">
            <v>0</v>
          </cell>
          <cell r="V66" t="e">
            <v>#REF!</v>
          </cell>
          <cell r="W66" t="e">
            <v>#REF!</v>
          </cell>
          <cell r="X66"/>
          <cell r="Y66">
            <v>2</v>
          </cell>
          <cell r="Z66">
            <v>24</v>
          </cell>
          <cell r="AA66">
            <v>0</v>
          </cell>
          <cell r="AB66">
            <v>1</v>
          </cell>
          <cell r="AC66">
            <v>0</v>
          </cell>
          <cell r="AD66"/>
          <cell r="AE66">
            <v>3</v>
          </cell>
          <cell r="AF66">
            <v>26</v>
          </cell>
          <cell r="AG66">
            <v>0</v>
          </cell>
          <cell r="AH66">
            <v>1</v>
          </cell>
          <cell r="AI66">
            <v>0</v>
          </cell>
          <cell r="AJ66"/>
          <cell r="AK66">
            <v>4</v>
          </cell>
          <cell r="AL66">
            <v>23</v>
          </cell>
          <cell r="AM66">
            <v>0</v>
          </cell>
          <cell r="AN66">
            <v>1</v>
          </cell>
          <cell r="AO66">
            <v>0</v>
          </cell>
          <cell r="AP66"/>
          <cell r="AQ66">
            <v>5</v>
          </cell>
          <cell r="AR66">
            <v>27</v>
          </cell>
          <cell r="AS66">
            <v>0</v>
          </cell>
          <cell r="AT66">
            <v>1</v>
          </cell>
          <cell r="AU66">
            <v>0</v>
          </cell>
          <cell r="AV66"/>
          <cell r="AW66">
            <v>6</v>
          </cell>
          <cell r="AX66">
            <v>26</v>
          </cell>
          <cell r="AY66">
            <v>0</v>
          </cell>
          <cell r="AZ66">
            <v>1</v>
          </cell>
          <cell r="BA66">
            <v>0</v>
          </cell>
          <cell r="BB66"/>
          <cell r="BC66">
            <v>7</v>
          </cell>
          <cell r="BD66">
            <v>25</v>
          </cell>
          <cell r="BE66">
            <v>0</v>
          </cell>
          <cell r="BF66">
            <v>1</v>
          </cell>
          <cell r="BG66">
            <v>1</v>
          </cell>
          <cell r="BH66"/>
          <cell r="BI66">
            <v>7</v>
          </cell>
          <cell r="BJ66">
            <v>26</v>
          </cell>
          <cell r="BK66">
            <v>0</v>
          </cell>
          <cell r="BL66">
            <v>1</v>
          </cell>
          <cell r="BM66">
            <v>0</v>
          </cell>
          <cell r="BN66"/>
          <cell r="BO66">
            <v>8</v>
          </cell>
          <cell r="BP66">
            <v>26</v>
          </cell>
          <cell r="BQ66">
            <v>0</v>
          </cell>
          <cell r="BR66">
            <v>1</v>
          </cell>
          <cell r="BS66">
            <v>0</v>
          </cell>
          <cell r="BT66"/>
          <cell r="BU66">
            <v>9</v>
          </cell>
          <cell r="BV66">
            <v>26</v>
          </cell>
          <cell r="BW66">
            <v>0</v>
          </cell>
          <cell r="BX66">
            <v>1</v>
          </cell>
          <cell r="BY66">
            <v>0</v>
          </cell>
          <cell r="BZ66"/>
          <cell r="CA66">
            <v>10</v>
          </cell>
          <cell r="CB66">
            <v>26</v>
          </cell>
          <cell r="CC66">
            <v>0</v>
          </cell>
          <cell r="CD66">
            <v>1</v>
          </cell>
          <cell r="CE66">
            <v>0</v>
          </cell>
          <cell r="CF66"/>
          <cell r="CG66">
            <v>11</v>
          </cell>
          <cell r="CH66">
            <v>20</v>
          </cell>
          <cell r="CI66">
            <v>0</v>
          </cell>
          <cell r="CJ66">
            <v>1</v>
          </cell>
          <cell r="CK66">
            <v>5</v>
          </cell>
          <cell r="CL66"/>
          <cell r="CM66">
            <v>-4</v>
          </cell>
          <cell r="CN66">
            <v>20</v>
          </cell>
          <cell r="CO66">
            <v>0</v>
          </cell>
          <cell r="CP66">
            <v>1</v>
          </cell>
          <cell r="CQ66">
            <v>1</v>
          </cell>
          <cell r="CR66"/>
          <cell r="CS66">
            <v>-4</v>
          </cell>
          <cell r="CT66">
            <v>24</v>
          </cell>
          <cell r="CU66">
            <v>0</v>
          </cell>
          <cell r="CV66">
            <v>1</v>
          </cell>
          <cell r="CW66">
            <v>0</v>
          </cell>
          <cell r="CX66"/>
          <cell r="CY66">
            <v>-3</v>
          </cell>
          <cell r="CZ66">
            <v>27</v>
          </cell>
          <cell r="DA66">
            <v>0</v>
          </cell>
          <cell r="DB66">
            <v>1</v>
          </cell>
          <cell r="DC66">
            <v>0</v>
          </cell>
          <cell r="DD66"/>
          <cell r="DE66">
            <v>-2</v>
          </cell>
          <cell r="DF66">
            <v>22</v>
          </cell>
          <cell r="DG66">
            <v>0</v>
          </cell>
          <cell r="DH66">
            <v>1</v>
          </cell>
          <cell r="DI66">
            <v>0</v>
          </cell>
          <cell r="DJ66"/>
          <cell r="DK66">
            <v>-1</v>
          </cell>
        </row>
        <row r="67">
          <cell r="B67" t="str">
            <v>CN0766</v>
          </cell>
          <cell r="C67" t="str">
            <v>Khối sản xuất</v>
          </cell>
          <cell r="D67" t="str">
            <v>Tô Kim Hồng</v>
          </cell>
          <cell r="E67" t="str">
            <v>SX</v>
          </cell>
          <cell r="F67">
            <v>44606</v>
          </cell>
          <cell r="G67"/>
          <cell r="H67">
            <v>25.75</v>
          </cell>
          <cell r="I67">
            <v>0</v>
          </cell>
          <cell r="J67">
            <v>1</v>
          </cell>
          <cell r="K67">
            <v>0</v>
          </cell>
          <cell r="L67"/>
          <cell r="M67">
            <v>1</v>
          </cell>
          <cell r="N67">
            <v>25</v>
          </cell>
          <cell r="O67">
            <v>0</v>
          </cell>
          <cell r="P67">
            <v>1</v>
          </cell>
          <cell r="Q67">
            <v>1</v>
          </cell>
          <cell r="R67"/>
          <cell r="S67">
            <v>1</v>
          </cell>
          <cell r="T67" t="e">
            <v>#REF!</v>
          </cell>
          <cell r="U67">
            <v>0</v>
          </cell>
          <cell r="V67" t="e">
            <v>#REF!</v>
          </cell>
          <cell r="W67" t="e">
            <v>#REF!</v>
          </cell>
          <cell r="X67"/>
          <cell r="Y67">
            <v>2</v>
          </cell>
          <cell r="Z67">
            <v>24</v>
          </cell>
          <cell r="AA67">
            <v>0</v>
          </cell>
          <cell r="AB67">
            <v>1</v>
          </cell>
          <cell r="AC67">
            <v>0</v>
          </cell>
          <cell r="AD67"/>
          <cell r="AE67">
            <v>3</v>
          </cell>
          <cell r="AF67">
            <v>25</v>
          </cell>
          <cell r="AG67">
            <v>0</v>
          </cell>
          <cell r="AH67">
            <v>1</v>
          </cell>
          <cell r="AI67">
            <v>1</v>
          </cell>
          <cell r="AJ67"/>
          <cell r="AK67">
            <v>3</v>
          </cell>
          <cell r="AL67">
            <v>23</v>
          </cell>
          <cell r="AM67">
            <v>0</v>
          </cell>
          <cell r="AN67">
            <v>1</v>
          </cell>
          <cell r="AO67">
            <v>0</v>
          </cell>
          <cell r="AP67"/>
          <cell r="AQ67">
            <v>4</v>
          </cell>
          <cell r="AR67">
            <v>27</v>
          </cell>
          <cell r="AS67">
            <v>0</v>
          </cell>
          <cell r="AT67">
            <v>1</v>
          </cell>
          <cell r="AU67">
            <v>0</v>
          </cell>
          <cell r="AV67"/>
          <cell r="AW67">
            <v>5</v>
          </cell>
          <cell r="AX67">
            <v>25.916666666666664</v>
          </cell>
          <cell r="AY67">
            <v>0</v>
          </cell>
          <cell r="AZ67">
            <v>1</v>
          </cell>
          <cell r="BA67">
            <v>0</v>
          </cell>
          <cell r="BB67"/>
          <cell r="BC67">
            <v>12</v>
          </cell>
          <cell r="BD67">
            <v>22</v>
          </cell>
          <cell r="BE67">
            <v>0</v>
          </cell>
          <cell r="BF67">
            <v>1</v>
          </cell>
          <cell r="BG67">
            <v>3</v>
          </cell>
          <cell r="BH67"/>
          <cell r="BI67">
            <v>4</v>
          </cell>
          <cell r="BJ67">
            <v>23</v>
          </cell>
          <cell r="BK67">
            <v>0</v>
          </cell>
          <cell r="BL67">
            <v>1</v>
          </cell>
          <cell r="BM67">
            <v>3</v>
          </cell>
          <cell r="BN67"/>
          <cell r="BO67">
            <v>4</v>
          </cell>
          <cell r="BP67">
            <v>23</v>
          </cell>
          <cell r="BQ67">
            <v>0</v>
          </cell>
          <cell r="BR67">
            <v>1</v>
          </cell>
          <cell r="BS67">
            <v>3</v>
          </cell>
          <cell r="BT67"/>
          <cell r="BU67">
            <v>5</v>
          </cell>
          <cell r="BV67">
            <v>26</v>
          </cell>
          <cell r="BW67">
            <v>0</v>
          </cell>
          <cell r="BX67">
            <v>1</v>
          </cell>
          <cell r="BY67">
            <v>0</v>
          </cell>
          <cell r="BZ67"/>
          <cell r="CA67">
            <v>6</v>
          </cell>
          <cell r="CB67">
            <v>25</v>
          </cell>
          <cell r="CC67">
            <v>0</v>
          </cell>
          <cell r="CD67">
            <v>1</v>
          </cell>
          <cell r="CE67">
            <v>1</v>
          </cell>
          <cell r="CF67"/>
          <cell r="CG67">
            <v>6</v>
          </cell>
          <cell r="CH67">
            <v>26</v>
          </cell>
          <cell r="CI67">
            <v>0</v>
          </cell>
          <cell r="CJ67">
            <v>1</v>
          </cell>
          <cell r="CK67">
            <v>0</v>
          </cell>
          <cell r="CL67"/>
          <cell r="CM67">
            <v>1</v>
          </cell>
          <cell r="CN67">
            <v>21</v>
          </cell>
          <cell r="CO67">
            <v>0</v>
          </cell>
          <cell r="CP67">
            <v>1</v>
          </cell>
          <cell r="CQ67">
            <v>1</v>
          </cell>
          <cell r="CR67"/>
          <cell r="CS67">
            <v>1</v>
          </cell>
          <cell r="CT67">
            <v>24</v>
          </cell>
          <cell r="CU67">
            <v>0</v>
          </cell>
          <cell r="CV67">
            <v>1</v>
          </cell>
          <cell r="CW67">
            <v>0</v>
          </cell>
          <cell r="CX67"/>
          <cell r="CY67">
            <v>2</v>
          </cell>
          <cell r="CZ67">
            <v>27</v>
          </cell>
          <cell r="DA67">
            <v>0</v>
          </cell>
          <cell r="DB67">
            <v>1</v>
          </cell>
          <cell r="DC67">
            <v>0</v>
          </cell>
          <cell r="DD67"/>
          <cell r="DE67">
            <v>3</v>
          </cell>
          <cell r="DF67">
            <v>25</v>
          </cell>
          <cell r="DG67">
            <v>0</v>
          </cell>
          <cell r="DH67">
            <v>1</v>
          </cell>
          <cell r="DI67">
            <v>0</v>
          </cell>
          <cell r="DJ67"/>
          <cell r="DK67">
            <v>4</v>
          </cell>
        </row>
        <row r="68">
          <cell r="B68" t="str">
            <v>CN0787</v>
          </cell>
          <cell r="C68" t="str">
            <v>Khối sản xuất</v>
          </cell>
          <cell r="D68" t="str">
            <v>Lý Thanh</v>
          </cell>
          <cell r="E68" t="str">
            <v>SX</v>
          </cell>
          <cell r="F68">
            <v>44614</v>
          </cell>
          <cell r="G68"/>
          <cell r="H68">
            <v>25</v>
          </cell>
          <cell r="I68">
            <v>0</v>
          </cell>
          <cell r="J68">
            <v>1</v>
          </cell>
          <cell r="K68">
            <v>1</v>
          </cell>
          <cell r="L68"/>
          <cell r="M68">
            <v>5</v>
          </cell>
          <cell r="N68">
            <v>25</v>
          </cell>
          <cell r="O68">
            <v>0</v>
          </cell>
          <cell r="P68">
            <v>1</v>
          </cell>
          <cell r="Q68">
            <v>1</v>
          </cell>
          <cell r="R68"/>
          <cell r="S68">
            <v>5</v>
          </cell>
          <cell r="T68" t="e">
            <v>#REF!</v>
          </cell>
          <cell r="U68">
            <v>0</v>
          </cell>
          <cell r="V68" t="e">
            <v>#REF!</v>
          </cell>
          <cell r="W68" t="e">
            <v>#REF!</v>
          </cell>
          <cell r="X68"/>
          <cell r="Y68">
            <v>2</v>
          </cell>
          <cell r="Z68">
            <v>23</v>
          </cell>
          <cell r="AA68">
            <v>0</v>
          </cell>
          <cell r="AB68">
            <v>1</v>
          </cell>
          <cell r="AC68">
            <v>1</v>
          </cell>
          <cell r="AD68"/>
          <cell r="AE68">
            <v>2</v>
          </cell>
          <cell r="AF68">
            <v>26</v>
          </cell>
          <cell r="AG68">
            <v>0</v>
          </cell>
          <cell r="AH68">
            <v>1</v>
          </cell>
          <cell r="AI68">
            <v>0</v>
          </cell>
          <cell r="AJ68"/>
          <cell r="AK68">
            <v>3</v>
          </cell>
          <cell r="AL68">
            <v>23</v>
          </cell>
          <cell r="AM68">
            <v>0</v>
          </cell>
          <cell r="AN68">
            <v>1</v>
          </cell>
          <cell r="AO68">
            <v>0</v>
          </cell>
          <cell r="AP68"/>
          <cell r="AQ68">
            <v>4</v>
          </cell>
          <cell r="AR68">
            <v>24</v>
          </cell>
          <cell r="AS68">
            <v>0</v>
          </cell>
          <cell r="AT68">
            <v>1</v>
          </cell>
          <cell r="AU68">
            <v>3</v>
          </cell>
          <cell r="AV68"/>
          <cell r="AW68">
            <v>2</v>
          </cell>
          <cell r="AX68">
            <v>25</v>
          </cell>
          <cell r="AY68">
            <v>0</v>
          </cell>
          <cell r="AZ68">
            <v>1</v>
          </cell>
          <cell r="BA68">
            <v>1</v>
          </cell>
          <cell r="BB68"/>
          <cell r="BC68">
            <v>7</v>
          </cell>
          <cell r="BD68">
            <v>26</v>
          </cell>
          <cell r="BE68">
            <v>0</v>
          </cell>
          <cell r="BF68">
            <v>1</v>
          </cell>
          <cell r="BG68">
            <v>0</v>
          </cell>
          <cell r="BH68"/>
          <cell r="BI68">
            <v>3</v>
          </cell>
          <cell r="BJ68">
            <v>26</v>
          </cell>
          <cell r="BK68">
            <v>0</v>
          </cell>
          <cell r="BL68">
            <v>1</v>
          </cell>
          <cell r="BM68">
            <v>0</v>
          </cell>
          <cell r="BN68"/>
          <cell r="BO68">
            <v>3</v>
          </cell>
          <cell r="BP68">
            <v>26</v>
          </cell>
          <cell r="BQ68">
            <v>0</v>
          </cell>
          <cell r="BR68">
            <v>1</v>
          </cell>
          <cell r="BS68">
            <v>0</v>
          </cell>
          <cell r="BT68"/>
          <cell r="BU68">
            <v>4</v>
          </cell>
          <cell r="BV68">
            <v>25</v>
          </cell>
          <cell r="BW68">
            <v>0</v>
          </cell>
          <cell r="BX68">
            <v>1</v>
          </cell>
          <cell r="BY68">
            <v>1</v>
          </cell>
          <cell r="BZ68"/>
          <cell r="CA68">
            <v>4</v>
          </cell>
          <cell r="CB68">
            <v>26</v>
          </cell>
          <cell r="CC68">
            <v>0</v>
          </cell>
          <cell r="CD68">
            <v>1</v>
          </cell>
          <cell r="CE68">
            <v>0</v>
          </cell>
          <cell r="CF68"/>
          <cell r="CG68">
            <v>5</v>
          </cell>
          <cell r="CH68">
            <v>24.75</v>
          </cell>
          <cell r="CI68">
            <v>0</v>
          </cell>
          <cell r="CJ68">
            <v>1</v>
          </cell>
          <cell r="CK68">
            <v>0</v>
          </cell>
          <cell r="CL68"/>
          <cell r="CM68">
            <v>1</v>
          </cell>
          <cell r="CN68">
            <v>21</v>
          </cell>
          <cell r="CO68">
            <v>0</v>
          </cell>
          <cell r="CP68">
            <v>1</v>
          </cell>
          <cell r="CQ68">
            <v>1</v>
          </cell>
          <cell r="CR68"/>
          <cell r="CS68">
            <v>1</v>
          </cell>
          <cell r="CT68">
            <v>24</v>
          </cell>
          <cell r="CU68">
            <v>0</v>
          </cell>
          <cell r="CV68">
            <v>1</v>
          </cell>
          <cell r="CW68">
            <v>0</v>
          </cell>
          <cell r="CX68"/>
          <cell r="CY68">
            <v>2</v>
          </cell>
          <cell r="CZ68">
            <v>27</v>
          </cell>
          <cell r="DA68">
            <v>0</v>
          </cell>
          <cell r="DB68">
            <v>1</v>
          </cell>
          <cell r="DC68">
            <v>0</v>
          </cell>
          <cell r="DD68"/>
          <cell r="DE68">
            <v>3</v>
          </cell>
          <cell r="DF68">
            <v>25</v>
          </cell>
          <cell r="DG68">
            <v>0</v>
          </cell>
          <cell r="DH68">
            <v>1</v>
          </cell>
          <cell r="DI68">
            <v>0</v>
          </cell>
          <cell r="DJ68"/>
          <cell r="DK68">
            <v>4</v>
          </cell>
        </row>
        <row r="69">
          <cell r="B69" t="str">
            <v>CN0774</v>
          </cell>
          <cell r="C69" t="str">
            <v>Khối sản xuất</v>
          </cell>
          <cell r="D69" t="str">
            <v>Phạm Thị Ngân</v>
          </cell>
          <cell r="E69" t="str">
            <v>SX</v>
          </cell>
          <cell r="F69">
            <v>44607</v>
          </cell>
          <cell r="G69"/>
          <cell r="H69">
            <v>23.916666666666664</v>
          </cell>
          <cell r="I69">
            <v>0</v>
          </cell>
          <cell r="J69">
            <v>1</v>
          </cell>
          <cell r="K69">
            <v>2</v>
          </cell>
          <cell r="L69"/>
          <cell r="M69">
            <v>0</v>
          </cell>
          <cell r="N69">
            <v>23</v>
          </cell>
          <cell r="O69">
            <v>0</v>
          </cell>
          <cell r="P69">
            <v>1</v>
          </cell>
          <cell r="Q69">
            <v>3</v>
          </cell>
          <cell r="R69"/>
          <cell r="S69">
            <v>-2</v>
          </cell>
          <cell r="T69" t="e">
            <v>#REF!</v>
          </cell>
          <cell r="U69">
            <v>0</v>
          </cell>
          <cell r="V69" t="e">
            <v>#REF!</v>
          </cell>
          <cell r="W69" t="e">
            <v>#REF!</v>
          </cell>
          <cell r="X69"/>
          <cell r="Y69">
            <v>-1</v>
          </cell>
          <cell r="Z69">
            <v>24</v>
          </cell>
          <cell r="AA69">
            <v>0</v>
          </cell>
          <cell r="AB69">
            <v>1</v>
          </cell>
          <cell r="AC69">
            <v>0</v>
          </cell>
          <cell r="AD69"/>
          <cell r="AE69">
            <v>0</v>
          </cell>
          <cell r="AF69">
            <v>25.833333333333336</v>
          </cell>
          <cell r="AG69">
            <v>0</v>
          </cell>
          <cell r="AH69">
            <v>1</v>
          </cell>
          <cell r="AI69">
            <v>0</v>
          </cell>
          <cell r="AJ69"/>
          <cell r="AK69">
            <v>1</v>
          </cell>
          <cell r="AL69">
            <v>23</v>
          </cell>
          <cell r="AM69">
            <v>0</v>
          </cell>
          <cell r="AN69">
            <v>1</v>
          </cell>
          <cell r="AO69">
            <v>0</v>
          </cell>
          <cell r="AP69"/>
          <cell r="AQ69">
            <v>2</v>
          </cell>
          <cell r="AR69">
            <v>27</v>
          </cell>
          <cell r="AS69">
            <v>0</v>
          </cell>
          <cell r="AT69">
            <v>1</v>
          </cell>
          <cell r="AU69">
            <v>0</v>
          </cell>
          <cell r="AV69"/>
          <cell r="AW69">
            <v>3</v>
          </cell>
          <cell r="AX69">
            <v>24</v>
          </cell>
          <cell r="AY69">
            <v>0</v>
          </cell>
          <cell r="AZ69">
            <v>1</v>
          </cell>
          <cell r="BA69">
            <v>2</v>
          </cell>
          <cell r="BB69"/>
          <cell r="BC69">
            <v>8</v>
          </cell>
          <cell r="BD69">
            <v>24</v>
          </cell>
          <cell r="BE69">
            <v>0</v>
          </cell>
          <cell r="BF69">
            <v>1</v>
          </cell>
          <cell r="BG69">
            <v>2</v>
          </cell>
          <cell r="BH69"/>
          <cell r="BI69">
            <v>1</v>
          </cell>
          <cell r="BJ69">
            <v>26</v>
          </cell>
          <cell r="BK69">
            <v>0</v>
          </cell>
          <cell r="BL69">
            <v>1</v>
          </cell>
          <cell r="BM69">
            <v>0</v>
          </cell>
          <cell r="BN69"/>
          <cell r="BO69">
            <v>3</v>
          </cell>
          <cell r="BP69">
            <v>26</v>
          </cell>
          <cell r="BQ69">
            <v>0</v>
          </cell>
          <cell r="BR69">
            <v>1</v>
          </cell>
          <cell r="BS69">
            <v>0</v>
          </cell>
          <cell r="BT69"/>
          <cell r="BU69">
            <v>4</v>
          </cell>
          <cell r="BV69">
            <v>26</v>
          </cell>
          <cell r="BW69">
            <v>0</v>
          </cell>
          <cell r="BX69">
            <v>1</v>
          </cell>
          <cell r="BY69">
            <v>0</v>
          </cell>
          <cell r="BZ69"/>
          <cell r="CA69">
            <v>5</v>
          </cell>
          <cell r="CB69">
            <v>26</v>
          </cell>
          <cell r="CC69">
            <v>0</v>
          </cell>
          <cell r="CD69">
            <v>1</v>
          </cell>
          <cell r="CE69">
            <v>0</v>
          </cell>
          <cell r="CF69"/>
          <cell r="CG69">
            <v>6</v>
          </cell>
          <cell r="CH69">
            <v>26</v>
          </cell>
          <cell r="CI69">
            <v>0</v>
          </cell>
          <cell r="CJ69">
            <v>1</v>
          </cell>
          <cell r="CK69">
            <v>0</v>
          </cell>
          <cell r="CL69"/>
          <cell r="CM69">
            <v>1</v>
          </cell>
          <cell r="CN69">
            <v>20</v>
          </cell>
          <cell r="CO69">
            <v>0</v>
          </cell>
          <cell r="CP69">
            <v>1</v>
          </cell>
          <cell r="CQ69">
            <v>1</v>
          </cell>
          <cell r="CR69"/>
          <cell r="CS69">
            <v>1</v>
          </cell>
          <cell r="CT69">
            <v>24</v>
          </cell>
          <cell r="CU69">
            <v>0</v>
          </cell>
          <cell r="CV69">
            <v>1</v>
          </cell>
          <cell r="CW69">
            <v>0</v>
          </cell>
          <cell r="CX69"/>
          <cell r="CY69">
            <v>2</v>
          </cell>
          <cell r="CZ69">
            <v>27</v>
          </cell>
          <cell r="DA69">
            <v>0</v>
          </cell>
          <cell r="DB69">
            <v>1</v>
          </cell>
          <cell r="DC69">
            <v>0</v>
          </cell>
          <cell r="DD69"/>
          <cell r="DE69">
            <v>3</v>
          </cell>
          <cell r="DF69">
            <v>25</v>
          </cell>
          <cell r="DG69">
            <v>0</v>
          </cell>
          <cell r="DH69">
            <v>1</v>
          </cell>
          <cell r="DI69">
            <v>0</v>
          </cell>
          <cell r="DJ69"/>
          <cell r="DK69">
            <v>4</v>
          </cell>
        </row>
        <row r="70">
          <cell r="B70" t="str">
            <v>CN0809</v>
          </cell>
          <cell r="C70" t="str">
            <v>Khối sản xuất</v>
          </cell>
          <cell r="D70" t="str">
            <v>Thạch Thị Ngọc Linh</v>
          </cell>
          <cell r="E70" t="str">
            <v>SX</v>
          </cell>
          <cell r="F70">
            <v>44643</v>
          </cell>
          <cell r="G70"/>
          <cell r="H70">
            <v>26</v>
          </cell>
          <cell r="I70">
            <v>0</v>
          </cell>
          <cell r="J70">
            <v>1</v>
          </cell>
          <cell r="K70">
            <v>0</v>
          </cell>
          <cell r="L70"/>
          <cell r="M70">
            <v>8</v>
          </cell>
          <cell r="N70">
            <v>26</v>
          </cell>
          <cell r="O70">
            <v>0</v>
          </cell>
          <cell r="P70">
            <v>1</v>
          </cell>
          <cell r="Q70">
            <v>0</v>
          </cell>
          <cell r="R70"/>
          <cell r="S70">
            <v>9</v>
          </cell>
          <cell r="T70" t="e">
            <v>#REF!</v>
          </cell>
          <cell r="U70">
            <v>0</v>
          </cell>
          <cell r="V70" t="e">
            <v>#REF!</v>
          </cell>
          <cell r="W70" t="e">
            <v>#REF!</v>
          </cell>
          <cell r="X70"/>
          <cell r="Y70">
            <v>2</v>
          </cell>
          <cell r="Z70">
            <v>24</v>
          </cell>
          <cell r="AA70">
            <v>0</v>
          </cell>
          <cell r="AB70">
            <v>1</v>
          </cell>
          <cell r="AC70">
            <v>0</v>
          </cell>
          <cell r="AD70"/>
          <cell r="AE70">
            <v>3</v>
          </cell>
          <cell r="AF70">
            <v>26</v>
          </cell>
          <cell r="AG70">
            <v>0</v>
          </cell>
          <cell r="AH70">
            <v>1</v>
          </cell>
          <cell r="AI70">
            <v>0</v>
          </cell>
          <cell r="AJ70"/>
          <cell r="AK70">
            <v>4</v>
          </cell>
          <cell r="AL70">
            <v>23</v>
          </cell>
          <cell r="AM70">
            <v>0</v>
          </cell>
          <cell r="AN70">
            <v>1</v>
          </cell>
          <cell r="AO70">
            <v>0</v>
          </cell>
          <cell r="AP70"/>
          <cell r="AQ70">
            <v>5</v>
          </cell>
          <cell r="AR70">
            <v>24</v>
          </cell>
          <cell r="AS70">
            <v>0</v>
          </cell>
          <cell r="AT70">
            <v>1</v>
          </cell>
          <cell r="AU70">
            <v>3</v>
          </cell>
          <cell r="AV70"/>
          <cell r="AW70">
            <v>3</v>
          </cell>
          <cell r="AX70">
            <v>27</v>
          </cell>
          <cell r="AY70">
            <v>0</v>
          </cell>
          <cell r="AZ70">
            <v>1</v>
          </cell>
          <cell r="BA70">
            <v>0</v>
          </cell>
          <cell r="BB70"/>
          <cell r="BC70">
            <v>10</v>
          </cell>
          <cell r="BD70">
            <v>26</v>
          </cell>
          <cell r="BE70">
            <v>0</v>
          </cell>
          <cell r="BF70">
            <v>1</v>
          </cell>
          <cell r="BG70">
            <v>0</v>
          </cell>
          <cell r="BH70"/>
          <cell r="BI70">
            <v>5</v>
          </cell>
          <cell r="BJ70">
            <v>26</v>
          </cell>
          <cell r="BK70">
            <v>0</v>
          </cell>
          <cell r="BL70">
            <v>1</v>
          </cell>
          <cell r="BM70">
            <v>0</v>
          </cell>
          <cell r="BN70"/>
          <cell r="BO70">
            <v>5</v>
          </cell>
          <cell r="BP70">
            <v>26</v>
          </cell>
          <cell r="BQ70">
            <v>0</v>
          </cell>
          <cell r="BR70">
            <v>1</v>
          </cell>
          <cell r="BS70">
            <v>0</v>
          </cell>
          <cell r="BT70"/>
          <cell r="BU70">
            <v>6</v>
          </cell>
          <cell r="BV70">
            <v>25</v>
          </cell>
          <cell r="BW70">
            <v>0</v>
          </cell>
          <cell r="BX70">
            <v>1</v>
          </cell>
          <cell r="BY70">
            <v>1</v>
          </cell>
          <cell r="BZ70"/>
          <cell r="CA70">
            <v>6</v>
          </cell>
          <cell r="CB70">
            <v>25</v>
          </cell>
          <cell r="CC70">
            <v>0</v>
          </cell>
          <cell r="CD70">
            <v>1</v>
          </cell>
          <cell r="CE70">
            <v>1</v>
          </cell>
          <cell r="CF70"/>
          <cell r="CG70">
            <v>6</v>
          </cell>
          <cell r="CH70">
            <v>26</v>
          </cell>
          <cell r="CI70">
            <v>0</v>
          </cell>
          <cell r="CJ70">
            <v>1</v>
          </cell>
          <cell r="CK70">
            <v>0</v>
          </cell>
          <cell r="CL70"/>
          <cell r="CM70">
            <v>1</v>
          </cell>
          <cell r="CN70">
            <v>20</v>
          </cell>
          <cell r="CO70">
            <v>0</v>
          </cell>
          <cell r="CP70">
            <v>1</v>
          </cell>
          <cell r="CQ70">
            <v>1</v>
          </cell>
          <cell r="CR70"/>
          <cell r="CS70">
            <v>1</v>
          </cell>
          <cell r="CT70">
            <v>24</v>
          </cell>
          <cell r="CU70">
            <v>0</v>
          </cell>
          <cell r="CV70">
            <v>1</v>
          </cell>
          <cell r="CW70">
            <v>0</v>
          </cell>
          <cell r="CX70"/>
          <cell r="CY70">
            <v>2</v>
          </cell>
          <cell r="CZ70">
            <v>27</v>
          </cell>
          <cell r="DA70">
            <v>0</v>
          </cell>
          <cell r="DB70">
            <v>1</v>
          </cell>
          <cell r="DC70">
            <v>0</v>
          </cell>
          <cell r="DD70"/>
          <cell r="DE70">
            <v>3</v>
          </cell>
          <cell r="DF70">
            <v>25</v>
          </cell>
          <cell r="DG70">
            <v>0</v>
          </cell>
          <cell r="DH70">
            <v>1</v>
          </cell>
          <cell r="DI70">
            <v>0</v>
          </cell>
          <cell r="DJ70"/>
          <cell r="DK70">
            <v>4</v>
          </cell>
        </row>
        <row r="71">
          <cell r="B71" t="str">
            <v>CN0881</v>
          </cell>
          <cell r="C71" t="str">
            <v>Khối sản xuất</v>
          </cell>
          <cell r="D71" t="str">
            <v>Sơn Hoài Thanh</v>
          </cell>
          <cell r="E71" t="str">
            <v>SX</v>
          </cell>
          <cell r="F71">
            <v>44867</v>
          </cell>
          <cell r="G71"/>
          <cell r="H71">
            <v>25</v>
          </cell>
          <cell r="I71">
            <v>0</v>
          </cell>
          <cell r="J71">
            <v>1</v>
          </cell>
          <cell r="K71">
            <v>1</v>
          </cell>
          <cell r="L71"/>
          <cell r="M71">
            <v>4</v>
          </cell>
          <cell r="N71">
            <v>23.333333333333336</v>
          </cell>
          <cell r="O71">
            <v>0</v>
          </cell>
          <cell r="P71">
            <v>1</v>
          </cell>
          <cell r="Q71">
            <v>2</v>
          </cell>
          <cell r="R71"/>
          <cell r="S71">
            <v>3</v>
          </cell>
          <cell r="T71" t="e">
            <v>#REF!</v>
          </cell>
          <cell r="U71">
            <v>0</v>
          </cell>
          <cell r="V71" t="e">
            <v>#REF!</v>
          </cell>
          <cell r="W71" t="e">
            <v>#REF!</v>
          </cell>
          <cell r="X71"/>
          <cell r="Y71">
            <v>2</v>
          </cell>
          <cell r="Z71">
            <v>22.333333333333336</v>
          </cell>
          <cell r="AA71">
            <v>0</v>
          </cell>
          <cell r="AB71">
            <v>1</v>
          </cell>
          <cell r="AC71">
            <v>1</v>
          </cell>
          <cell r="AD71"/>
          <cell r="AE71">
            <v>2</v>
          </cell>
          <cell r="AF71">
            <v>25</v>
          </cell>
          <cell r="AG71">
            <v>0</v>
          </cell>
          <cell r="AH71">
            <v>1</v>
          </cell>
          <cell r="AI71">
            <v>0</v>
          </cell>
          <cell r="AJ71"/>
          <cell r="AK71">
            <v>3</v>
          </cell>
          <cell r="AL71">
            <v>22</v>
          </cell>
          <cell r="AM71">
            <v>0</v>
          </cell>
          <cell r="AN71">
            <v>1</v>
          </cell>
          <cell r="AO71">
            <v>1</v>
          </cell>
          <cell r="AP71"/>
          <cell r="AQ71">
            <v>3</v>
          </cell>
          <cell r="AR71">
            <v>25.083333333333332</v>
          </cell>
          <cell r="AS71">
            <v>0</v>
          </cell>
          <cell r="AT71">
            <v>1</v>
          </cell>
          <cell r="AU71">
            <v>0</v>
          </cell>
          <cell r="AV71"/>
          <cell r="AW71">
            <v>4</v>
          </cell>
          <cell r="AX71">
            <v>25.333333333333336</v>
          </cell>
          <cell r="AY71">
            <v>0</v>
          </cell>
          <cell r="AZ71">
            <v>1</v>
          </cell>
          <cell r="BA71">
            <v>0</v>
          </cell>
          <cell r="BB71"/>
          <cell r="BC71">
            <v>9</v>
          </cell>
          <cell r="BD71">
            <v>21.75</v>
          </cell>
          <cell r="BE71">
            <v>0</v>
          </cell>
          <cell r="BF71">
            <v>1</v>
          </cell>
          <cell r="BG71">
            <v>1</v>
          </cell>
          <cell r="BH71"/>
          <cell r="BI71">
            <v>5</v>
          </cell>
          <cell r="BJ71">
            <v>23.916666666666668</v>
          </cell>
          <cell r="BK71">
            <v>0</v>
          </cell>
          <cell r="BL71">
            <v>1</v>
          </cell>
          <cell r="BM71">
            <v>1</v>
          </cell>
          <cell r="BN71"/>
          <cell r="BO71">
            <v>5</v>
          </cell>
          <cell r="BP71">
            <v>23.916666666666668</v>
          </cell>
          <cell r="BQ71">
            <v>0</v>
          </cell>
          <cell r="BR71">
            <v>1</v>
          </cell>
          <cell r="BS71">
            <v>1</v>
          </cell>
          <cell r="BT71"/>
          <cell r="BU71">
            <v>6</v>
          </cell>
          <cell r="BV71">
            <v>22.166666666666664</v>
          </cell>
          <cell r="BW71">
            <v>0</v>
          </cell>
          <cell r="BX71">
            <v>1</v>
          </cell>
          <cell r="BY71">
            <v>2</v>
          </cell>
          <cell r="BZ71"/>
          <cell r="CA71">
            <v>5</v>
          </cell>
          <cell r="CB71">
            <v>23.666666666666664</v>
          </cell>
          <cell r="CC71">
            <v>0</v>
          </cell>
          <cell r="CD71">
            <v>1</v>
          </cell>
          <cell r="CE71">
            <v>2</v>
          </cell>
          <cell r="CF71"/>
          <cell r="CG71">
            <v>4</v>
          </cell>
          <cell r="CH71">
            <v>23</v>
          </cell>
          <cell r="CI71">
            <v>0</v>
          </cell>
          <cell r="CJ71">
            <v>1</v>
          </cell>
          <cell r="CK71">
            <v>1</v>
          </cell>
          <cell r="CL71"/>
          <cell r="CM71">
            <v>0</v>
          </cell>
          <cell r="CN71">
            <v>17.833333333333336</v>
          </cell>
          <cell r="CO71">
            <v>0</v>
          </cell>
          <cell r="CP71">
            <v>1</v>
          </cell>
          <cell r="CQ71">
            <v>1</v>
          </cell>
          <cell r="CR71"/>
          <cell r="CS71">
            <v>0</v>
          </cell>
          <cell r="CT71">
            <v>23</v>
          </cell>
          <cell r="CU71">
            <v>0</v>
          </cell>
          <cell r="CV71">
            <v>1</v>
          </cell>
          <cell r="CW71">
            <v>1</v>
          </cell>
          <cell r="CX71"/>
          <cell r="CY71">
            <v>0</v>
          </cell>
          <cell r="CZ71">
            <v>26</v>
          </cell>
          <cell r="DA71">
            <v>0</v>
          </cell>
          <cell r="DB71">
            <v>1</v>
          </cell>
          <cell r="DC71">
            <v>1</v>
          </cell>
          <cell r="DD71"/>
          <cell r="DE71">
            <v>0</v>
          </cell>
          <cell r="DF71">
            <v>23</v>
          </cell>
          <cell r="DG71">
            <v>0</v>
          </cell>
          <cell r="DH71">
            <v>1</v>
          </cell>
          <cell r="DI71">
            <v>1</v>
          </cell>
          <cell r="DJ71"/>
          <cell r="DK71">
            <v>0</v>
          </cell>
        </row>
        <row r="72">
          <cell r="B72" t="str">
            <v>CN0913</v>
          </cell>
          <cell r="C72" t="str">
            <v>Khối sản xuất</v>
          </cell>
          <cell r="D72" t="str">
            <v>Trương Minh Định</v>
          </cell>
          <cell r="E72" t="str">
            <v>SX</v>
          </cell>
          <cell r="F72">
            <v>44984</v>
          </cell>
          <cell r="G72"/>
          <cell r="H72">
            <v>26</v>
          </cell>
          <cell r="I72">
            <v>0</v>
          </cell>
          <cell r="J72">
            <v>1</v>
          </cell>
          <cell r="K72">
            <v>0</v>
          </cell>
          <cell r="L72"/>
          <cell r="M72">
            <v>10</v>
          </cell>
          <cell r="N72">
            <v>24.833333333333332</v>
          </cell>
          <cell r="O72">
            <v>0</v>
          </cell>
          <cell r="P72">
            <v>1</v>
          </cell>
          <cell r="Q72">
            <v>1</v>
          </cell>
          <cell r="R72"/>
          <cell r="S72">
            <v>10</v>
          </cell>
          <cell r="T72" t="e">
            <v>#REF!</v>
          </cell>
          <cell r="U72">
            <v>0</v>
          </cell>
          <cell r="V72" t="e">
            <v>#REF!</v>
          </cell>
          <cell r="W72" t="e">
            <v>#REF!</v>
          </cell>
          <cell r="X72"/>
          <cell r="Y72">
            <v>2</v>
          </cell>
          <cell r="Z72">
            <v>24</v>
          </cell>
          <cell r="AA72">
            <v>0</v>
          </cell>
          <cell r="AB72">
            <v>1</v>
          </cell>
          <cell r="AC72">
            <v>0</v>
          </cell>
          <cell r="AD72"/>
          <cell r="AE72">
            <v>3</v>
          </cell>
          <cell r="AF72">
            <v>24.833333333333332</v>
          </cell>
          <cell r="AG72">
            <v>0</v>
          </cell>
          <cell r="AH72">
            <v>1</v>
          </cell>
          <cell r="AI72">
            <v>1</v>
          </cell>
          <cell r="AJ72"/>
          <cell r="AK72">
            <v>3</v>
          </cell>
          <cell r="AL72">
            <v>22</v>
          </cell>
          <cell r="AM72">
            <v>0</v>
          </cell>
          <cell r="AN72">
            <v>1</v>
          </cell>
          <cell r="AO72">
            <v>1</v>
          </cell>
          <cell r="AP72"/>
          <cell r="AQ72">
            <v>3</v>
          </cell>
          <cell r="AR72">
            <v>26</v>
          </cell>
          <cell r="AS72">
            <v>0</v>
          </cell>
          <cell r="AT72">
            <v>1</v>
          </cell>
          <cell r="AU72">
            <v>1</v>
          </cell>
          <cell r="AV72"/>
          <cell r="AW72">
            <v>3</v>
          </cell>
          <cell r="AX72">
            <v>25</v>
          </cell>
          <cell r="AY72">
            <v>0</v>
          </cell>
          <cell r="AZ72">
            <v>1</v>
          </cell>
          <cell r="BA72">
            <v>1</v>
          </cell>
          <cell r="BB72"/>
          <cell r="BC72">
            <v>8</v>
          </cell>
          <cell r="BD72">
            <v>24.666666666666668</v>
          </cell>
          <cell r="BE72">
            <v>0</v>
          </cell>
          <cell r="BF72">
            <v>1</v>
          </cell>
          <cell r="BG72">
            <v>1</v>
          </cell>
          <cell r="BH72"/>
          <cell r="BI72">
            <v>3</v>
          </cell>
          <cell r="BJ72">
            <v>24.75</v>
          </cell>
          <cell r="BK72">
            <v>0</v>
          </cell>
          <cell r="BL72">
            <v>1</v>
          </cell>
          <cell r="BM72">
            <v>1</v>
          </cell>
          <cell r="BN72"/>
          <cell r="BO72">
            <v>3</v>
          </cell>
          <cell r="BP72">
            <v>24.75</v>
          </cell>
          <cell r="BQ72">
            <v>0</v>
          </cell>
          <cell r="BR72">
            <v>1</v>
          </cell>
          <cell r="BS72">
            <v>1</v>
          </cell>
          <cell r="BT72"/>
          <cell r="BU72">
            <v>4</v>
          </cell>
          <cell r="BV72">
            <v>25</v>
          </cell>
          <cell r="BW72">
            <v>0</v>
          </cell>
          <cell r="BX72">
            <v>1</v>
          </cell>
          <cell r="BY72">
            <v>1</v>
          </cell>
          <cell r="BZ72"/>
          <cell r="CA72">
            <v>4</v>
          </cell>
          <cell r="CB72">
            <v>25.583333333333332</v>
          </cell>
          <cell r="CC72">
            <v>0</v>
          </cell>
          <cell r="CD72">
            <v>1</v>
          </cell>
          <cell r="CE72">
            <v>0</v>
          </cell>
          <cell r="CF72"/>
          <cell r="CG72">
            <v>5</v>
          </cell>
          <cell r="CH72">
            <v>23</v>
          </cell>
          <cell r="CI72">
            <v>0</v>
          </cell>
          <cell r="CJ72">
            <v>1</v>
          </cell>
          <cell r="CK72">
            <v>1</v>
          </cell>
          <cell r="CL72"/>
          <cell r="CM72">
            <v>0</v>
          </cell>
          <cell r="CN72">
            <v>20</v>
          </cell>
          <cell r="CO72">
            <v>0</v>
          </cell>
          <cell r="CP72">
            <v>1</v>
          </cell>
          <cell r="CQ72">
            <v>1</v>
          </cell>
          <cell r="CR72"/>
          <cell r="CS72">
            <v>0</v>
          </cell>
          <cell r="CT72">
            <v>23.916666666666668</v>
          </cell>
          <cell r="CU72">
            <v>0</v>
          </cell>
          <cell r="CV72">
            <v>1</v>
          </cell>
          <cell r="CW72">
            <v>0</v>
          </cell>
          <cell r="CX72"/>
          <cell r="CY72">
            <v>1</v>
          </cell>
          <cell r="CZ72">
            <v>27</v>
          </cell>
          <cell r="DA72">
            <v>0</v>
          </cell>
          <cell r="DB72">
            <v>1</v>
          </cell>
          <cell r="DC72">
            <v>0</v>
          </cell>
          <cell r="DD72"/>
          <cell r="DE72">
            <v>2</v>
          </cell>
          <cell r="DF72">
            <v>21.75</v>
          </cell>
          <cell r="DG72">
            <v>0</v>
          </cell>
          <cell r="DH72">
            <v>1</v>
          </cell>
          <cell r="DI72">
            <v>0</v>
          </cell>
          <cell r="DJ72"/>
          <cell r="DK72">
            <v>3</v>
          </cell>
        </row>
        <row r="73">
          <cell r="B73" t="str">
            <v>CN0964</v>
          </cell>
          <cell r="C73" t="str">
            <v>Khối sản xuất</v>
          </cell>
          <cell r="D73" t="str">
            <v>Vi Thị Phượng</v>
          </cell>
          <cell r="E73" t="str">
            <v>SX</v>
          </cell>
          <cell r="F73">
            <v>45068</v>
          </cell>
          <cell r="G73"/>
          <cell r="H73">
            <v>25.75</v>
          </cell>
          <cell r="I73">
            <v>0</v>
          </cell>
          <cell r="J73">
            <v>1</v>
          </cell>
          <cell r="K73">
            <v>0</v>
          </cell>
          <cell r="L73"/>
          <cell r="M73">
            <v>4</v>
          </cell>
          <cell r="N73">
            <v>23</v>
          </cell>
          <cell r="O73">
            <v>0</v>
          </cell>
          <cell r="P73">
            <v>1</v>
          </cell>
          <cell r="Q73">
            <v>3</v>
          </cell>
          <cell r="R73"/>
          <cell r="S73">
            <v>2</v>
          </cell>
          <cell r="T73" t="e">
            <v>#REF!</v>
          </cell>
          <cell r="U73">
            <v>0</v>
          </cell>
          <cell r="V73" t="e">
            <v>#REF!</v>
          </cell>
          <cell r="W73" t="e">
            <v>#REF!</v>
          </cell>
          <cell r="X73"/>
          <cell r="Y73">
            <v>2</v>
          </cell>
          <cell r="Z73">
            <v>22</v>
          </cell>
          <cell r="AA73">
            <v>0</v>
          </cell>
          <cell r="AB73">
            <v>1</v>
          </cell>
          <cell r="AC73">
            <v>2</v>
          </cell>
          <cell r="AD73"/>
          <cell r="AE73">
            <v>1</v>
          </cell>
          <cell r="AF73">
            <v>24</v>
          </cell>
          <cell r="AG73">
            <v>0</v>
          </cell>
          <cell r="AH73">
            <v>1</v>
          </cell>
          <cell r="AI73">
            <v>2</v>
          </cell>
          <cell r="AJ73"/>
          <cell r="AK73">
            <v>0</v>
          </cell>
          <cell r="AL73">
            <v>23</v>
          </cell>
          <cell r="AM73">
            <v>0</v>
          </cell>
          <cell r="AN73">
            <v>1</v>
          </cell>
          <cell r="AO73">
            <v>0</v>
          </cell>
          <cell r="AP73"/>
          <cell r="AQ73">
            <v>1</v>
          </cell>
          <cell r="AR73">
            <v>27</v>
          </cell>
          <cell r="AS73">
            <v>0</v>
          </cell>
          <cell r="AT73">
            <v>1</v>
          </cell>
          <cell r="AU73">
            <v>0</v>
          </cell>
          <cell r="AV73"/>
          <cell r="AW73">
            <v>2</v>
          </cell>
          <cell r="AX73">
            <v>25</v>
          </cell>
          <cell r="AY73">
            <v>0</v>
          </cell>
          <cell r="AZ73">
            <v>1</v>
          </cell>
          <cell r="BA73">
            <v>1</v>
          </cell>
          <cell r="BB73"/>
          <cell r="BC73">
            <v>8</v>
          </cell>
          <cell r="BD73">
            <v>25</v>
          </cell>
          <cell r="BE73">
            <v>0</v>
          </cell>
          <cell r="BF73">
            <v>1</v>
          </cell>
          <cell r="BG73">
            <v>1</v>
          </cell>
          <cell r="BH73"/>
          <cell r="BI73">
            <v>2</v>
          </cell>
          <cell r="BJ73">
            <v>26</v>
          </cell>
          <cell r="BK73">
            <v>0</v>
          </cell>
          <cell r="BL73">
            <v>1</v>
          </cell>
          <cell r="BM73">
            <v>0</v>
          </cell>
          <cell r="BN73"/>
          <cell r="BO73">
            <v>3</v>
          </cell>
          <cell r="BP73">
            <v>26</v>
          </cell>
          <cell r="BQ73">
            <v>0</v>
          </cell>
          <cell r="BR73">
            <v>1</v>
          </cell>
          <cell r="BS73">
            <v>0</v>
          </cell>
          <cell r="BT73"/>
          <cell r="BU73">
            <v>4</v>
          </cell>
          <cell r="BV73">
            <v>25.75</v>
          </cell>
          <cell r="BW73">
            <v>0</v>
          </cell>
          <cell r="BX73">
            <v>1</v>
          </cell>
          <cell r="BY73">
            <v>0</v>
          </cell>
          <cell r="BZ73"/>
          <cell r="CA73">
            <v>5</v>
          </cell>
          <cell r="CB73">
            <v>26</v>
          </cell>
          <cell r="CC73">
            <v>0</v>
          </cell>
          <cell r="CD73">
            <v>1</v>
          </cell>
          <cell r="CE73">
            <v>0</v>
          </cell>
          <cell r="CF73"/>
          <cell r="CG73">
            <v>6</v>
          </cell>
          <cell r="CH73">
            <v>25</v>
          </cell>
          <cell r="CI73">
            <v>0</v>
          </cell>
          <cell r="CJ73">
            <v>1</v>
          </cell>
          <cell r="CK73">
            <v>0</v>
          </cell>
          <cell r="CL73"/>
          <cell r="CM73">
            <v>1</v>
          </cell>
          <cell r="CN73">
            <v>21</v>
          </cell>
          <cell r="CO73">
            <v>0</v>
          </cell>
          <cell r="CP73">
            <v>1</v>
          </cell>
          <cell r="CQ73">
            <v>1</v>
          </cell>
          <cell r="CR73"/>
          <cell r="CS73">
            <v>1</v>
          </cell>
          <cell r="CT73">
            <v>24</v>
          </cell>
          <cell r="CU73">
            <v>0</v>
          </cell>
          <cell r="CV73">
            <v>1</v>
          </cell>
          <cell r="CW73">
            <v>0</v>
          </cell>
          <cell r="CX73"/>
          <cell r="CY73">
            <v>2</v>
          </cell>
          <cell r="CZ73">
            <v>27</v>
          </cell>
          <cell r="DA73">
            <v>0</v>
          </cell>
          <cell r="DB73">
            <v>1</v>
          </cell>
          <cell r="DC73">
            <v>0</v>
          </cell>
          <cell r="DD73"/>
          <cell r="DE73">
            <v>3</v>
          </cell>
          <cell r="DF73">
            <v>23.666666666666664</v>
          </cell>
          <cell r="DG73">
            <v>0</v>
          </cell>
          <cell r="DH73">
            <v>1</v>
          </cell>
          <cell r="DI73">
            <v>1</v>
          </cell>
          <cell r="DJ73"/>
          <cell r="DK73">
            <v>3</v>
          </cell>
        </row>
        <row r="74">
          <cell r="B74" t="str">
            <v>CN0914</v>
          </cell>
          <cell r="C74" t="str">
            <v>Khối sản xuất</v>
          </cell>
          <cell r="D74" t="str">
            <v>Lê Hoàng Tuấn</v>
          </cell>
          <cell r="E74" t="str">
            <v>SX</v>
          </cell>
          <cell r="F74">
            <v>44979</v>
          </cell>
          <cell r="G74"/>
          <cell r="H74">
            <v>25</v>
          </cell>
          <cell r="I74">
            <v>0</v>
          </cell>
          <cell r="J74">
            <v>1</v>
          </cell>
          <cell r="K74">
            <v>1</v>
          </cell>
          <cell r="L74"/>
          <cell r="M74">
            <v>2</v>
          </cell>
          <cell r="N74">
            <v>25</v>
          </cell>
          <cell r="O74">
            <v>0</v>
          </cell>
          <cell r="P74">
            <v>1</v>
          </cell>
          <cell r="Q74">
            <v>1</v>
          </cell>
          <cell r="R74"/>
          <cell r="S74">
            <v>2</v>
          </cell>
          <cell r="T74" t="e">
            <v>#REF!</v>
          </cell>
          <cell r="U74">
            <v>0</v>
          </cell>
          <cell r="V74" t="e">
            <v>#REF!</v>
          </cell>
          <cell r="W74" t="e">
            <v>#REF!</v>
          </cell>
          <cell r="X74"/>
          <cell r="Y74">
            <v>2</v>
          </cell>
          <cell r="Z74">
            <v>24</v>
          </cell>
          <cell r="AA74">
            <v>0</v>
          </cell>
          <cell r="AB74">
            <v>1</v>
          </cell>
          <cell r="AC74">
            <v>0</v>
          </cell>
          <cell r="AD74"/>
          <cell r="AE74">
            <v>3</v>
          </cell>
          <cell r="AF74">
            <v>26</v>
          </cell>
          <cell r="AG74">
            <v>0</v>
          </cell>
          <cell r="AH74">
            <v>1</v>
          </cell>
          <cell r="AI74">
            <v>0</v>
          </cell>
          <cell r="AJ74"/>
          <cell r="AK74">
            <v>4</v>
          </cell>
          <cell r="AL74">
            <v>23</v>
          </cell>
          <cell r="AM74">
            <v>0</v>
          </cell>
          <cell r="AN74">
            <v>1</v>
          </cell>
          <cell r="AO74">
            <v>0</v>
          </cell>
          <cell r="AP74"/>
          <cell r="AQ74">
            <v>5</v>
          </cell>
          <cell r="AR74">
            <v>25</v>
          </cell>
          <cell r="AS74">
            <v>0</v>
          </cell>
          <cell r="AT74">
            <v>1</v>
          </cell>
          <cell r="AU74">
            <v>2</v>
          </cell>
          <cell r="AV74"/>
          <cell r="AW74">
            <v>4</v>
          </cell>
          <cell r="AX74">
            <v>25</v>
          </cell>
          <cell r="AY74">
            <v>0</v>
          </cell>
          <cell r="AZ74">
            <v>1</v>
          </cell>
          <cell r="BA74">
            <v>1</v>
          </cell>
          <cell r="BB74"/>
          <cell r="BC74">
            <v>9</v>
          </cell>
          <cell r="BD74">
            <v>22</v>
          </cell>
          <cell r="BE74">
            <v>0</v>
          </cell>
          <cell r="BF74">
            <v>1</v>
          </cell>
          <cell r="BG74">
            <v>4</v>
          </cell>
          <cell r="BH74"/>
          <cell r="BI74">
            <v>1</v>
          </cell>
          <cell r="BJ74">
            <v>24</v>
          </cell>
          <cell r="BK74">
            <v>0</v>
          </cell>
          <cell r="BL74">
            <v>1</v>
          </cell>
          <cell r="BM74">
            <v>2</v>
          </cell>
          <cell r="BN74"/>
          <cell r="BO74">
            <v>3</v>
          </cell>
          <cell r="BP74">
            <v>24</v>
          </cell>
          <cell r="BQ74">
            <v>0</v>
          </cell>
          <cell r="BR74">
            <v>1</v>
          </cell>
          <cell r="BS74">
            <v>2</v>
          </cell>
          <cell r="BT74"/>
          <cell r="BU74">
            <v>4</v>
          </cell>
          <cell r="BV74">
            <v>25</v>
          </cell>
          <cell r="BW74">
            <v>0</v>
          </cell>
          <cell r="BX74">
            <v>1</v>
          </cell>
          <cell r="BY74">
            <v>1</v>
          </cell>
          <cell r="BZ74"/>
          <cell r="CA74">
            <v>4</v>
          </cell>
          <cell r="CB74">
            <v>26</v>
          </cell>
          <cell r="CC74">
            <v>0</v>
          </cell>
          <cell r="CD74">
            <v>1</v>
          </cell>
          <cell r="CE74">
            <v>0</v>
          </cell>
          <cell r="CF74"/>
          <cell r="CG74">
            <v>5</v>
          </cell>
          <cell r="CH74">
            <v>25</v>
          </cell>
          <cell r="CI74">
            <v>0</v>
          </cell>
          <cell r="CJ74">
            <v>1</v>
          </cell>
          <cell r="CK74">
            <v>0</v>
          </cell>
          <cell r="CL74"/>
          <cell r="CM74">
            <v>1</v>
          </cell>
          <cell r="CN74">
            <v>20</v>
          </cell>
          <cell r="CO74">
            <v>0</v>
          </cell>
          <cell r="CP74">
            <v>1</v>
          </cell>
          <cell r="CQ74">
            <v>2</v>
          </cell>
          <cell r="CR74"/>
          <cell r="CS74">
            <v>0</v>
          </cell>
          <cell r="CT74">
            <v>23</v>
          </cell>
          <cell r="CU74">
            <v>0</v>
          </cell>
          <cell r="CV74">
            <v>1</v>
          </cell>
          <cell r="CW74">
            <v>1</v>
          </cell>
          <cell r="CX74"/>
          <cell r="CY74">
            <v>0</v>
          </cell>
          <cell r="CZ74">
            <v>25.5</v>
          </cell>
          <cell r="DA74">
            <v>0</v>
          </cell>
          <cell r="DB74">
            <v>1</v>
          </cell>
          <cell r="DC74">
            <v>1</v>
          </cell>
          <cell r="DD74"/>
          <cell r="DE74">
            <v>0</v>
          </cell>
          <cell r="DF74">
            <v>25</v>
          </cell>
          <cell r="DG74">
            <v>0</v>
          </cell>
          <cell r="DH74">
            <v>1</v>
          </cell>
          <cell r="DI74">
            <v>0</v>
          </cell>
          <cell r="DJ74"/>
          <cell r="DK74">
            <v>1</v>
          </cell>
        </row>
        <row r="75">
          <cell r="B75" t="str">
            <v>CN0919</v>
          </cell>
          <cell r="C75" t="str">
            <v>Khối sản xuất</v>
          </cell>
          <cell r="D75" t="str">
            <v>Trần Văn Mạnh</v>
          </cell>
          <cell r="E75" t="str">
            <v>SX</v>
          </cell>
          <cell r="F75">
            <v>44984</v>
          </cell>
          <cell r="G75"/>
          <cell r="H75">
            <v>24</v>
          </cell>
          <cell r="I75">
            <v>0</v>
          </cell>
          <cell r="J75">
            <v>1</v>
          </cell>
          <cell r="K75">
            <v>2</v>
          </cell>
          <cell r="L75"/>
          <cell r="M75">
            <v>2</v>
          </cell>
          <cell r="N75">
            <v>20.416666666666664</v>
          </cell>
          <cell r="O75">
            <v>0</v>
          </cell>
          <cell r="P75">
            <v>1</v>
          </cell>
          <cell r="Q75">
            <v>5</v>
          </cell>
          <cell r="R75"/>
          <cell r="S75">
            <v>-2</v>
          </cell>
          <cell r="T75" t="e">
            <v>#REF!</v>
          </cell>
          <cell r="U75">
            <v>0</v>
          </cell>
          <cell r="V75" t="e">
            <v>#REF!</v>
          </cell>
          <cell r="W75" t="e">
            <v>#REF!</v>
          </cell>
          <cell r="X75"/>
          <cell r="Y75">
            <v>-1</v>
          </cell>
          <cell r="Z75">
            <v>20.75</v>
          </cell>
          <cell r="AA75">
            <v>0</v>
          </cell>
          <cell r="AB75">
            <v>1</v>
          </cell>
          <cell r="AC75">
            <v>0</v>
          </cell>
          <cell r="AD75"/>
          <cell r="AE75">
            <v>0</v>
          </cell>
          <cell r="AF75">
            <v>24.416666666666664</v>
          </cell>
          <cell r="AG75">
            <v>0</v>
          </cell>
          <cell r="AH75">
            <v>1</v>
          </cell>
          <cell r="AI75">
            <v>0</v>
          </cell>
          <cell r="AJ75"/>
          <cell r="AK75">
            <v>1</v>
          </cell>
          <cell r="AL75">
            <v>20</v>
          </cell>
          <cell r="AM75">
            <v>0</v>
          </cell>
          <cell r="AN75">
            <v>1</v>
          </cell>
          <cell r="AO75">
            <v>2</v>
          </cell>
          <cell r="AP75"/>
          <cell r="AQ75">
            <v>0</v>
          </cell>
          <cell r="AR75">
            <v>20</v>
          </cell>
          <cell r="AS75">
            <v>0</v>
          </cell>
          <cell r="AT75">
            <v>1</v>
          </cell>
          <cell r="AU75">
            <v>0</v>
          </cell>
          <cell r="AV75"/>
          <cell r="AW75">
            <v>1</v>
          </cell>
          <cell r="AX75">
            <v>25</v>
          </cell>
          <cell r="AY75">
            <v>0</v>
          </cell>
          <cell r="AZ75">
            <v>1</v>
          </cell>
          <cell r="BA75">
            <v>1</v>
          </cell>
          <cell r="BB75"/>
          <cell r="BC75">
            <v>4</v>
          </cell>
          <cell r="BD75">
            <v>24</v>
          </cell>
          <cell r="BE75">
            <v>0</v>
          </cell>
          <cell r="BF75">
            <v>1</v>
          </cell>
          <cell r="BG75">
            <v>1</v>
          </cell>
          <cell r="BH75"/>
          <cell r="BI75">
            <v>1</v>
          </cell>
          <cell r="BJ75">
            <v>23.333333333333336</v>
          </cell>
          <cell r="BK75">
            <v>0</v>
          </cell>
          <cell r="BL75">
            <v>1</v>
          </cell>
          <cell r="BM75">
            <v>0</v>
          </cell>
          <cell r="BN75"/>
          <cell r="BO75">
            <v>2</v>
          </cell>
          <cell r="BP75">
            <v>23.333333333333336</v>
          </cell>
          <cell r="BQ75">
            <v>0</v>
          </cell>
          <cell r="BR75">
            <v>1</v>
          </cell>
          <cell r="BS75">
            <v>0</v>
          </cell>
          <cell r="BT75"/>
          <cell r="BU75">
            <v>3</v>
          </cell>
          <cell r="BV75">
            <v>25</v>
          </cell>
          <cell r="BW75">
            <v>0</v>
          </cell>
          <cell r="BX75">
            <v>1</v>
          </cell>
          <cell r="BY75">
            <v>0</v>
          </cell>
          <cell r="BZ75"/>
          <cell r="CA75">
            <v>4</v>
          </cell>
          <cell r="CB75">
            <v>24</v>
          </cell>
          <cell r="CC75">
            <v>0</v>
          </cell>
          <cell r="CD75">
            <v>1</v>
          </cell>
          <cell r="CE75">
            <v>2</v>
          </cell>
          <cell r="CF75"/>
          <cell r="CG75">
            <v>3</v>
          </cell>
          <cell r="CH75">
            <v>23.75</v>
          </cell>
          <cell r="CI75">
            <v>0</v>
          </cell>
          <cell r="CJ75">
            <v>1</v>
          </cell>
          <cell r="CK75">
            <v>0</v>
          </cell>
          <cell r="CL75"/>
          <cell r="CM75">
            <v>1</v>
          </cell>
          <cell r="CN75">
            <v>21</v>
          </cell>
          <cell r="CO75">
            <v>0</v>
          </cell>
          <cell r="CP75">
            <v>1</v>
          </cell>
          <cell r="CQ75">
            <v>1</v>
          </cell>
          <cell r="CR75"/>
          <cell r="CS75">
            <v>1</v>
          </cell>
          <cell r="CT75">
            <v>24</v>
          </cell>
          <cell r="CU75">
            <v>0</v>
          </cell>
          <cell r="CV75">
            <v>1</v>
          </cell>
          <cell r="CW75">
            <v>0</v>
          </cell>
          <cell r="CX75"/>
          <cell r="CY75">
            <v>2</v>
          </cell>
          <cell r="CZ75">
            <v>23</v>
          </cell>
          <cell r="DA75">
            <v>0</v>
          </cell>
          <cell r="DB75">
            <v>1</v>
          </cell>
          <cell r="DC75">
            <v>2</v>
          </cell>
          <cell r="DD75"/>
          <cell r="DE75">
            <v>1</v>
          </cell>
          <cell r="DF75">
            <v>22</v>
          </cell>
          <cell r="DG75">
            <v>0</v>
          </cell>
          <cell r="DH75">
            <v>1</v>
          </cell>
          <cell r="DI75">
            <v>0</v>
          </cell>
          <cell r="DJ75"/>
          <cell r="DK75">
            <v>2</v>
          </cell>
        </row>
        <row r="76">
          <cell r="B76" t="str">
            <v>CN0944</v>
          </cell>
          <cell r="C76" t="str">
            <v>Khối sản xuất</v>
          </cell>
          <cell r="D76" t="str">
            <v>Nguyễn Thanh Song</v>
          </cell>
          <cell r="E76" t="str">
            <v>SX</v>
          </cell>
          <cell r="F76">
            <v>45005</v>
          </cell>
          <cell r="G76"/>
          <cell r="H76">
            <v>26</v>
          </cell>
          <cell r="I76">
            <v>0</v>
          </cell>
          <cell r="J76">
            <v>1</v>
          </cell>
          <cell r="K76">
            <v>0</v>
          </cell>
          <cell r="L76"/>
          <cell r="M76">
            <v>6</v>
          </cell>
          <cell r="N76">
            <v>23</v>
          </cell>
          <cell r="O76">
            <v>0</v>
          </cell>
          <cell r="P76">
            <v>1</v>
          </cell>
          <cell r="Q76">
            <v>2</v>
          </cell>
          <cell r="R76"/>
          <cell r="S76">
            <v>5</v>
          </cell>
          <cell r="T76" t="e">
            <v>#REF!</v>
          </cell>
          <cell r="U76">
            <v>0</v>
          </cell>
          <cell r="V76" t="e">
            <v>#REF!</v>
          </cell>
          <cell r="W76" t="e">
            <v>#REF!</v>
          </cell>
          <cell r="X76"/>
          <cell r="Y76">
            <v>2</v>
          </cell>
          <cell r="Z76">
            <v>22</v>
          </cell>
          <cell r="AA76">
            <v>0</v>
          </cell>
          <cell r="AB76">
            <v>1</v>
          </cell>
          <cell r="AC76">
            <v>2</v>
          </cell>
          <cell r="AD76"/>
          <cell r="AE76">
            <v>1</v>
          </cell>
          <cell r="AF76">
            <v>25</v>
          </cell>
          <cell r="AG76">
            <v>0</v>
          </cell>
          <cell r="AH76">
            <v>1</v>
          </cell>
          <cell r="AI76">
            <v>1</v>
          </cell>
          <cell r="AJ76"/>
          <cell r="AK76">
            <v>1</v>
          </cell>
          <cell r="AL76">
            <v>23</v>
          </cell>
          <cell r="AM76">
            <v>0</v>
          </cell>
          <cell r="AN76">
            <v>1</v>
          </cell>
          <cell r="AO76">
            <v>0</v>
          </cell>
          <cell r="AP76"/>
          <cell r="AQ76">
            <v>2</v>
          </cell>
          <cell r="AR76">
            <v>25.833333333333336</v>
          </cell>
          <cell r="AS76">
            <v>0</v>
          </cell>
          <cell r="AT76">
            <v>1</v>
          </cell>
          <cell r="AU76">
            <v>0</v>
          </cell>
          <cell r="AV76"/>
          <cell r="AW76">
            <v>3</v>
          </cell>
          <cell r="AX76">
            <v>25.416666666666664</v>
          </cell>
          <cell r="AY76">
            <v>0</v>
          </cell>
          <cell r="AZ76">
            <v>1</v>
          </cell>
          <cell r="BA76">
            <v>0</v>
          </cell>
          <cell r="BB76"/>
          <cell r="BC76">
            <v>12</v>
          </cell>
          <cell r="BD76">
            <v>25.833333333333336</v>
          </cell>
          <cell r="BE76">
            <v>0</v>
          </cell>
          <cell r="BF76">
            <v>1</v>
          </cell>
          <cell r="BG76">
            <v>0</v>
          </cell>
          <cell r="BH76"/>
          <cell r="BI76">
            <v>5</v>
          </cell>
          <cell r="BJ76">
            <v>26</v>
          </cell>
          <cell r="BK76">
            <v>0</v>
          </cell>
          <cell r="BL76">
            <v>1</v>
          </cell>
          <cell r="BM76">
            <v>0</v>
          </cell>
          <cell r="BN76"/>
          <cell r="BO76">
            <v>5</v>
          </cell>
          <cell r="BP76">
            <v>26</v>
          </cell>
          <cell r="BQ76">
            <v>0</v>
          </cell>
          <cell r="BR76">
            <v>1</v>
          </cell>
          <cell r="BS76">
            <v>0</v>
          </cell>
          <cell r="BT76"/>
          <cell r="BU76">
            <v>6</v>
          </cell>
          <cell r="BV76">
            <v>25.916666666666664</v>
          </cell>
          <cell r="BW76">
            <v>0</v>
          </cell>
          <cell r="BX76">
            <v>1</v>
          </cell>
          <cell r="BY76">
            <v>0</v>
          </cell>
          <cell r="BZ76"/>
          <cell r="CA76">
            <v>7</v>
          </cell>
          <cell r="CB76">
            <v>26</v>
          </cell>
          <cell r="CC76">
            <v>0</v>
          </cell>
          <cell r="CD76">
            <v>1</v>
          </cell>
          <cell r="CE76">
            <v>0</v>
          </cell>
          <cell r="CF76"/>
          <cell r="CG76">
            <v>8</v>
          </cell>
          <cell r="CH76">
            <v>23</v>
          </cell>
          <cell r="CI76">
            <v>0</v>
          </cell>
          <cell r="CJ76">
            <v>1</v>
          </cell>
          <cell r="CK76">
            <v>1</v>
          </cell>
          <cell r="CL76"/>
          <cell r="CM76">
            <v>0</v>
          </cell>
          <cell r="CN76">
            <v>21</v>
          </cell>
          <cell r="CO76">
            <v>0</v>
          </cell>
          <cell r="CP76">
            <v>1</v>
          </cell>
          <cell r="CQ76">
            <v>1</v>
          </cell>
          <cell r="CR76"/>
          <cell r="CS76">
            <v>0</v>
          </cell>
          <cell r="CT76">
            <v>24</v>
          </cell>
          <cell r="CU76">
            <v>0</v>
          </cell>
          <cell r="CV76">
            <v>1</v>
          </cell>
          <cell r="CW76">
            <v>0</v>
          </cell>
          <cell r="CX76"/>
          <cell r="CY76">
            <v>1</v>
          </cell>
          <cell r="CZ76">
            <v>27</v>
          </cell>
          <cell r="DA76">
            <v>0</v>
          </cell>
          <cell r="DB76">
            <v>1</v>
          </cell>
          <cell r="DC76">
            <v>0</v>
          </cell>
          <cell r="DD76"/>
          <cell r="DE76">
            <v>2</v>
          </cell>
          <cell r="DF76">
            <v>23</v>
          </cell>
          <cell r="DG76">
            <v>0</v>
          </cell>
          <cell r="DH76">
            <v>1</v>
          </cell>
          <cell r="DI76">
            <v>2</v>
          </cell>
          <cell r="DJ76"/>
          <cell r="DK76">
            <v>1</v>
          </cell>
        </row>
        <row r="77">
          <cell r="B77" t="str">
            <v>CN0981</v>
          </cell>
          <cell r="C77" t="str">
            <v>Khối sản xuất</v>
          </cell>
          <cell r="D77" t="str">
            <v>Hoàng Văn Tý</v>
          </cell>
          <cell r="E77" t="str">
            <v>SX</v>
          </cell>
          <cell r="F77">
            <v>45093</v>
          </cell>
          <cell r="G77"/>
          <cell r="H77">
            <v>22.416666666666664</v>
          </cell>
          <cell r="I77">
            <v>0</v>
          </cell>
          <cell r="J77">
            <v>1</v>
          </cell>
          <cell r="K77">
            <v>2</v>
          </cell>
          <cell r="L77"/>
          <cell r="M77">
            <v>1</v>
          </cell>
          <cell r="N77">
            <v>20.25</v>
          </cell>
          <cell r="O77">
            <v>0</v>
          </cell>
          <cell r="P77">
            <v>1</v>
          </cell>
          <cell r="Q77">
            <v>1</v>
          </cell>
          <cell r="R77"/>
          <cell r="S77">
            <v>1</v>
          </cell>
          <cell r="T77" t="e">
            <v>#REF!</v>
          </cell>
          <cell r="U77">
            <v>0</v>
          </cell>
          <cell r="V77" t="e">
            <v>#REF!</v>
          </cell>
          <cell r="W77" t="e">
            <v>#REF!</v>
          </cell>
          <cell r="X77"/>
          <cell r="Y77">
            <v>0</v>
          </cell>
          <cell r="Z77">
            <v>23.75</v>
          </cell>
          <cell r="AA77">
            <v>0</v>
          </cell>
          <cell r="AB77">
            <v>1</v>
          </cell>
          <cell r="AC77">
            <v>0</v>
          </cell>
          <cell r="AD77"/>
          <cell r="AE77">
            <v>1</v>
          </cell>
          <cell r="AF77">
            <v>22.916666666666664</v>
          </cell>
          <cell r="AG77">
            <v>0</v>
          </cell>
          <cell r="AH77">
            <v>1</v>
          </cell>
          <cell r="AI77">
            <v>2</v>
          </cell>
          <cell r="AJ77"/>
          <cell r="AK77">
            <v>0</v>
          </cell>
          <cell r="AL77">
            <v>22</v>
          </cell>
          <cell r="AM77">
            <v>0</v>
          </cell>
          <cell r="AN77">
            <v>1</v>
          </cell>
          <cell r="AO77">
            <v>1</v>
          </cell>
          <cell r="AP77"/>
          <cell r="AQ77">
            <v>0</v>
          </cell>
          <cell r="AR77">
            <v>26</v>
          </cell>
          <cell r="AS77">
            <v>0</v>
          </cell>
          <cell r="AT77">
            <v>1</v>
          </cell>
          <cell r="AU77">
            <v>1</v>
          </cell>
          <cell r="AV77"/>
          <cell r="AW77">
            <v>0</v>
          </cell>
          <cell r="AX77">
            <v>17</v>
          </cell>
          <cell r="AY77">
            <v>0</v>
          </cell>
          <cell r="AZ77">
            <v>1</v>
          </cell>
          <cell r="BA77">
            <v>1</v>
          </cell>
          <cell r="BB77"/>
          <cell r="BC77">
            <v>1</v>
          </cell>
          <cell r="BD77">
            <v>10.583333333333334</v>
          </cell>
          <cell r="BE77">
            <v>0</v>
          </cell>
          <cell r="BF77">
            <v>0</v>
          </cell>
          <cell r="BG77">
            <v>0</v>
          </cell>
          <cell r="BH77"/>
          <cell r="BI77">
            <v>0</v>
          </cell>
          <cell r="BJ77">
            <v>23</v>
          </cell>
          <cell r="BK77">
            <v>0</v>
          </cell>
          <cell r="BL77">
            <v>1</v>
          </cell>
          <cell r="BM77">
            <v>2</v>
          </cell>
          <cell r="BN77"/>
          <cell r="BO77">
            <v>-1</v>
          </cell>
          <cell r="BP77">
            <v>23</v>
          </cell>
          <cell r="BQ77">
            <v>0</v>
          </cell>
          <cell r="BR77">
            <v>1</v>
          </cell>
          <cell r="BS77">
            <v>2</v>
          </cell>
          <cell r="BT77"/>
          <cell r="BU77">
            <v>0</v>
          </cell>
          <cell r="BV77">
            <v>24.666666666666664</v>
          </cell>
          <cell r="BW77">
            <v>0</v>
          </cell>
          <cell r="BX77">
            <v>1</v>
          </cell>
          <cell r="BY77">
            <v>0</v>
          </cell>
          <cell r="BZ77"/>
          <cell r="CA77">
            <v>1</v>
          </cell>
          <cell r="CB77">
            <v>24.75</v>
          </cell>
          <cell r="CC77">
            <v>0</v>
          </cell>
          <cell r="CD77">
            <v>1</v>
          </cell>
          <cell r="CE77">
            <v>1</v>
          </cell>
          <cell r="CF77"/>
          <cell r="CG77">
            <v>1</v>
          </cell>
          <cell r="CH77">
            <v>24.75</v>
          </cell>
          <cell r="CI77">
            <v>0</v>
          </cell>
          <cell r="CJ77">
            <v>1</v>
          </cell>
          <cell r="CK77">
            <v>0</v>
          </cell>
          <cell r="CL77"/>
          <cell r="CM77">
            <v>1</v>
          </cell>
          <cell r="CN77">
            <v>19</v>
          </cell>
          <cell r="CO77">
            <v>0</v>
          </cell>
          <cell r="CP77">
            <v>1</v>
          </cell>
          <cell r="CQ77">
            <v>1</v>
          </cell>
          <cell r="CR77"/>
          <cell r="CS77">
            <v>1</v>
          </cell>
          <cell r="CT77">
            <v>23</v>
          </cell>
          <cell r="CU77">
            <v>0</v>
          </cell>
          <cell r="CV77">
            <v>1</v>
          </cell>
          <cell r="CW77">
            <v>1</v>
          </cell>
          <cell r="CX77"/>
          <cell r="CY77">
            <v>1</v>
          </cell>
          <cell r="CZ77">
            <v>27</v>
          </cell>
          <cell r="DA77">
            <v>0</v>
          </cell>
          <cell r="DB77">
            <v>1</v>
          </cell>
          <cell r="DC77">
            <v>0</v>
          </cell>
          <cell r="DD77"/>
          <cell r="DE77">
            <v>2</v>
          </cell>
          <cell r="DF77">
            <v>25</v>
          </cell>
          <cell r="DG77">
            <v>0</v>
          </cell>
          <cell r="DH77">
            <v>1</v>
          </cell>
          <cell r="DI77">
            <v>0</v>
          </cell>
          <cell r="DJ77"/>
          <cell r="DK77">
            <v>3</v>
          </cell>
        </row>
        <row r="78">
          <cell r="B78" t="str">
            <v>CN0986</v>
          </cell>
          <cell r="C78" t="str">
            <v>Khối sản xuất</v>
          </cell>
          <cell r="D78" t="str">
            <v>Miêu Quốc Khánh</v>
          </cell>
          <cell r="E78" t="str">
            <v>SX</v>
          </cell>
          <cell r="F78">
            <v>45096</v>
          </cell>
          <cell r="G78"/>
          <cell r="H78">
            <v>25</v>
          </cell>
          <cell r="I78">
            <v>0</v>
          </cell>
          <cell r="J78">
            <v>1</v>
          </cell>
          <cell r="K78">
            <v>1</v>
          </cell>
          <cell r="L78"/>
          <cell r="M78">
            <v>3</v>
          </cell>
          <cell r="N78">
            <v>20.5</v>
          </cell>
          <cell r="O78">
            <v>0</v>
          </cell>
          <cell r="P78">
            <v>1</v>
          </cell>
          <cell r="Q78">
            <v>3</v>
          </cell>
          <cell r="R78"/>
          <cell r="S78">
            <v>1</v>
          </cell>
          <cell r="T78" t="e">
            <v>#REF!</v>
          </cell>
          <cell r="U78">
            <v>0</v>
          </cell>
          <cell r="V78" t="e">
            <v>#REF!</v>
          </cell>
          <cell r="W78" t="e">
            <v>#REF!</v>
          </cell>
          <cell r="X78"/>
          <cell r="Y78">
            <v>2</v>
          </cell>
          <cell r="Z78">
            <v>21</v>
          </cell>
          <cell r="AA78">
            <v>0</v>
          </cell>
          <cell r="AB78">
            <v>1</v>
          </cell>
          <cell r="AC78">
            <v>2</v>
          </cell>
          <cell r="AD78"/>
          <cell r="AE78">
            <v>1</v>
          </cell>
          <cell r="AF78">
            <v>23.666666666666664</v>
          </cell>
          <cell r="AG78">
            <v>0</v>
          </cell>
          <cell r="AH78">
            <v>1</v>
          </cell>
          <cell r="AI78">
            <v>2</v>
          </cell>
          <cell r="AJ78"/>
          <cell r="AK78">
            <v>0</v>
          </cell>
          <cell r="AL78">
            <v>23</v>
          </cell>
          <cell r="AM78">
            <v>0</v>
          </cell>
          <cell r="AN78">
            <v>1</v>
          </cell>
          <cell r="AO78">
            <v>0</v>
          </cell>
          <cell r="AP78"/>
          <cell r="AQ78">
            <v>1</v>
          </cell>
          <cell r="AR78">
            <v>26</v>
          </cell>
          <cell r="AS78">
            <v>0</v>
          </cell>
          <cell r="AT78">
            <v>1</v>
          </cell>
          <cell r="AU78">
            <v>1</v>
          </cell>
          <cell r="AV78"/>
          <cell r="AW78">
            <v>1</v>
          </cell>
          <cell r="AX78">
            <v>25</v>
          </cell>
          <cell r="AY78">
            <v>0</v>
          </cell>
          <cell r="AZ78">
            <v>1</v>
          </cell>
          <cell r="BA78">
            <v>1</v>
          </cell>
          <cell r="BB78"/>
          <cell r="BC78">
            <v>5</v>
          </cell>
          <cell r="BD78">
            <v>23</v>
          </cell>
          <cell r="BE78">
            <v>0</v>
          </cell>
          <cell r="BF78">
            <v>1</v>
          </cell>
          <cell r="BG78">
            <v>2</v>
          </cell>
          <cell r="BH78"/>
          <cell r="BI78">
            <v>0</v>
          </cell>
          <cell r="BJ78">
            <v>25.833333333333332</v>
          </cell>
          <cell r="BK78">
            <v>0</v>
          </cell>
          <cell r="BL78">
            <v>1</v>
          </cell>
          <cell r="BM78">
            <v>0</v>
          </cell>
          <cell r="BN78"/>
          <cell r="BO78">
            <v>2</v>
          </cell>
          <cell r="BP78">
            <v>25.833333333333332</v>
          </cell>
          <cell r="BQ78">
            <v>0</v>
          </cell>
          <cell r="BR78">
            <v>1</v>
          </cell>
          <cell r="BS78">
            <v>0</v>
          </cell>
          <cell r="BT78"/>
          <cell r="BU78">
            <v>3</v>
          </cell>
          <cell r="BV78">
            <v>24.833333333333336</v>
          </cell>
          <cell r="BW78">
            <v>0</v>
          </cell>
          <cell r="BX78">
            <v>1</v>
          </cell>
          <cell r="BY78">
            <v>1</v>
          </cell>
          <cell r="BZ78"/>
          <cell r="CA78">
            <v>3</v>
          </cell>
          <cell r="CB78">
            <v>26</v>
          </cell>
          <cell r="CC78">
            <v>0</v>
          </cell>
          <cell r="CD78">
            <v>1</v>
          </cell>
          <cell r="CE78">
            <v>0</v>
          </cell>
          <cell r="CF78"/>
          <cell r="CG78">
            <v>4</v>
          </cell>
          <cell r="CH78">
            <v>25</v>
          </cell>
          <cell r="CI78">
            <v>0</v>
          </cell>
          <cell r="CJ78">
            <v>1</v>
          </cell>
          <cell r="CK78">
            <v>0</v>
          </cell>
          <cell r="CL78"/>
          <cell r="CM78">
            <v>1</v>
          </cell>
          <cell r="CN78">
            <v>19.916666666666664</v>
          </cell>
          <cell r="CO78">
            <v>0</v>
          </cell>
          <cell r="CP78">
            <v>1</v>
          </cell>
          <cell r="CQ78">
            <v>1</v>
          </cell>
          <cell r="CR78"/>
          <cell r="CS78">
            <v>1</v>
          </cell>
          <cell r="CT78">
            <v>24</v>
          </cell>
          <cell r="CU78">
            <v>0</v>
          </cell>
          <cell r="CV78">
            <v>1</v>
          </cell>
          <cell r="CW78">
            <v>0</v>
          </cell>
          <cell r="CX78"/>
          <cell r="CY78">
            <v>2</v>
          </cell>
          <cell r="CZ78">
            <v>26</v>
          </cell>
          <cell r="DA78">
            <v>0</v>
          </cell>
          <cell r="DB78">
            <v>1</v>
          </cell>
          <cell r="DC78">
            <v>0</v>
          </cell>
          <cell r="DD78"/>
          <cell r="DE78">
            <v>3</v>
          </cell>
          <cell r="DF78">
            <v>25</v>
          </cell>
          <cell r="DG78">
            <v>0</v>
          </cell>
          <cell r="DH78">
            <v>1</v>
          </cell>
          <cell r="DI78">
            <v>0</v>
          </cell>
          <cell r="DJ78"/>
          <cell r="DK78">
            <v>4</v>
          </cell>
        </row>
        <row r="79">
          <cell r="B79" t="str">
            <v>CN1022</v>
          </cell>
          <cell r="C79" t="str">
            <v>Khối sản xuất</v>
          </cell>
          <cell r="D79" t="str">
            <v>Đoàn Thị Hồng Nhung</v>
          </cell>
          <cell r="E79" t="str">
            <v>SX</v>
          </cell>
          <cell r="F79">
            <v>45134</v>
          </cell>
          <cell r="G79"/>
          <cell r="H79">
            <v>26</v>
          </cell>
          <cell r="I79">
            <v>0</v>
          </cell>
          <cell r="J79">
            <v>1</v>
          </cell>
          <cell r="K79">
            <v>0</v>
          </cell>
          <cell r="L79"/>
          <cell r="M79">
            <v>5</v>
          </cell>
          <cell r="N79">
            <v>25</v>
          </cell>
          <cell r="O79">
            <v>0</v>
          </cell>
          <cell r="P79">
            <v>1</v>
          </cell>
          <cell r="Q79">
            <v>1</v>
          </cell>
          <cell r="R79"/>
          <cell r="S79">
            <v>5</v>
          </cell>
          <cell r="T79" t="e">
            <v>#REF!</v>
          </cell>
          <cell r="U79">
            <v>0</v>
          </cell>
          <cell r="V79" t="e">
            <v>#REF!</v>
          </cell>
          <cell r="W79" t="e">
            <v>#REF!</v>
          </cell>
          <cell r="X79"/>
          <cell r="Y79">
            <v>2</v>
          </cell>
          <cell r="Z79">
            <v>23.25</v>
          </cell>
          <cell r="AA79">
            <v>0</v>
          </cell>
          <cell r="AB79">
            <v>1</v>
          </cell>
          <cell r="AC79">
            <v>0.5</v>
          </cell>
          <cell r="AD79"/>
          <cell r="AE79">
            <v>2.5</v>
          </cell>
          <cell r="AF79">
            <v>24.25</v>
          </cell>
          <cell r="AG79">
            <v>0</v>
          </cell>
          <cell r="AH79">
            <v>1</v>
          </cell>
          <cell r="AI79">
            <v>1</v>
          </cell>
          <cell r="AJ79"/>
          <cell r="AK79">
            <v>2.5</v>
          </cell>
          <cell r="AL79">
            <v>23</v>
          </cell>
          <cell r="AM79">
            <v>0</v>
          </cell>
          <cell r="AN79">
            <v>1</v>
          </cell>
          <cell r="AO79">
            <v>0</v>
          </cell>
          <cell r="AP79"/>
          <cell r="AQ79">
            <v>3.5</v>
          </cell>
          <cell r="AR79">
            <v>26.583333333333336</v>
          </cell>
          <cell r="AS79">
            <v>0</v>
          </cell>
          <cell r="AT79">
            <v>1</v>
          </cell>
          <cell r="AU79">
            <v>0</v>
          </cell>
          <cell r="AV79"/>
          <cell r="AW79">
            <v>4.5</v>
          </cell>
          <cell r="AX79">
            <v>26</v>
          </cell>
          <cell r="AY79">
            <v>0</v>
          </cell>
          <cell r="AZ79">
            <v>1</v>
          </cell>
          <cell r="BA79">
            <v>0</v>
          </cell>
          <cell r="BB79"/>
          <cell r="BC79">
            <v>11</v>
          </cell>
          <cell r="BD79">
            <v>25</v>
          </cell>
          <cell r="BE79">
            <v>0</v>
          </cell>
          <cell r="BF79">
            <v>1</v>
          </cell>
          <cell r="BG79">
            <v>1</v>
          </cell>
          <cell r="BH79"/>
          <cell r="BI79">
            <v>5.5</v>
          </cell>
          <cell r="BJ79">
            <v>22</v>
          </cell>
          <cell r="BK79">
            <v>0</v>
          </cell>
          <cell r="BL79">
            <v>1</v>
          </cell>
          <cell r="BM79">
            <v>4</v>
          </cell>
          <cell r="BN79"/>
          <cell r="BO79">
            <v>2.5</v>
          </cell>
          <cell r="BP79">
            <v>22</v>
          </cell>
          <cell r="BQ79">
            <v>0</v>
          </cell>
          <cell r="BR79">
            <v>1</v>
          </cell>
          <cell r="BS79">
            <v>4</v>
          </cell>
          <cell r="BT79"/>
          <cell r="BU79">
            <v>3.5</v>
          </cell>
          <cell r="BV79">
            <v>25.916666666666664</v>
          </cell>
          <cell r="BW79">
            <v>0</v>
          </cell>
          <cell r="BX79">
            <v>1</v>
          </cell>
          <cell r="BY79">
            <v>0</v>
          </cell>
          <cell r="BZ79"/>
          <cell r="CA79">
            <v>4.5</v>
          </cell>
          <cell r="CB79">
            <v>25.916666666666664</v>
          </cell>
          <cell r="CC79">
            <v>0</v>
          </cell>
          <cell r="CD79">
            <v>1</v>
          </cell>
          <cell r="CE79">
            <v>0</v>
          </cell>
          <cell r="CF79"/>
          <cell r="CG79">
            <v>5.5</v>
          </cell>
          <cell r="CH79">
            <v>24</v>
          </cell>
          <cell r="CI79">
            <v>0</v>
          </cell>
          <cell r="CJ79">
            <v>1</v>
          </cell>
          <cell r="CK79">
            <v>1</v>
          </cell>
          <cell r="CL79"/>
          <cell r="CM79">
            <v>0</v>
          </cell>
          <cell r="CN79">
            <v>21</v>
          </cell>
          <cell r="CO79">
            <v>0</v>
          </cell>
          <cell r="CP79">
            <v>1</v>
          </cell>
          <cell r="CQ79">
            <v>1</v>
          </cell>
          <cell r="CR79"/>
          <cell r="CS79">
            <v>0</v>
          </cell>
          <cell r="CT79">
            <v>24</v>
          </cell>
          <cell r="CU79">
            <v>0</v>
          </cell>
          <cell r="CV79">
            <v>1</v>
          </cell>
          <cell r="CW79">
            <v>0</v>
          </cell>
          <cell r="CX79"/>
          <cell r="CY79">
            <v>1</v>
          </cell>
          <cell r="CZ79">
            <v>26</v>
          </cell>
          <cell r="DA79">
            <v>0</v>
          </cell>
          <cell r="DB79">
            <v>1</v>
          </cell>
          <cell r="DC79">
            <v>1</v>
          </cell>
          <cell r="DD79"/>
          <cell r="DE79">
            <v>1</v>
          </cell>
          <cell r="DF79">
            <v>25</v>
          </cell>
          <cell r="DG79">
            <v>0</v>
          </cell>
          <cell r="DH79">
            <v>1</v>
          </cell>
          <cell r="DI79">
            <v>0</v>
          </cell>
          <cell r="DJ79"/>
          <cell r="DK79">
            <v>2</v>
          </cell>
        </row>
        <row r="80">
          <cell r="B80" t="str">
            <v>CN1080</v>
          </cell>
          <cell r="C80" t="str">
            <v>Khối sản xuất</v>
          </cell>
          <cell r="D80" t="str">
            <v>Lê Văn Giỏi</v>
          </cell>
          <cell r="E80" t="str">
            <v>SX</v>
          </cell>
          <cell r="F80">
            <v>45323</v>
          </cell>
          <cell r="G80"/>
          <cell r="H80">
            <v>25</v>
          </cell>
          <cell r="I80">
            <v>0</v>
          </cell>
          <cell r="J80">
            <v>1</v>
          </cell>
          <cell r="K80">
            <v>1</v>
          </cell>
          <cell r="L80"/>
          <cell r="M80">
            <v>0</v>
          </cell>
          <cell r="N80">
            <v>25</v>
          </cell>
          <cell r="O80">
            <v>0</v>
          </cell>
          <cell r="P80">
            <v>1</v>
          </cell>
          <cell r="Q80">
            <v>1</v>
          </cell>
          <cell r="R80"/>
          <cell r="S80">
            <v>0</v>
          </cell>
          <cell r="T80" t="e">
            <v>#REF!</v>
          </cell>
          <cell r="U80">
            <v>0</v>
          </cell>
          <cell r="V80" t="e">
            <v>#REF!</v>
          </cell>
          <cell r="W80" t="e">
            <v>#REF!</v>
          </cell>
          <cell r="X80"/>
          <cell r="Y80">
            <v>0</v>
          </cell>
          <cell r="Z80">
            <v>23.444444444444443</v>
          </cell>
          <cell r="AA80">
            <v>0</v>
          </cell>
          <cell r="AB80">
            <v>1</v>
          </cell>
          <cell r="AC80">
            <v>0</v>
          </cell>
          <cell r="AD80"/>
          <cell r="AE80">
            <v>1</v>
          </cell>
          <cell r="AF80">
            <v>24</v>
          </cell>
          <cell r="AG80">
            <v>0</v>
          </cell>
          <cell r="AH80">
            <v>1</v>
          </cell>
          <cell r="AI80">
            <v>2</v>
          </cell>
          <cell r="AJ80"/>
          <cell r="AK80">
            <v>0</v>
          </cell>
          <cell r="AL80">
            <v>20.111111111111111</v>
          </cell>
          <cell r="AM80">
            <v>0</v>
          </cell>
          <cell r="AN80">
            <v>1</v>
          </cell>
          <cell r="AO80">
            <v>1</v>
          </cell>
          <cell r="AP80"/>
          <cell r="AQ80">
            <v>0</v>
          </cell>
          <cell r="AR80">
            <v>27</v>
          </cell>
          <cell r="AS80">
            <v>0</v>
          </cell>
          <cell r="AT80">
            <v>1</v>
          </cell>
          <cell r="AU80">
            <v>0</v>
          </cell>
          <cell r="AV80"/>
          <cell r="AW80">
            <v>1</v>
          </cell>
          <cell r="AX80">
            <v>25.5</v>
          </cell>
          <cell r="AY80">
            <v>0</v>
          </cell>
          <cell r="AZ80">
            <v>1</v>
          </cell>
          <cell r="BA80">
            <v>0.5</v>
          </cell>
          <cell r="BB80"/>
          <cell r="BC80">
            <v>6.5</v>
          </cell>
          <cell r="BD80">
            <v>25</v>
          </cell>
          <cell r="BE80">
            <v>0</v>
          </cell>
          <cell r="BF80">
            <v>1</v>
          </cell>
          <cell r="BG80">
            <v>1</v>
          </cell>
          <cell r="BH80"/>
          <cell r="BI80">
            <v>1.5</v>
          </cell>
          <cell r="BJ80">
            <v>23</v>
          </cell>
          <cell r="BK80">
            <v>0</v>
          </cell>
          <cell r="BL80">
            <v>1</v>
          </cell>
          <cell r="BM80">
            <v>0</v>
          </cell>
          <cell r="BN80"/>
          <cell r="BO80">
            <v>2.5</v>
          </cell>
          <cell r="BP80">
            <v>23</v>
          </cell>
          <cell r="BQ80">
            <v>0</v>
          </cell>
          <cell r="BR80">
            <v>1</v>
          </cell>
          <cell r="BS80">
            <v>0</v>
          </cell>
          <cell r="BT80"/>
          <cell r="BU80">
            <v>3.5</v>
          </cell>
          <cell r="BV80">
            <v>25.777777777777779</v>
          </cell>
          <cell r="BW80">
            <v>0</v>
          </cell>
          <cell r="BX80">
            <v>1</v>
          </cell>
          <cell r="BY80">
            <v>0</v>
          </cell>
          <cell r="BZ80"/>
          <cell r="CA80">
            <v>4.5</v>
          </cell>
          <cell r="CB80">
            <v>25.5</v>
          </cell>
          <cell r="CC80">
            <v>0</v>
          </cell>
          <cell r="CD80">
            <v>1</v>
          </cell>
          <cell r="CE80">
            <v>0.5</v>
          </cell>
          <cell r="CF80"/>
          <cell r="CG80">
            <v>5</v>
          </cell>
          <cell r="CH80">
            <v>23.5</v>
          </cell>
          <cell r="CI80">
            <v>0</v>
          </cell>
          <cell r="CJ80">
            <v>1</v>
          </cell>
          <cell r="CK80">
            <v>1.5</v>
          </cell>
          <cell r="CL80"/>
          <cell r="CM80">
            <v>-0.5</v>
          </cell>
          <cell r="CN80">
            <v>18</v>
          </cell>
          <cell r="CO80">
            <v>0</v>
          </cell>
          <cell r="CP80">
            <v>1</v>
          </cell>
          <cell r="CQ80">
            <v>1</v>
          </cell>
          <cell r="CR80"/>
          <cell r="CS80">
            <v>-0.5</v>
          </cell>
          <cell r="CT80">
            <v>22</v>
          </cell>
          <cell r="CU80">
            <v>0</v>
          </cell>
          <cell r="CV80">
            <v>1</v>
          </cell>
          <cell r="CW80">
            <v>1</v>
          </cell>
          <cell r="CX80"/>
          <cell r="CY80">
            <v>-0.5</v>
          </cell>
          <cell r="CZ80">
            <v>24.888888888888889</v>
          </cell>
          <cell r="DA80">
            <v>0</v>
          </cell>
          <cell r="DB80">
            <v>1</v>
          </cell>
          <cell r="DC80">
            <v>0.5</v>
          </cell>
          <cell r="DD80"/>
          <cell r="DE80">
            <v>0</v>
          </cell>
          <cell r="DF80">
            <v>18.75</v>
          </cell>
          <cell r="DG80">
            <v>0</v>
          </cell>
          <cell r="DH80">
            <v>1</v>
          </cell>
          <cell r="DI80">
            <v>1</v>
          </cell>
          <cell r="DJ80"/>
          <cell r="DK80">
            <v>0</v>
          </cell>
        </row>
        <row r="81">
          <cell r="B81" t="str">
            <v>CN1111</v>
          </cell>
          <cell r="C81" t="str">
            <v>Khối sản xuất</v>
          </cell>
          <cell r="D81" t="str">
            <v>Lê Văn Mạnh</v>
          </cell>
          <cell r="E81" t="str">
            <v>SX</v>
          </cell>
          <cell r="F81">
            <v>45353</v>
          </cell>
          <cell r="G81"/>
          <cell r="H81">
            <v>26</v>
          </cell>
          <cell r="I81">
            <v>0</v>
          </cell>
          <cell r="J81">
            <v>1</v>
          </cell>
          <cell r="K81">
            <v>0</v>
          </cell>
          <cell r="L81"/>
          <cell r="M81">
            <v>5</v>
          </cell>
          <cell r="N81">
            <v>25</v>
          </cell>
          <cell r="O81">
            <v>0</v>
          </cell>
          <cell r="P81">
            <v>1</v>
          </cell>
          <cell r="Q81">
            <v>1</v>
          </cell>
          <cell r="R81"/>
          <cell r="S81">
            <v>5</v>
          </cell>
          <cell r="T81" t="e">
            <v>#REF!</v>
          </cell>
          <cell r="U81">
            <v>0</v>
          </cell>
          <cell r="V81" t="e">
            <v>#REF!</v>
          </cell>
          <cell r="W81" t="e">
            <v>#REF!</v>
          </cell>
          <cell r="X81"/>
          <cell r="Y81">
            <v>2</v>
          </cell>
          <cell r="Z81">
            <v>24</v>
          </cell>
          <cell r="AA81">
            <v>0</v>
          </cell>
          <cell r="AB81">
            <v>1</v>
          </cell>
          <cell r="AC81">
            <v>0</v>
          </cell>
          <cell r="AD81"/>
          <cell r="AE81">
            <v>3</v>
          </cell>
          <cell r="AF81">
            <v>20</v>
          </cell>
          <cell r="AG81">
            <v>0</v>
          </cell>
          <cell r="AH81">
            <v>1</v>
          </cell>
          <cell r="AI81">
            <v>3</v>
          </cell>
          <cell r="AJ81"/>
          <cell r="AK81">
            <v>1</v>
          </cell>
          <cell r="AL81">
            <v>22</v>
          </cell>
          <cell r="AM81">
            <v>0</v>
          </cell>
          <cell r="AN81">
            <v>1</v>
          </cell>
          <cell r="AO81">
            <v>1</v>
          </cell>
          <cell r="AP81"/>
          <cell r="AQ81">
            <v>1</v>
          </cell>
          <cell r="AR81">
            <v>25</v>
          </cell>
          <cell r="AS81">
            <v>0</v>
          </cell>
          <cell r="AT81">
            <v>1</v>
          </cell>
          <cell r="AU81">
            <v>2</v>
          </cell>
          <cell r="AV81"/>
          <cell r="AW81">
            <v>0</v>
          </cell>
          <cell r="AX81">
            <v>25.916666666666664</v>
          </cell>
          <cell r="AY81">
            <v>0</v>
          </cell>
          <cell r="AZ81">
            <v>1</v>
          </cell>
          <cell r="BA81">
            <v>0</v>
          </cell>
          <cell r="BB81"/>
          <cell r="BC81">
            <v>2</v>
          </cell>
          <cell r="BD81">
            <v>26</v>
          </cell>
          <cell r="BE81">
            <v>0</v>
          </cell>
          <cell r="BF81">
            <v>1</v>
          </cell>
          <cell r="BG81">
            <v>0</v>
          </cell>
          <cell r="BH81"/>
          <cell r="BI81">
            <v>2</v>
          </cell>
          <cell r="BJ81">
            <v>25</v>
          </cell>
          <cell r="BK81">
            <v>0</v>
          </cell>
          <cell r="BL81">
            <v>1</v>
          </cell>
          <cell r="BM81">
            <v>1</v>
          </cell>
          <cell r="BN81"/>
          <cell r="BO81">
            <v>1</v>
          </cell>
          <cell r="BP81">
            <v>25</v>
          </cell>
          <cell r="BQ81">
            <v>0</v>
          </cell>
          <cell r="BR81">
            <v>1</v>
          </cell>
          <cell r="BS81">
            <v>1</v>
          </cell>
          <cell r="BT81"/>
          <cell r="BU81">
            <v>2</v>
          </cell>
          <cell r="BV81">
            <v>23</v>
          </cell>
          <cell r="BW81">
            <v>0</v>
          </cell>
          <cell r="BX81">
            <v>1</v>
          </cell>
          <cell r="BY81">
            <v>3</v>
          </cell>
          <cell r="BZ81"/>
          <cell r="CA81">
            <v>0</v>
          </cell>
          <cell r="CB81">
            <v>26</v>
          </cell>
          <cell r="CC81">
            <v>0</v>
          </cell>
          <cell r="CD81">
            <v>1</v>
          </cell>
          <cell r="CE81">
            <v>0</v>
          </cell>
          <cell r="CF81"/>
          <cell r="CG81">
            <v>1</v>
          </cell>
          <cell r="CH81">
            <v>23</v>
          </cell>
          <cell r="CI81">
            <v>0</v>
          </cell>
          <cell r="CJ81">
            <v>1</v>
          </cell>
          <cell r="CK81">
            <v>1</v>
          </cell>
          <cell r="CL81"/>
          <cell r="CM81">
            <v>0</v>
          </cell>
          <cell r="CN81">
            <v>20</v>
          </cell>
          <cell r="CO81">
            <v>0</v>
          </cell>
          <cell r="CP81">
            <v>1</v>
          </cell>
          <cell r="CQ81">
            <v>1</v>
          </cell>
          <cell r="CR81"/>
          <cell r="CS81">
            <v>0</v>
          </cell>
          <cell r="CT81">
            <v>22.833333333333332</v>
          </cell>
          <cell r="CU81">
            <v>0</v>
          </cell>
          <cell r="CV81">
            <v>1</v>
          </cell>
          <cell r="CW81">
            <v>1</v>
          </cell>
          <cell r="CX81"/>
          <cell r="CY81">
            <v>0</v>
          </cell>
          <cell r="CZ81">
            <v>27</v>
          </cell>
          <cell r="DA81">
            <v>0</v>
          </cell>
          <cell r="DB81">
            <v>1</v>
          </cell>
          <cell r="DC81">
            <v>0</v>
          </cell>
          <cell r="DD81"/>
          <cell r="DE81">
            <v>1</v>
          </cell>
          <cell r="DF81">
            <v>25</v>
          </cell>
          <cell r="DG81">
            <v>0</v>
          </cell>
          <cell r="DH81">
            <v>1</v>
          </cell>
          <cell r="DI81">
            <v>0</v>
          </cell>
          <cell r="DJ81"/>
          <cell r="DK81">
            <v>2</v>
          </cell>
        </row>
        <row r="82">
          <cell r="B82" t="str">
            <v>CN1118</v>
          </cell>
          <cell r="C82" t="str">
            <v>Khối sản xuất</v>
          </cell>
          <cell r="D82" t="str">
            <v>Lý Minh Quý</v>
          </cell>
          <cell r="E82" t="str">
            <v>SX</v>
          </cell>
          <cell r="F82">
            <v>45356</v>
          </cell>
          <cell r="G82"/>
          <cell r="H82">
            <v>25</v>
          </cell>
          <cell r="I82">
            <v>0</v>
          </cell>
          <cell r="J82">
            <v>1</v>
          </cell>
          <cell r="K82">
            <v>1</v>
          </cell>
          <cell r="L82"/>
          <cell r="M82">
            <v>7</v>
          </cell>
          <cell r="N82">
            <v>25</v>
          </cell>
          <cell r="O82">
            <v>0</v>
          </cell>
          <cell r="P82">
            <v>1</v>
          </cell>
          <cell r="Q82">
            <v>1</v>
          </cell>
          <cell r="R82"/>
          <cell r="S82">
            <v>7</v>
          </cell>
          <cell r="T82" t="e">
            <v>#REF!</v>
          </cell>
          <cell r="U82">
            <v>0</v>
          </cell>
          <cell r="V82" t="e">
            <v>#REF!</v>
          </cell>
          <cell r="W82" t="e">
            <v>#REF!</v>
          </cell>
          <cell r="X82"/>
          <cell r="Y82">
            <v>2</v>
          </cell>
          <cell r="Z82">
            <v>20.833333333333336</v>
          </cell>
          <cell r="AA82">
            <v>0</v>
          </cell>
          <cell r="AB82">
            <v>1</v>
          </cell>
          <cell r="AC82">
            <v>3</v>
          </cell>
          <cell r="AD82"/>
          <cell r="AE82">
            <v>0</v>
          </cell>
          <cell r="AF82">
            <v>26</v>
          </cell>
          <cell r="AG82">
            <v>0</v>
          </cell>
          <cell r="AH82">
            <v>1</v>
          </cell>
          <cell r="AI82">
            <v>0</v>
          </cell>
          <cell r="AJ82"/>
          <cell r="AK82">
            <v>1</v>
          </cell>
          <cell r="AL82">
            <v>23</v>
          </cell>
          <cell r="AM82">
            <v>0</v>
          </cell>
          <cell r="AN82">
            <v>1</v>
          </cell>
          <cell r="AO82">
            <v>0</v>
          </cell>
          <cell r="AP82"/>
          <cell r="AQ82">
            <v>2</v>
          </cell>
          <cell r="AR82">
            <v>26</v>
          </cell>
          <cell r="AS82">
            <v>0</v>
          </cell>
          <cell r="AT82">
            <v>1</v>
          </cell>
          <cell r="AU82">
            <v>1</v>
          </cell>
          <cell r="AV82"/>
          <cell r="AW82">
            <v>2</v>
          </cell>
          <cell r="AX82">
            <v>27</v>
          </cell>
          <cell r="AY82">
            <v>0</v>
          </cell>
          <cell r="AZ82">
            <v>1</v>
          </cell>
          <cell r="BA82">
            <v>0</v>
          </cell>
          <cell r="BB82"/>
          <cell r="BC82">
            <v>8</v>
          </cell>
          <cell r="BD82">
            <v>25.833333333333336</v>
          </cell>
          <cell r="BE82">
            <v>0</v>
          </cell>
          <cell r="BF82">
            <v>1</v>
          </cell>
          <cell r="BG82">
            <v>0</v>
          </cell>
          <cell r="BH82"/>
          <cell r="BI82">
            <v>4</v>
          </cell>
          <cell r="BJ82">
            <v>25</v>
          </cell>
          <cell r="BK82">
            <v>0</v>
          </cell>
          <cell r="BL82">
            <v>1</v>
          </cell>
          <cell r="BM82">
            <v>1</v>
          </cell>
          <cell r="BN82"/>
          <cell r="BO82">
            <v>3</v>
          </cell>
          <cell r="BP82">
            <v>25</v>
          </cell>
          <cell r="BQ82">
            <v>0</v>
          </cell>
          <cell r="BR82">
            <v>1</v>
          </cell>
          <cell r="BS82">
            <v>1</v>
          </cell>
          <cell r="BT82"/>
          <cell r="BU82">
            <v>4</v>
          </cell>
          <cell r="BV82">
            <v>25</v>
          </cell>
          <cell r="BW82">
            <v>0</v>
          </cell>
          <cell r="BX82">
            <v>1</v>
          </cell>
          <cell r="BY82">
            <v>1</v>
          </cell>
          <cell r="BZ82"/>
          <cell r="CA82">
            <v>4</v>
          </cell>
          <cell r="CB82">
            <v>26</v>
          </cell>
          <cell r="CC82">
            <v>0</v>
          </cell>
          <cell r="CD82">
            <v>1</v>
          </cell>
          <cell r="CE82">
            <v>0</v>
          </cell>
          <cell r="CF82"/>
          <cell r="CG82">
            <v>5</v>
          </cell>
          <cell r="CH82">
            <v>25</v>
          </cell>
          <cell r="CI82">
            <v>0</v>
          </cell>
          <cell r="CJ82">
            <v>1</v>
          </cell>
          <cell r="CK82">
            <v>1</v>
          </cell>
          <cell r="CL82"/>
          <cell r="CM82">
            <v>0</v>
          </cell>
          <cell r="CN82">
            <v>19</v>
          </cell>
          <cell r="CO82">
            <v>0</v>
          </cell>
          <cell r="CP82">
            <v>1</v>
          </cell>
          <cell r="CQ82">
            <v>1</v>
          </cell>
          <cell r="CR82"/>
          <cell r="CS82">
            <v>0</v>
          </cell>
          <cell r="CT82">
            <v>23</v>
          </cell>
          <cell r="CU82">
            <v>0</v>
          </cell>
          <cell r="CV82">
            <v>1</v>
          </cell>
          <cell r="CW82">
            <v>1</v>
          </cell>
          <cell r="CX82"/>
          <cell r="CY82">
            <v>0</v>
          </cell>
          <cell r="CZ82">
            <v>25</v>
          </cell>
          <cell r="DA82">
            <v>0</v>
          </cell>
          <cell r="DB82">
            <v>1</v>
          </cell>
          <cell r="DC82">
            <v>1</v>
          </cell>
          <cell r="DD82"/>
          <cell r="DE82">
            <v>0</v>
          </cell>
          <cell r="DF82">
            <v>21.583333333333336</v>
          </cell>
          <cell r="DG82">
            <v>0</v>
          </cell>
          <cell r="DH82">
            <v>1</v>
          </cell>
          <cell r="DI82">
            <v>0</v>
          </cell>
          <cell r="DJ82"/>
          <cell r="DK82">
            <v>1</v>
          </cell>
        </row>
        <row r="83">
          <cell r="B83" t="str">
            <v>CN1131</v>
          </cell>
          <cell r="C83" t="str">
            <v>Khối sản xuất</v>
          </cell>
          <cell r="D83" t="str">
            <v>Thạch Thành</v>
          </cell>
          <cell r="E83" t="str">
            <v>SX</v>
          </cell>
          <cell r="F83">
            <v>45363</v>
          </cell>
          <cell r="G83"/>
          <cell r="H83">
            <v>26</v>
          </cell>
          <cell r="I83">
            <v>0</v>
          </cell>
          <cell r="J83">
            <v>1</v>
          </cell>
          <cell r="K83">
            <v>0</v>
          </cell>
          <cell r="L83"/>
          <cell r="M83">
            <v>7</v>
          </cell>
          <cell r="N83">
            <v>24</v>
          </cell>
          <cell r="O83">
            <v>0</v>
          </cell>
          <cell r="P83">
            <v>1</v>
          </cell>
          <cell r="Q83">
            <v>2</v>
          </cell>
          <cell r="R83"/>
          <cell r="S83">
            <v>6</v>
          </cell>
          <cell r="T83" t="e">
            <v>#REF!</v>
          </cell>
          <cell r="U83">
            <v>0</v>
          </cell>
          <cell r="V83" t="e">
            <v>#REF!</v>
          </cell>
          <cell r="W83" t="e">
            <v>#REF!</v>
          </cell>
          <cell r="X83"/>
          <cell r="Y83">
            <v>2</v>
          </cell>
          <cell r="Z83">
            <v>22.833333333333336</v>
          </cell>
          <cell r="AA83">
            <v>0</v>
          </cell>
          <cell r="AB83">
            <v>1</v>
          </cell>
          <cell r="AC83">
            <v>1</v>
          </cell>
          <cell r="AD83"/>
          <cell r="AE83">
            <v>2</v>
          </cell>
          <cell r="AF83">
            <v>26</v>
          </cell>
          <cell r="AG83">
            <v>0</v>
          </cell>
          <cell r="AH83">
            <v>1</v>
          </cell>
          <cell r="AI83">
            <v>0</v>
          </cell>
          <cell r="AJ83"/>
          <cell r="AK83">
            <v>3</v>
          </cell>
          <cell r="AL83">
            <v>23</v>
          </cell>
          <cell r="AM83">
            <v>0</v>
          </cell>
          <cell r="AN83">
            <v>1</v>
          </cell>
          <cell r="AO83">
            <v>0</v>
          </cell>
          <cell r="AP83"/>
          <cell r="AQ83">
            <v>4</v>
          </cell>
          <cell r="AR83">
            <v>24</v>
          </cell>
          <cell r="AS83">
            <v>0</v>
          </cell>
          <cell r="AT83">
            <v>1</v>
          </cell>
          <cell r="AU83">
            <v>3</v>
          </cell>
          <cell r="AV83"/>
          <cell r="AW83">
            <v>2</v>
          </cell>
          <cell r="AX83">
            <v>26</v>
          </cell>
          <cell r="AY83">
            <v>0</v>
          </cell>
          <cell r="AZ83">
            <v>1</v>
          </cell>
          <cell r="BA83">
            <v>0</v>
          </cell>
          <cell r="BB83"/>
          <cell r="BC83">
            <v>9</v>
          </cell>
          <cell r="BD83">
            <v>26</v>
          </cell>
          <cell r="BE83">
            <v>0</v>
          </cell>
          <cell r="BF83">
            <v>1</v>
          </cell>
          <cell r="BG83">
            <v>0</v>
          </cell>
          <cell r="BH83"/>
          <cell r="BI83">
            <v>4</v>
          </cell>
          <cell r="BJ83">
            <v>26</v>
          </cell>
          <cell r="BK83">
            <v>0</v>
          </cell>
          <cell r="BL83">
            <v>1</v>
          </cell>
          <cell r="BM83">
            <v>0</v>
          </cell>
          <cell r="BN83"/>
          <cell r="BO83">
            <v>4</v>
          </cell>
          <cell r="BP83">
            <v>26</v>
          </cell>
          <cell r="BQ83">
            <v>0</v>
          </cell>
          <cell r="BR83">
            <v>1</v>
          </cell>
          <cell r="BS83">
            <v>0</v>
          </cell>
          <cell r="BT83"/>
          <cell r="BU83">
            <v>5</v>
          </cell>
          <cell r="BV83">
            <v>25</v>
          </cell>
          <cell r="BW83">
            <v>0</v>
          </cell>
          <cell r="BX83">
            <v>1</v>
          </cell>
          <cell r="BY83">
            <v>1</v>
          </cell>
          <cell r="BZ83"/>
          <cell r="CA83">
            <v>5</v>
          </cell>
          <cell r="CB83">
            <v>26</v>
          </cell>
          <cell r="CC83">
            <v>0</v>
          </cell>
          <cell r="CD83">
            <v>1</v>
          </cell>
          <cell r="CE83">
            <v>0</v>
          </cell>
          <cell r="CF83"/>
          <cell r="CG83">
            <v>6</v>
          </cell>
          <cell r="CH83">
            <v>25</v>
          </cell>
          <cell r="CI83">
            <v>0</v>
          </cell>
          <cell r="CJ83">
            <v>1</v>
          </cell>
          <cell r="CK83">
            <v>0</v>
          </cell>
          <cell r="CL83"/>
          <cell r="CM83">
            <v>1</v>
          </cell>
          <cell r="CN83">
            <v>21</v>
          </cell>
          <cell r="CO83">
            <v>0</v>
          </cell>
          <cell r="CP83">
            <v>1</v>
          </cell>
          <cell r="CQ83">
            <v>1</v>
          </cell>
          <cell r="CR83"/>
          <cell r="CS83">
            <v>1</v>
          </cell>
          <cell r="CT83">
            <v>24</v>
          </cell>
          <cell r="CU83">
            <v>0</v>
          </cell>
          <cell r="CV83">
            <v>1</v>
          </cell>
          <cell r="CW83">
            <v>0</v>
          </cell>
          <cell r="CX83"/>
          <cell r="CY83">
            <v>2</v>
          </cell>
          <cell r="CZ83">
            <v>26</v>
          </cell>
          <cell r="DA83">
            <v>0</v>
          </cell>
          <cell r="DB83">
            <v>1</v>
          </cell>
          <cell r="DC83">
            <v>1</v>
          </cell>
          <cell r="DD83"/>
          <cell r="DE83">
            <v>2</v>
          </cell>
          <cell r="DF83">
            <v>25</v>
          </cell>
          <cell r="DG83">
            <v>0</v>
          </cell>
          <cell r="DH83">
            <v>1</v>
          </cell>
          <cell r="DI83">
            <v>0</v>
          </cell>
          <cell r="DJ83"/>
          <cell r="DK83">
            <v>3</v>
          </cell>
        </row>
        <row r="84">
          <cell r="B84" t="str">
            <v>CN1133</v>
          </cell>
          <cell r="C84" t="str">
            <v>Khối sản xuất</v>
          </cell>
          <cell r="D84" t="str">
            <v>Phan Văn Đức</v>
          </cell>
          <cell r="E84" t="str">
            <v>SX</v>
          </cell>
          <cell r="F84">
            <v>45363</v>
          </cell>
          <cell r="G84"/>
          <cell r="H84">
            <v>25</v>
          </cell>
          <cell r="I84">
            <v>0</v>
          </cell>
          <cell r="J84">
            <v>1</v>
          </cell>
          <cell r="K84">
            <v>0</v>
          </cell>
          <cell r="L84"/>
          <cell r="M84">
            <v>7</v>
          </cell>
          <cell r="N84">
            <v>25</v>
          </cell>
          <cell r="O84">
            <v>0</v>
          </cell>
          <cell r="P84">
            <v>1</v>
          </cell>
          <cell r="Q84">
            <v>1</v>
          </cell>
          <cell r="R84"/>
          <cell r="S84">
            <v>7</v>
          </cell>
          <cell r="T84" t="e">
            <v>#REF!</v>
          </cell>
          <cell r="U84">
            <v>0</v>
          </cell>
          <cell r="V84" t="e">
            <v>#REF!</v>
          </cell>
          <cell r="W84" t="e">
            <v>#REF!</v>
          </cell>
          <cell r="X84"/>
          <cell r="Y84">
            <v>2</v>
          </cell>
          <cell r="Z84">
            <v>24</v>
          </cell>
          <cell r="AA84">
            <v>0</v>
          </cell>
          <cell r="AB84">
            <v>1</v>
          </cell>
          <cell r="AC84">
            <v>0</v>
          </cell>
          <cell r="AD84"/>
          <cell r="AE84">
            <v>3</v>
          </cell>
          <cell r="AF84">
            <v>21</v>
          </cell>
          <cell r="AG84">
            <v>0</v>
          </cell>
          <cell r="AH84">
            <v>1</v>
          </cell>
          <cell r="AI84">
            <v>3</v>
          </cell>
          <cell r="AJ84"/>
          <cell r="AK84">
            <v>1</v>
          </cell>
          <cell r="AL84">
            <v>23</v>
          </cell>
          <cell r="AM84">
            <v>0</v>
          </cell>
          <cell r="AN84">
            <v>1</v>
          </cell>
          <cell r="AO84">
            <v>0</v>
          </cell>
          <cell r="AP84"/>
          <cell r="AQ84">
            <v>2</v>
          </cell>
          <cell r="AR84">
            <v>27</v>
          </cell>
          <cell r="AS84">
            <v>0</v>
          </cell>
          <cell r="AT84">
            <v>1</v>
          </cell>
          <cell r="AU84">
            <v>0</v>
          </cell>
          <cell r="AV84"/>
          <cell r="AW84">
            <v>3</v>
          </cell>
          <cell r="AX84">
            <v>26</v>
          </cell>
          <cell r="AY84">
            <v>0</v>
          </cell>
          <cell r="AZ84">
            <v>1</v>
          </cell>
          <cell r="BA84">
            <v>0</v>
          </cell>
          <cell r="BB84"/>
          <cell r="BC84">
            <v>12</v>
          </cell>
          <cell r="BD84">
            <v>26</v>
          </cell>
          <cell r="BE84">
            <v>0</v>
          </cell>
          <cell r="BF84">
            <v>1</v>
          </cell>
          <cell r="BG84">
            <v>0</v>
          </cell>
          <cell r="BH84"/>
          <cell r="BI84">
            <v>5</v>
          </cell>
          <cell r="BJ84">
            <v>26</v>
          </cell>
          <cell r="BK84">
            <v>0</v>
          </cell>
          <cell r="BL84">
            <v>1</v>
          </cell>
          <cell r="BM84">
            <v>0</v>
          </cell>
          <cell r="BN84"/>
          <cell r="BO84">
            <v>5</v>
          </cell>
          <cell r="BP84">
            <v>26</v>
          </cell>
          <cell r="BQ84">
            <v>0</v>
          </cell>
          <cell r="BR84">
            <v>1</v>
          </cell>
          <cell r="BS84">
            <v>0</v>
          </cell>
          <cell r="BT84"/>
          <cell r="BU84">
            <v>6</v>
          </cell>
          <cell r="BV84">
            <v>26</v>
          </cell>
          <cell r="BW84">
            <v>0</v>
          </cell>
          <cell r="BX84">
            <v>1</v>
          </cell>
          <cell r="BY84">
            <v>0</v>
          </cell>
          <cell r="BZ84"/>
          <cell r="CA84">
            <v>7</v>
          </cell>
          <cell r="CB84">
            <v>26</v>
          </cell>
          <cell r="CC84">
            <v>0</v>
          </cell>
          <cell r="CD84">
            <v>1</v>
          </cell>
          <cell r="CE84">
            <v>0</v>
          </cell>
          <cell r="CF84"/>
          <cell r="CG84">
            <v>8</v>
          </cell>
          <cell r="CH84">
            <v>25</v>
          </cell>
          <cell r="CI84">
            <v>0</v>
          </cell>
          <cell r="CJ84">
            <v>1</v>
          </cell>
          <cell r="CK84">
            <v>0</v>
          </cell>
          <cell r="CL84"/>
          <cell r="CM84">
            <v>1</v>
          </cell>
          <cell r="CN84">
            <v>21</v>
          </cell>
          <cell r="CO84">
            <v>0</v>
          </cell>
          <cell r="CP84">
            <v>1</v>
          </cell>
          <cell r="CQ84">
            <v>1</v>
          </cell>
          <cell r="CR84"/>
          <cell r="CS84">
            <v>1</v>
          </cell>
          <cell r="CT84">
            <v>24</v>
          </cell>
          <cell r="CU84">
            <v>0</v>
          </cell>
          <cell r="CV84">
            <v>1</v>
          </cell>
          <cell r="CW84">
            <v>0</v>
          </cell>
          <cell r="CX84"/>
          <cell r="CY84">
            <v>2</v>
          </cell>
          <cell r="CZ84">
            <v>27</v>
          </cell>
          <cell r="DA84">
            <v>0</v>
          </cell>
          <cell r="DB84">
            <v>1</v>
          </cell>
          <cell r="DC84">
            <v>0</v>
          </cell>
          <cell r="DD84"/>
          <cell r="DE84">
            <v>3</v>
          </cell>
          <cell r="DF84">
            <v>25</v>
          </cell>
          <cell r="DG84">
            <v>0</v>
          </cell>
          <cell r="DH84">
            <v>1</v>
          </cell>
          <cell r="DI84">
            <v>0</v>
          </cell>
          <cell r="DJ84"/>
          <cell r="DK84">
            <v>4</v>
          </cell>
        </row>
        <row r="85">
          <cell r="B85" t="str">
            <v>CN1137</v>
          </cell>
          <cell r="C85" t="str">
            <v>Khối sản xuất</v>
          </cell>
          <cell r="D85" t="str">
            <v>Nguyễn Thanh Phong</v>
          </cell>
          <cell r="E85" t="str">
            <v>SX</v>
          </cell>
          <cell r="F85">
            <v>45365</v>
          </cell>
          <cell r="G85"/>
          <cell r="H85">
            <v>25</v>
          </cell>
          <cell r="I85">
            <v>0</v>
          </cell>
          <cell r="J85">
            <v>1</v>
          </cell>
          <cell r="K85">
            <v>0</v>
          </cell>
          <cell r="L85"/>
          <cell r="M85">
            <v>0</v>
          </cell>
          <cell r="N85">
            <v>25</v>
          </cell>
          <cell r="O85">
            <v>0</v>
          </cell>
          <cell r="P85">
            <v>1</v>
          </cell>
          <cell r="Q85">
            <v>1</v>
          </cell>
          <cell r="R85"/>
          <cell r="S85">
            <v>0</v>
          </cell>
          <cell r="T85" t="e">
            <v>#REF!</v>
          </cell>
          <cell r="U85">
            <v>0</v>
          </cell>
          <cell r="V85" t="e">
            <v>#REF!</v>
          </cell>
          <cell r="W85" t="e">
            <v>#REF!</v>
          </cell>
          <cell r="X85"/>
          <cell r="Y85">
            <v>1</v>
          </cell>
          <cell r="Z85">
            <v>24</v>
          </cell>
          <cell r="AA85">
            <v>0</v>
          </cell>
          <cell r="AB85">
            <v>1</v>
          </cell>
          <cell r="AC85">
            <v>0</v>
          </cell>
          <cell r="AD85"/>
          <cell r="AE85">
            <v>2</v>
          </cell>
          <cell r="AF85">
            <v>25</v>
          </cell>
          <cell r="AG85">
            <v>0</v>
          </cell>
          <cell r="AH85">
            <v>1</v>
          </cell>
          <cell r="AI85">
            <v>1</v>
          </cell>
          <cell r="AJ85"/>
          <cell r="AK85">
            <v>2</v>
          </cell>
          <cell r="AL85">
            <v>22</v>
          </cell>
          <cell r="AM85">
            <v>0</v>
          </cell>
          <cell r="AN85">
            <v>1</v>
          </cell>
          <cell r="AO85">
            <v>1</v>
          </cell>
          <cell r="AP85"/>
          <cell r="AQ85">
            <v>2</v>
          </cell>
          <cell r="AR85">
            <v>26</v>
          </cell>
          <cell r="AS85">
            <v>0</v>
          </cell>
          <cell r="AT85">
            <v>1</v>
          </cell>
          <cell r="AU85">
            <v>1</v>
          </cell>
          <cell r="AV85"/>
          <cell r="AW85">
            <v>2</v>
          </cell>
          <cell r="AX85">
            <v>24</v>
          </cell>
          <cell r="AY85">
            <v>0</v>
          </cell>
          <cell r="AZ85">
            <v>1</v>
          </cell>
          <cell r="BA85">
            <v>2</v>
          </cell>
          <cell r="BB85"/>
          <cell r="BC85">
            <v>4</v>
          </cell>
          <cell r="BD85">
            <v>24</v>
          </cell>
          <cell r="BE85">
            <v>0</v>
          </cell>
          <cell r="BF85">
            <v>1</v>
          </cell>
          <cell r="BG85">
            <v>2</v>
          </cell>
          <cell r="BH85"/>
          <cell r="BI85">
            <v>0</v>
          </cell>
          <cell r="BJ85">
            <v>26</v>
          </cell>
          <cell r="BK85">
            <v>0</v>
          </cell>
          <cell r="BL85">
            <v>1</v>
          </cell>
          <cell r="BM85">
            <v>0</v>
          </cell>
          <cell r="BN85"/>
          <cell r="BO85">
            <v>2</v>
          </cell>
          <cell r="BP85">
            <v>26</v>
          </cell>
          <cell r="BQ85">
            <v>0</v>
          </cell>
          <cell r="BR85">
            <v>1</v>
          </cell>
          <cell r="BS85">
            <v>0</v>
          </cell>
          <cell r="BT85"/>
          <cell r="BU85">
            <v>3</v>
          </cell>
          <cell r="BV85">
            <v>24</v>
          </cell>
          <cell r="BW85">
            <v>0</v>
          </cell>
          <cell r="BX85">
            <v>1</v>
          </cell>
          <cell r="BY85">
            <v>2</v>
          </cell>
          <cell r="BZ85"/>
          <cell r="CA85">
            <v>2</v>
          </cell>
          <cell r="CB85">
            <v>26</v>
          </cell>
          <cell r="CC85">
            <v>0</v>
          </cell>
          <cell r="CD85">
            <v>1</v>
          </cell>
          <cell r="CE85">
            <v>0</v>
          </cell>
          <cell r="CF85"/>
          <cell r="CG85">
            <v>3</v>
          </cell>
          <cell r="CH85">
            <v>24</v>
          </cell>
          <cell r="CI85">
            <v>0</v>
          </cell>
          <cell r="CJ85">
            <v>1</v>
          </cell>
          <cell r="CK85">
            <v>1</v>
          </cell>
          <cell r="CL85"/>
          <cell r="CM85">
            <v>0</v>
          </cell>
          <cell r="CN85">
            <v>21</v>
          </cell>
          <cell r="CO85">
            <v>0</v>
          </cell>
          <cell r="CP85">
            <v>1</v>
          </cell>
          <cell r="CQ85">
            <v>1</v>
          </cell>
          <cell r="CR85"/>
          <cell r="CS85">
            <v>0</v>
          </cell>
          <cell r="CT85">
            <v>24</v>
          </cell>
          <cell r="CU85">
            <v>0</v>
          </cell>
          <cell r="CV85">
            <v>1</v>
          </cell>
          <cell r="CW85">
            <v>0</v>
          </cell>
          <cell r="CX85"/>
          <cell r="CY85">
            <v>1</v>
          </cell>
          <cell r="CZ85">
            <v>27</v>
          </cell>
          <cell r="DA85">
            <v>0</v>
          </cell>
          <cell r="DB85">
            <v>1</v>
          </cell>
          <cell r="DC85">
            <v>0</v>
          </cell>
          <cell r="DD85"/>
          <cell r="DE85">
            <v>2</v>
          </cell>
          <cell r="DF85">
            <v>23</v>
          </cell>
          <cell r="DG85">
            <v>0</v>
          </cell>
          <cell r="DH85">
            <v>1</v>
          </cell>
          <cell r="DI85">
            <v>1</v>
          </cell>
          <cell r="DJ85"/>
          <cell r="DK85">
            <v>2</v>
          </cell>
        </row>
        <row r="86">
          <cell r="B86" t="str">
            <v>CN1148</v>
          </cell>
          <cell r="C86" t="str">
            <v>Khối sản xuất</v>
          </cell>
          <cell r="D86" t="str">
            <v>Dương Vũ Phong</v>
          </cell>
          <cell r="E86" t="str">
            <v>SX</v>
          </cell>
          <cell r="F86">
            <v>45370</v>
          </cell>
          <cell r="G86"/>
          <cell r="H86">
            <v>25</v>
          </cell>
          <cell r="I86">
            <v>0</v>
          </cell>
          <cell r="J86">
            <v>1</v>
          </cell>
          <cell r="K86">
            <v>1</v>
          </cell>
          <cell r="L86"/>
          <cell r="M86">
            <v>3</v>
          </cell>
          <cell r="N86">
            <v>24</v>
          </cell>
          <cell r="O86">
            <v>0</v>
          </cell>
          <cell r="P86">
            <v>1</v>
          </cell>
          <cell r="Q86">
            <v>1</v>
          </cell>
          <cell r="R86"/>
          <cell r="S86">
            <v>3</v>
          </cell>
          <cell r="T86" t="e">
            <v>#REF!</v>
          </cell>
          <cell r="U86">
            <v>0</v>
          </cell>
          <cell r="V86" t="e">
            <v>#REF!</v>
          </cell>
          <cell r="W86" t="e">
            <v>#REF!</v>
          </cell>
          <cell r="X86"/>
          <cell r="Y86">
            <v>2</v>
          </cell>
          <cell r="Z86">
            <v>23</v>
          </cell>
          <cell r="AA86">
            <v>0</v>
          </cell>
          <cell r="AB86">
            <v>1</v>
          </cell>
          <cell r="AC86">
            <v>0</v>
          </cell>
          <cell r="AD86"/>
          <cell r="AE86">
            <v>3</v>
          </cell>
          <cell r="AF86">
            <v>24</v>
          </cell>
          <cell r="AG86">
            <v>0</v>
          </cell>
          <cell r="AH86">
            <v>1</v>
          </cell>
          <cell r="AI86">
            <v>0</v>
          </cell>
          <cell r="AJ86"/>
          <cell r="AK86">
            <v>4</v>
          </cell>
          <cell r="AL86">
            <v>22</v>
          </cell>
          <cell r="AM86">
            <v>0</v>
          </cell>
          <cell r="AN86">
            <v>1</v>
          </cell>
          <cell r="AO86">
            <v>1</v>
          </cell>
          <cell r="AP86"/>
          <cell r="AQ86">
            <v>4</v>
          </cell>
          <cell r="AR86">
            <v>26</v>
          </cell>
          <cell r="AS86">
            <v>0</v>
          </cell>
          <cell r="AT86">
            <v>1</v>
          </cell>
          <cell r="AU86">
            <v>1</v>
          </cell>
          <cell r="AV86"/>
          <cell r="AW86">
            <v>4</v>
          </cell>
          <cell r="AX86">
            <v>26</v>
          </cell>
          <cell r="AY86">
            <v>0</v>
          </cell>
          <cell r="AZ86">
            <v>1</v>
          </cell>
          <cell r="BA86">
            <v>0</v>
          </cell>
          <cell r="BB86"/>
          <cell r="BC86">
            <v>12</v>
          </cell>
          <cell r="BD86">
            <v>25</v>
          </cell>
          <cell r="BE86">
            <v>0</v>
          </cell>
          <cell r="BF86">
            <v>1</v>
          </cell>
          <cell r="BG86">
            <v>0</v>
          </cell>
          <cell r="BH86"/>
          <cell r="BI86">
            <v>6</v>
          </cell>
          <cell r="BJ86">
            <v>24</v>
          </cell>
          <cell r="BK86">
            <v>0</v>
          </cell>
          <cell r="BL86">
            <v>1</v>
          </cell>
          <cell r="BM86">
            <v>2</v>
          </cell>
          <cell r="BN86"/>
          <cell r="BO86">
            <v>4</v>
          </cell>
          <cell r="BP86">
            <v>24</v>
          </cell>
          <cell r="BQ86">
            <v>0</v>
          </cell>
          <cell r="BR86">
            <v>1</v>
          </cell>
          <cell r="BS86">
            <v>2</v>
          </cell>
          <cell r="BT86"/>
          <cell r="BU86">
            <v>5</v>
          </cell>
          <cell r="BV86">
            <v>26</v>
          </cell>
          <cell r="BW86">
            <v>0</v>
          </cell>
          <cell r="BX86">
            <v>1</v>
          </cell>
          <cell r="BY86">
            <v>0</v>
          </cell>
          <cell r="BZ86"/>
          <cell r="CA86">
            <v>6</v>
          </cell>
          <cell r="CB86">
            <v>25.083333333333336</v>
          </cell>
          <cell r="CC86">
            <v>0</v>
          </cell>
          <cell r="CD86">
            <v>1</v>
          </cell>
          <cell r="CE86">
            <v>0</v>
          </cell>
          <cell r="CF86"/>
          <cell r="CG86">
            <v>7</v>
          </cell>
          <cell r="CH86">
            <v>22</v>
          </cell>
          <cell r="CI86">
            <v>0</v>
          </cell>
          <cell r="CJ86">
            <v>1</v>
          </cell>
          <cell r="CK86">
            <v>1</v>
          </cell>
          <cell r="CL86"/>
          <cell r="CM86">
            <v>0</v>
          </cell>
          <cell r="CN86">
            <v>20.916666666666664</v>
          </cell>
          <cell r="CO86">
            <v>0</v>
          </cell>
          <cell r="CP86">
            <v>1</v>
          </cell>
          <cell r="CQ86">
            <v>1</v>
          </cell>
          <cell r="CR86"/>
          <cell r="CS86">
            <v>0</v>
          </cell>
          <cell r="CT86">
            <v>21</v>
          </cell>
          <cell r="CU86">
            <v>0</v>
          </cell>
          <cell r="CV86">
            <v>1</v>
          </cell>
          <cell r="CW86">
            <v>0</v>
          </cell>
          <cell r="CX86"/>
          <cell r="CY86">
            <v>1</v>
          </cell>
          <cell r="CZ86">
            <v>25</v>
          </cell>
          <cell r="DA86">
            <v>0</v>
          </cell>
          <cell r="DB86">
            <v>1</v>
          </cell>
          <cell r="DC86">
            <v>0</v>
          </cell>
          <cell r="DD86"/>
          <cell r="DE86">
            <v>2</v>
          </cell>
          <cell r="DF86">
            <v>23</v>
          </cell>
          <cell r="DG86">
            <v>0</v>
          </cell>
          <cell r="DH86">
            <v>1</v>
          </cell>
          <cell r="DI86">
            <v>2</v>
          </cell>
          <cell r="DJ86"/>
          <cell r="DK86">
            <v>1</v>
          </cell>
        </row>
        <row r="87">
          <cell r="B87" t="str">
            <v>CN1168</v>
          </cell>
          <cell r="C87" t="str">
            <v>Khối sản xuất</v>
          </cell>
          <cell r="D87" t="str">
            <v>Thạch Lửa</v>
          </cell>
          <cell r="E87" t="str">
            <v>SX</v>
          </cell>
          <cell r="F87">
            <v>45378</v>
          </cell>
          <cell r="G87"/>
          <cell r="H87">
            <v>23.583333333333336</v>
          </cell>
          <cell r="I87">
            <v>0</v>
          </cell>
          <cell r="J87">
            <v>1</v>
          </cell>
          <cell r="K87">
            <v>0</v>
          </cell>
          <cell r="L87"/>
          <cell r="M87">
            <v>7</v>
          </cell>
          <cell r="N87">
            <v>25</v>
          </cell>
          <cell r="O87">
            <v>0</v>
          </cell>
          <cell r="P87">
            <v>1</v>
          </cell>
          <cell r="Q87">
            <v>1</v>
          </cell>
          <cell r="R87"/>
          <cell r="S87">
            <v>7</v>
          </cell>
          <cell r="T87" t="e">
            <v>#REF!</v>
          </cell>
          <cell r="U87">
            <v>0</v>
          </cell>
          <cell r="V87" t="e">
            <v>#REF!</v>
          </cell>
          <cell r="W87" t="e">
            <v>#REF!</v>
          </cell>
          <cell r="X87"/>
          <cell r="Y87">
            <v>2</v>
          </cell>
          <cell r="Z87">
            <v>24</v>
          </cell>
          <cell r="AA87">
            <v>0</v>
          </cell>
          <cell r="AB87">
            <v>1</v>
          </cell>
          <cell r="AC87">
            <v>0</v>
          </cell>
          <cell r="AD87"/>
          <cell r="AE87">
            <v>3</v>
          </cell>
          <cell r="AF87">
            <v>25</v>
          </cell>
          <cell r="AG87">
            <v>0</v>
          </cell>
          <cell r="AH87">
            <v>1</v>
          </cell>
          <cell r="AI87">
            <v>1</v>
          </cell>
          <cell r="AJ87"/>
          <cell r="AK87">
            <v>3</v>
          </cell>
          <cell r="AL87">
            <v>23</v>
          </cell>
          <cell r="AM87">
            <v>0</v>
          </cell>
          <cell r="AN87">
            <v>1</v>
          </cell>
          <cell r="AO87">
            <v>0</v>
          </cell>
          <cell r="AP87"/>
          <cell r="AQ87">
            <v>4</v>
          </cell>
          <cell r="AR87">
            <v>26</v>
          </cell>
          <cell r="AS87">
            <v>0</v>
          </cell>
          <cell r="AT87">
            <v>1</v>
          </cell>
          <cell r="AU87">
            <v>1</v>
          </cell>
          <cell r="AV87"/>
          <cell r="AW87">
            <v>4</v>
          </cell>
          <cell r="AX87">
            <v>26</v>
          </cell>
          <cell r="AY87">
            <v>0</v>
          </cell>
          <cell r="AZ87">
            <v>1</v>
          </cell>
          <cell r="BA87">
            <v>0</v>
          </cell>
          <cell r="BB87"/>
          <cell r="BC87">
            <v>13</v>
          </cell>
          <cell r="BD87">
            <v>26</v>
          </cell>
          <cell r="BE87">
            <v>0</v>
          </cell>
          <cell r="BF87">
            <v>1</v>
          </cell>
          <cell r="BG87">
            <v>0</v>
          </cell>
          <cell r="BH87"/>
          <cell r="BI87">
            <v>6</v>
          </cell>
          <cell r="BJ87">
            <v>26</v>
          </cell>
          <cell r="BK87">
            <v>0</v>
          </cell>
          <cell r="BL87">
            <v>1</v>
          </cell>
          <cell r="BM87">
            <v>0</v>
          </cell>
          <cell r="BN87"/>
          <cell r="BO87">
            <v>6</v>
          </cell>
          <cell r="BP87">
            <v>26</v>
          </cell>
          <cell r="BQ87">
            <v>0</v>
          </cell>
          <cell r="BR87">
            <v>1</v>
          </cell>
          <cell r="BS87">
            <v>0</v>
          </cell>
          <cell r="BT87"/>
          <cell r="BU87">
            <v>7</v>
          </cell>
          <cell r="BV87">
            <v>25</v>
          </cell>
          <cell r="BW87">
            <v>0</v>
          </cell>
          <cell r="BX87">
            <v>1</v>
          </cell>
          <cell r="BY87">
            <v>1</v>
          </cell>
          <cell r="BZ87"/>
          <cell r="CA87">
            <v>7</v>
          </cell>
          <cell r="CB87">
            <v>26</v>
          </cell>
          <cell r="CC87">
            <v>0</v>
          </cell>
          <cell r="CD87">
            <v>1</v>
          </cell>
          <cell r="CE87">
            <v>0</v>
          </cell>
          <cell r="CF87"/>
          <cell r="CG87">
            <v>8</v>
          </cell>
          <cell r="CH87">
            <v>24</v>
          </cell>
          <cell r="CI87">
            <v>0</v>
          </cell>
          <cell r="CJ87">
            <v>1</v>
          </cell>
          <cell r="CK87">
            <v>1</v>
          </cell>
          <cell r="CL87"/>
          <cell r="CM87">
            <v>0</v>
          </cell>
          <cell r="CN87">
            <v>19</v>
          </cell>
          <cell r="CO87">
            <v>0</v>
          </cell>
          <cell r="CP87">
            <v>1</v>
          </cell>
          <cell r="CQ87">
            <v>1</v>
          </cell>
          <cell r="CR87"/>
          <cell r="CS87">
            <v>0</v>
          </cell>
          <cell r="CT87">
            <v>24</v>
          </cell>
          <cell r="CU87">
            <v>0</v>
          </cell>
          <cell r="CV87">
            <v>1</v>
          </cell>
          <cell r="CW87">
            <v>0</v>
          </cell>
          <cell r="CX87"/>
          <cell r="CY87">
            <v>1</v>
          </cell>
          <cell r="CZ87">
            <v>26</v>
          </cell>
          <cell r="DA87">
            <v>0</v>
          </cell>
          <cell r="DB87">
            <v>1</v>
          </cell>
          <cell r="DC87">
            <v>1</v>
          </cell>
          <cell r="DD87"/>
          <cell r="DE87">
            <v>1</v>
          </cell>
          <cell r="DF87">
            <v>25</v>
          </cell>
          <cell r="DG87">
            <v>0</v>
          </cell>
          <cell r="DH87">
            <v>1</v>
          </cell>
          <cell r="DI87">
            <v>0</v>
          </cell>
          <cell r="DJ87"/>
          <cell r="DK87">
            <v>2</v>
          </cell>
        </row>
        <row r="88">
          <cell r="B88" t="str">
            <v>CN1231</v>
          </cell>
          <cell r="C88" t="str">
            <v>Khối sản xuất</v>
          </cell>
          <cell r="D88" t="str">
            <v>Lý Thành Lên</v>
          </cell>
          <cell r="E88" t="str">
            <v>SX</v>
          </cell>
          <cell r="F88">
            <v>45419</v>
          </cell>
          <cell r="G88"/>
          <cell r="H88">
            <v>26</v>
          </cell>
          <cell r="I88">
            <v>0</v>
          </cell>
          <cell r="J88">
            <v>1</v>
          </cell>
          <cell r="K88">
            <v>0</v>
          </cell>
          <cell r="L88"/>
          <cell r="M88">
            <v>4</v>
          </cell>
          <cell r="N88">
            <v>25</v>
          </cell>
          <cell r="O88">
            <v>0</v>
          </cell>
          <cell r="P88">
            <v>1</v>
          </cell>
          <cell r="Q88">
            <v>1</v>
          </cell>
          <cell r="R88"/>
          <cell r="S88">
            <v>4</v>
          </cell>
          <cell r="T88" t="e">
            <v>#REF!</v>
          </cell>
          <cell r="U88">
            <v>0</v>
          </cell>
          <cell r="V88" t="e">
            <v>#REF!</v>
          </cell>
          <cell r="W88" t="e">
            <v>#REF!</v>
          </cell>
          <cell r="X88"/>
          <cell r="Y88">
            <v>2</v>
          </cell>
          <cell r="Z88">
            <v>24</v>
          </cell>
          <cell r="AA88">
            <v>0</v>
          </cell>
          <cell r="AB88">
            <v>1</v>
          </cell>
          <cell r="AC88">
            <v>0</v>
          </cell>
          <cell r="AD88"/>
          <cell r="AE88">
            <v>3</v>
          </cell>
          <cell r="AF88">
            <v>26</v>
          </cell>
          <cell r="AG88">
            <v>0</v>
          </cell>
          <cell r="AH88">
            <v>1</v>
          </cell>
          <cell r="AI88">
            <v>0</v>
          </cell>
          <cell r="AJ88"/>
          <cell r="AK88">
            <v>4</v>
          </cell>
          <cell r="AL88">
            <v>21</v>
          </cell>
          <cell r="AM88">
            <v>0</v>
          </cell>
          <cell r="AN88">
            <v>1</v>
          </cell>
          <cell r="AO88">
            <v>2</v>
          </cell>
          <cell r="AP88"/>
          <cell r="AQ88">
            <v>3</v>
          </cell>
          <cell r="AR88">
            <v>26</v>
          </cell>
          <cell r="AS88">
            <v>0</v>
          </cell>
          <cell r="AT88">
            <v>1</v>
          </cell>
          <cell r="AU88">
            <v>1</v>
          </cell>
          <cell r="AV88"/>
          <cell r="AW88">
            <v>3</v>
          </cell>
          <cell r="AX88">
            <v>25</v>
          </cell>
          <cell r="AY88">
            <v>0</v>
          </cell>
          <cell r="AZ88">
            <v>1</v>
          </cell>
          <cell r="BA88">
            <v>1</v>
          </cell>
          <cell r="BB88"/>
          <cell r="BC88">
            <v>8</v>
          </cell>
          <cell r="BD88">
            <v>26</v>
          </cell>
          <cell r="BE88">
            <v>0</v>
          </cell>
          <cell r="BF88">
            <v>1</v>
          </cell>
          <cell r="BG88">
            <v>0</v>
          </cell>
          <cell r="BH88"/>
          <cell r="BI88">
            <v>4</v>
          </cell>
          <cell r="BJ88">
            <v>26</v>
          </cell>
          <cell r="BK88">
            <v>0</v>
          </cell>
          <cell r="BL88">
            <v>1</v>
          </cell>
          <cell r="BM88">
            <v>0</v>
          </cell>
          <cell r="BN88"/>
          <cell r="BO88">
            <v>5</v>
          </cell>
          <cell r="BP88">
            <v>26</v>
          </cell>
          <cell r="BQ88">
            <v>0</v>
          </cell>
          <cell r="BR88">
            <v>1</v>
          </cell>
          <cell r="BS88">
            <v>0</v>
          </cell>
          <cell r="BT88"/>
          <cell r="BU88">
            <v>6</v>
          </cell>
          <cell r="BV88">
            <v>26</v>
          </cell>
          <cell r="BW88">
            <v>0</v>
          </cell>
          <cell r="BX88">
            <v>1</v>
          </cell>
          <cell r="BY88">
            <v>0</v>
          </cell>
          <cell r="BZ88"/>
          <cell r="CA88">
            <v>7</v>
          </cell>
          <cell r="CB88">
            <v>23</v>
          </cell>
          <cell r="CC88">
            <v>0</v>
          </cell>
          <cell r="CD88">
            <v>1</v>
          </cell>
          <cell r="CE88">
            <v>3</v>
          </cell>
          <cell r="CF88"/>
          <cell r="CG88">
            <v>5</v>
          </cell>
          <cell r="CH88">
            <v>25</v>
          </cell>
          <cell r="CI88">
            <v>0</v>
          </cell>
          <cell r="CJ88">
            <v>1</v>
          </cell>
          <cell r="CK88">
            <v>0</v>
          </cell>
          <cell r="CL88"/>
          <cell r="CM88">
            <v>1</v>
          </cell>
          <cell r="CN88">
            <v>21</v>
          </cell>
          <cell r="CO88">
            <v>0</v>
          </cell>
          <cell r="CP88">
            <v>1</v>
          </cell>
          <cell r="CQ88">
            <v>1</v>
          </cell>
          <cell r="CR88"/>
          <cell r="CS88">
            <v>1</v>
          </cell>
          <cell r="CT88">
            <v>24</v>
          </cell>
          <cell r="CU88">
            <v>0</v>
          </cell>
          <cell r="CV88">
            <v>1</v>
          </cell>
          <cell r="CW88">
            <v>0</v>
          </cell>
          <cell r="CX88"/>
          <cell r="CY88">
            <v>2</v>
          </cell>
          <cell r="CZ88">
            <v>25</v>
          </cell>
          <cell r="DA88">
            <v>0</v>
          </cell>
          <cell r="DB88">
            <v>1</v>
          </cell>
          <cell r="DC88">
            <v>2</v>
          </cell>
          <cell r="DD88"/>
          <cell r="DE88">
            <v>1</v>
          </cell>
          <cell r="DF88">
            <v>25</v>
          </cell>
          <cell r="DG88">
            <v>0</v>
          </cell>
          <cell r="DH88">
            <v>1</v>
          </cell>
          <cell r="DI88">
            <v>0</v>
          </cell>
          <cell r="DJ88"/>
          <cell r="DK88">
            <v>2</v>
          </cell>
        </row>
        <row r="89">
          <cell r="B89" t="str">
            <v>CN1093</v>
          </cell>
          <cell r="C89" t="str">
            <v>Khối sản xuất</v>
          </cell>
          <cell r="D89" t="str">
            <v>Huỳnh Thị Chi</v>
          </cell>
          <cell r="E89" t="str">
            <v>SX</v>
          </cell>
          <cell r="F89">
            <v>45346</v>
          </cell>
          <cell r="G89"/>
          <cell r="H89">
            <v>26</v>
          </cell>
          <cell r="I89">
            <v>0</v>
          </cell>
          <cell r="J89">
            <v>1</v>
          </cell>
          <cell r="K89">
            <v>0</v>
          </cell>
          <cell r="L89"/>
          <cell r="M89">
            <v>4</v>
          </cell>
          <cell r="N89">
            <v>26</v>
          </cell>
          <cell r="O89">
            <v>0</v>
          </cell>
          <cell r="P89">
            <v>1</v>
          </cell>
          <cell r="Q89">
            <v>0</v>
          </cell>
          <cell r="R89"/>
          <cell r="S89">
            <v>5</v>
          </cell>
          <cell r="T89" t="e">
            <v>#REF!</v>
          </cell>
          <cell r="U89">
            <v>0</v>
          </cell>
          <cell r="V89" t="e">
            <v>#REF!</v>
          </cell>
          <cell r="W89" t="e">
            <v>#REF!</v>
          </cell>
          <cell r="X89"/>
          <cell r="Y89">
            <v>2</v>
          </cell>
          <cell r="Z89">
            <v>24</v>
          </cell>
          <cell r="AA89">
            <v>0</v>
          </cell>
          <cell r="AB89">
            <v>1</v>
          </cell>
          <cell r="AC89">
            <v>0</v>
          </cell>
          <cell r="AD89"/>
          <cell r="AE89">
            <v>3</v>
          </cell>
          <cell r="AF89">
            <v>25</v>
          </cell>
          <cell r="AG89">
            <v>0</v>
          </cell>
          <cell r="AH89">
            <v>1</v>
          </cell>
          <cell r="AI89">
            <v>1</v>
          </cell>
          <cell r="AJ89"/>
          <cell r="AK89">
            <v>3</v>
          </cell>
          <cell r="AL89">
            <v>23</v>
          </cell>
          <cell r="AM89">
            <v>0</v>
          </cell>
          <cell r="AN89">
            <v>1</v>
          </cell>
          <cell r="AO89">
            <v>0</v>
          </cell>
          <cell r="AP89"/>
          <cell r="AQ89">
            <v>4</v>
          </cell>
          <cell r="AR89">
            <v>27</v>
          </cell>
          <cell r="AS89">
            <v>0</v>
          </cell>
          <cell r="AT89">
            <v>1</v>
          </cell>
          <cell r="AU89">
            <v>0</v>
          </cell>
          <cell r="AV89"/>
          <cell r="AW89">
            <v>5</v>
          </cell>
          <cell r="AX89">
            <v>26</v>
          </cell>
          <cell r="AY89">
            <v>0</v>
          </cell>
          <cell r="AZ89">
            <v>1</v>
          </cell>
          <cell r="BA89">
            <v>0</v>
          </cell>
          <cell r="BB89"/>
          <cell r="BC89">
            <v>14</v>
          </cell>
          <cell r="BD89">
            <v>26</v>
          </cell>
          <cell r="BE89">
            <v>0</v>
          </cell>
          <cell r="BF89">
            <v>1</v>
          </cell>
          <cell r="BG89">
            <v>0</v>
          </cell>
          <cell r="BH89"/>
          <cell r="BI89">
            <v>7</v>
          </cell>
          <cell r="BJ89">
            <v>25</v>
          </cell>
          <cell r="BK89">
            <v>0</v>
          </cell>
          <cell r="BL89">
            <v>1</v>
          </cell>
          <cell r="BM89">
            <v>1</v>
          </cell>
          <cell r="BN89"/>
          <cell r="BO89">
            <v>6</v>
          </cell>
          <cell r="BP89">
            <v>25</v>
          </cell>
          <cell r="BQ89">
            <v>0</v>
          </cell>
          <cell r="BR89">
            <v>1</v>
          </cell>
          <cell r="BS89">
            <v>1</v>
          </cell>
          <cell r="BT89"/>
          <cell r="BU89">
            <v>7</v>
          </cell>
          <cell r="BV89">
            <v>25</v>
          </cell>
          <cell r="BW89">
            <v>0</v>
          </cell>
          <cell r="BX89">
            <v>1</v>
          </cell>
          <cell r="BY89">
            <v>1</v>
          </cell>
          <cell r="BZ89"/>
          <cell r="CA89">
            <v>7</v>
          </cell>
          <cell r="CB89">
            <v>26</v>
          </cell>
          <cell r="CC89">
            <v>0</v>
          </cell>
          <cell r="CD89">
            <v>1</v>
          </cell>
          <cell r="CE89">
            <v>0</v>
          </cell>
          <cell r="CF89"/>
          <cell r="CG89">
            <v>8</v>
          </cell>
          <cell r="CH89">
            <v>24</v>
          </cell>
          <cell r="CI89">
            <v>0</v>
          </cell>
          <cell r="CJ89">
            <v>1</v>
          </cell>
          <cell r="CK89">
            <v>1</v>
          </cell>
          <cell r="CL89"/>
          <cell r="CM89">
            <v>0</v>
          </cell>
          <cell r="CN89">
            <v>20</v>
          </cell>
          <cell r="CO89">
            <v>0</v>
          </cell>
          <cell r="CP89">
            <v>1</v>
          </cell>
          <cell r="CQ89">
            <v>1</v>
          </cell>
          <cell r="CR89"/>
          <cell r="CS89">
            <v>0</v>
          </cell>
          <cell r="CT89">
            <v>24</v>
          </cell>
          <cell r="CU89">
            <v>0</v>
          </cell>
          <cell r="CV89">
            <v>1</v>
          </cell>
          <cell r="CW89">
            <v>0</v>
          </cell>
          <cell r="CX89"/>
          <cell r="CY89">
            <v>1</v>
          </cell>
          <cell r="CZ89">
            <v>27</v>
          </cell>
          <cell r="DA89">
            <v>0</v>
          </cell>
          <cell r="DB89">
            <v>1</v>
          </cell>
          <cell r="DC89">
            <v>0</v>
          </cell>
          <cell r="DD89"/>
          <cell r="DE89">
            <v>2</v>
          </cell>
          <cell r="DF89">
            <v>24.833333333333336</v>
          </cell>
          <cell r="DG89">
            <v>0</v>
          </cell>
          <cell r="DH89">
            <v>1</v>
          </cell>
          <cell r="DI89">
            <v>0</v>
          </cell>
          <cell r="DJ89"/>
          <cell r="DK89">
            <v>3</v>
          </cell>
        </row>
        <row r="90">
          <cell r="B90" t="str">
            <v>CN1132</v>
          </cell>
          <cell r="C90" t="str">
            <v>Khối sản xuất</v>
          </cell>
          <cell r="D90" t="str">
            <v>Kim Thị Na Huy</v>
          </cell>
          <cell r="E90" t="str">
            <v>SX</v>
          </cell>
          <cell r="F90">
            <v>45363</v>
          </cell>
          <cell r="G90"/>
          <cell r="H90">
            <v>26</v>
          </cell>
          <cell r="I90">
            <v>0</v>
          </cell>
          <cell r="J90">
            <v>1</v>
          </cell>
          <cell r="K90">
            <v>0</v>
          </cell>
          <cell r="L90"/>
          <cell r="M90">
            <v>7</v>
          </cell>
          <cell r="N90">
            <v>25</v>
          </cell>
          <cell r="O90">
            <v>0</v>
          </cell>
          <cell r="P90">
            <v>1</v>
          </cell>
          <cell r="Q90">
            <v>1</v>
          </cell>
          <cell r="R90"/>
          <cell r="S90">
            <v>7</v>
          </cell>
          <cell r="T90" t="e">
            <v>#REF!</v>
          </cell>
          <cell r="U90">
            <v>0</v>
          </cell>
          <cell r="V90" t="e">
            <v>#REF!</v>
          </cell>
          <cell r="W90" t="e">
            <v>#REF!</v>
          </cell>
          <cell r="X90"/>
          <cell r="Y90">
            <v>2</v>
          </cell>
          <cell r="Z90">
            <v>22.583333333333336</v>
          </cell>
          <cell r="AA90">
            <v>0</v>
          </cell>
          <cell r="AB90">
            <v>1</v>
          </cell>
          <cell r="AC90">
            <v>1</v>
          </cell>
          <cell r="AD90"/>
          <cell r="AE90">
            <v>2</v>
          </cell>
          <cell r="AF90">
            <v>25</v>
          </cell>
          <cell r="AG90">
            <v>0</v>
          </cell>
          <cell r="AH90">
            <v>1</v>
          </cell>
          <cell r="AI90">
            <v>1</v>
          </cell>
          <cell r="AJ90"/>
          <cell r="AK90">
            <v>2</v>
          </cell>
          <cell r="AL90">
            <v>23</v>
          </cell>
          <cell r="AM90">
            <v>0</v>
          </cell>
          <cell r="AN90">
            <v>1</v>
          </cell>
          <cell r="AO90">
            <v>0</v>
          </cell>
          <cell r="AP90"/>
          <cell r="AQ90">
            <v>3</v>
          </cell>
          <cell r="AR90">
            <v>23.5</v>
          </cell>
          <cell r="AS90">
            <v>0</v>
          </cell>
          <cell r="AT90">
            <v>1</v>
          </cell>
          <cell r="AU90">
            <v>3</v>
          </cell>
          <cell r="AV90"/>
          <cell r="AW90">
            <v>1</v>
          </cell>
          <cell r="AX90">
            <v>26</v>
          </cell>
          <cell r="AY90">
            <v>0</v>
          </cell>
          <cell r="AZ90">
            <v>1</v>
          </cell>
          <cell r="BA90">
            <v>0</v>
          </cell>
          <cell r="BB90"/>
          <cell r="BC90">
            <v>7</v>
          </cell>
          <cell r="BD90">
            <v>25</v>
          </cell>
          <cell r="BE90">
            <v>0</v>
          </cell>
          <cell r="BF90">
            <v>1</v>
          </cell>
          <cell r="BG90">
            <v>1</v>
          </cell>
          <cell r="BH90"/>
          <cell r="BI90">
            <v>2</v>
          </cell>
          <cell r="BJ90">
            <v>26</v>
          </cell>
          <cell r="BK90">
            <v>0</v>
          </cell>
          <cell r="BL90">
            <v>1</v>
          </cell>
          <cell r="BM90">
            <v>0</v>
          </cell>
          <cell r="BN90"/>
          <cell r="BO90">
            <v>3</v>
          </cell>
          <cell r="BP90">
            <v>26</v>
          </cell>
          <cell r="BQ90">
            <v>0</v>
          </cell>
          <cell r="BR90">
            <v>1</v>
          </cell>
          <cell r="BS90">
            <v>0</v>
          </cell>
          <cell r="BT90"/>
          <cell r="BU90">
            <v>4</v>
          </cell>
          <cell r="BV90">
            <v>25</v>
          </cell>
          <cell r="BW90">
            <v>0</v>
          </cell>
          <cell r="BX90">
            <v>1</v>
          </cell>
          <cell r="BY90">
            <v>1</v>
          </cell>
          <cell r="BZ90"/>
          <cell r="CA90">
            <v>4</v>
          </cell>
          <cell r="CB90">
            <v>26</v>
          </cell>
          <cell r="CC90">
            <v>0</v>
          </cell>
          <cell r="CD90">
            <v>1</v>
          </cell>
          <cell r="CE90">
            <v>0</v>
          </cell>
          <cell r="CF90"/>
          <cell r="CG90">
            <v>5</v>
          </cell>
          <cell r="CH90">
            <v>24</v>
          </cell>
          <cell r="CI90">
            <v>0</v>
          </cell>
          <cell r="CJ90">
            <v>1</v>
          </cell>
          <cell r="CK90">
            <v>0</v>
          </cell>
          <cell r="CL90"/>
          <cell r="CM90">
            <v>1</v>
          </cell>
          <cell r="CN90">
            <v>21</v>
          </cell>
          <cell r="CO90">
            <v>0</v>
          </cell>
          <cell r="CP90">
            <v>1</v>
          </cell>
          <cell r="CQ90">
            <v>1</v>
          </cell>
          <cell r="CR90"/>
          <cell r="CS90">
            <v>1</v>
          </cell>
          <cell r="CT90">
            <v>24</v>
          </cell>
          <cell r="CU90">
            <v>0</v>
          </cell>
          <cell r="CV90">
            <v>1</v>
          </cell>
          <cell r="CW90">
            <v>0</v>
          </cell>
          <cell r="CX90"/>
          <cell r="CY90">
            <v>2</v>
          </cell>
          <cell r="CZ90">
            <v>27</v>
          </cell>
          <cell r="DA90">
            <v>0</v>
          </cell>
          <cell r="DB90">
            <v>1</v>
          </cell>
          <cell r="DC90">
            <v>0</v>
          </cell>
          <cell r="DD90"/>
          <cell r="DE90">
            <v>3</v>
          </cell>
          <cell r="DF90">
            <v>8</v>
          </cell>
          <cell r="DG90">
            <v>0</v>
          </cell>
          <cell r="DH90">
            <v>0</v>
          </cell>
          <cell r="DI90">
            <v>1</v>
          </cell>
          <cell r="DJ90"/>
          <cell r="DK90">
            <v>2</v>
          </cell>
        </row>
        <row r="91">
          <cell r="B91" t="str">
            <v>CN1194</v>
          </cell>
          <cell r="C91" t="str">
            <v>Khối sản xuất</v>
          </cell>
          <cell r="D91" t="str">
            <v>Nguyễn Trần Mỹ Loan</v>
          </cell>
          <cell r="E91" t="str">
            <v>SX</v>
          </cell>
          <cell r="F91">
            <v>45391</v>
          </cell>
          <cell r="G91"/>
          <cell r="H91">
            <v>24</v>
          </cell>
          <cell r="I91">
            <v>0</v>
          </cell>
          <cell r="J91">
            <v>1</v>
          </cell>
          <cell r="K91">
            <v>1</v>
          </cell>
          <cell r="L91"/>
          <cell r="M91">
            <v>2</v>
          </cell>
          <cell r="N91">
            <v>24</v>
          </cell>
          <cell r="O91">
            <v>0</v>
          </cell>
          <cell r="P91">
            <v>1</v>
          </cell>
          <cell r="Q91">
            <v>2</v>
          </cell>
          <cell r="R91"/>
          <cell r="S91">
            <v>1</v>
          </cell>
          <cell r="T91" t="e">
            <v>#REF!</v>
          </cell>
          <cell r="U91">
            <v>0</v>
          </cell>
          <cell r="V91" t="e">
            <v>#REF!</v>
          </cell>
          <cell r="W91" t="e">
            <v>#REF!</v>
          </cell>
          <cell r="X91"/>
          <cell r="Y91">
            <v>1</v>
          </cell>
          <cell r="Z91">
            <v>20</v>
          </cell>
          <cell r="AA91">
            <v>0</v>
          </cell>
          <cell r="AB91">
            <v>1</v>
          </cell>
          <cell r="AC91">
            <v>2</v>
          </cell>
          <cell r="AD91"/>
          <cell r="AE91">
            <v>0</v>
          </cell>
          <cell r="AF91">
            <v>25</v>
          </cell>
          <cell r="AG91">
            <v>0</v>
          </cell>
          <cell r="AH91">
            <v>1</v>
          </cell>
          <cell r="AI91">
            <v>0</v>
          </cell>
          <cell r="AJ91"/>
          <cell r="AK91">
            <v>1</v>
          </cell>
          <cell r="AL91">
            <v>22</v>
          </cell>
          <cell r="AM91">
            <v>0</v>
          </cell>
          <cell r="AN91">
            <v>1</v>
          </cell>
          <cell r="AO91">
            <v>1</v>
          </cell>
          <cell r="AP91"/>
          <cell r="AQ91">
            <v>1</v>
          </cell>
          <cell r="AR91">
            <v>27</v>
          </cell>
          <cell r="AS91">
            <v>0</v>
          </cell>
          <cell r="AT91">
            <v>1</v>
          </cell>
          <cell r="AU91">
            <v>0</v>
          </cell>
          <cell r="AV91"/>
          <cell r="AW91">
            <v>2</v>
          </cell>
          <cell r="AX91">
            <v>24</v>
          </cell>
          <cell r="AY91">
            <v>0</v>
          </cell>
          <cell r="AZ91">
            <v>1</v>
          </cell>
          <cell r="BA91">
            <v>2</v>
          </cell>
          <cell r="BB91"/>
          <cell r="BC91">
            <v>4</v>
          </cell>
          <cell r="BD91">
            <v>25</v>
          </cell>
          <cell r="BE91">
            <v>0</v>
          </cell>
          <cell r="BF91">
            <v>1</v>
          </cell>
          <cell r="BG91">
            <v>0</v>
          </cell>
          <cell r="BH91"/>
          <cell r="BI91">
            <v>2</v>
          </cell>
          <cell r="BJ91">
            <v>25</v>
          </cell>
          <cell r="BK91">
            <v>0</v>
          </cell>
          <cell r="BL91">
            <v>1</v>
          </cell>
          <cell r="BM91">
            <v>1</v>
          </cell>
          <cell r="BN91"/>
          <cell r="BO91">
            <v>1</v>
          </cell>
          <cell r="BP91">
            <v>25</v>
          </cell>
          <cell r="BQ91">
            <v>0</v>
          </cell>
          <cell r="BR91">
            <v>1</v>
          </cell>
          <cell r="BS91">
            <v>1</v>
          </cell>
          <cell r="BT91"/>
          <cell r="BU91">
            <v>2</v>
          </cell>
          <cell r="BV91">
            <v>25</v>
          </cell>
          <cell r="BW91">
            <v>0</v>
          </cell>
          <cell r="BX91">
            <v>1</v>
          </cell>
          <cell r="BY91">
            <v>1</v>
          </cell>
          <cell r="BZ91"/>
          <cell r="CA91">
            <v>2</v>
          </cell>
          <cell r="CB91">
            <v>26</v>
          </cell>
          <cell r="CC91">
            <v>0</v>
          </cell>
          <cell r="CD91">
            <v>1</v>
          </cell>
          <cell r="CE91">
            <v>0</v>
          </cell>
          <cell r="CF91"/>
          <cell r="CG91">
            <v>3</v>
          </cell>
          <cell r="CH91">
            <v>23</v>
          </cell>
          <cell r="CI91">
            <v>0</v>
          </cell>
          <cell r="CJ91">
            <v>1</v>
          </cell>
          <cell r="CK91">
            <v>1</v>
          </cell>
          <cell r="CL91"/>
          <cell r="CM91">
            <v>0</v>
          </cell>
          <cell r="CN91">
            <v>19.833333333333336</v>
          </cell>
          <cell r="CO91">
            <v>0</v>
          </cell>
          <cell r="CP91">
            <v>1</v>
          </cell>
          <cell r="CQ91">
            <v>1</v>
          </cell>
          <cell r="CR91"/>
          <cell r="CS91">
            <v>0</v>
          </cell>
          <cell r="CT91">
            <v>24</v>
          </cell>
          <cell r="CU91">
            <v>0</v>
          </cell>
          <cell r="CV91">
            <v>1</v>
          </cell>
          <cell r="CW91">
            <v>0</v>
          </cell>
          <cell r="CX91"/>
          <cell r="CY91">
            <v>1</v>
          </cell>
          <cell r="CZ91">
            <v>25</v>
          </cell>
          <cell r="DA91">
            <v>0</v>
          </cell>
          <cell r="DB91">
            <v>1</v>
          </cell>
          <cell r="DC91">
            <v>1</v>
          </cell>
          <cell r="DD91"/>
          <cell r="DE91">
            <v>1</v>
          </cell>
          <cell r="DF91">
            <v>25</v>
          </cell>
          <cell r="DG91">
            <v>0</v>
          </cell>
          <cell r="DH91">
            <v>1</v>
          </cell>
          <cell r="DI91">
            <v>0</v>
          </cell>
          <cell r="DJ91"/>
          <cell r="DK91">
            <v>2</v>
          </cell>
        </row>
        <row r="92">
          <cell r="B92" t="str">
            <v>CN1187</v>
          </cell>
          <cell r="C92" t="str">
            <v>Khối sản xuất</v>
          </cell>
          <cell r="D92" t="str">
            <v>Hứa Văn Hởi</v>
          </cell>
          <cell r="E92" t="str">
            <v>SX</v>
          </cell>
          <cell r="F92">
            <v>45388</v>
          </cell>
          <cell r="G92"/>
          <cell r="H92">
            <v>22</v>
          </cell>
          <cell r="I92">
            <v>0</v>
          </cell>
          <cell r="J92">
            <v>1</v>
          </cell>
          <cell r="K92">
            <v>4</v>
          </cell>
          <cell r="L92"/>
          <cell r="M92">
            <v>2</v>
          </cell>
          <cell r="N92">
            <v>26</v>
          </cell>
          <cell r="O92">
            <v>0</v>
          </cell>
          <cell r="P92">
            <v>1</v>
          </cell>
          <cell r="Q92">
            <v>0</v>
          </cell>
          <cell r="R92"/>
          <cell r="S92">
            <v>3</v>
          </cell>
          <cell r="T92" t="e">
            <v>#REF!</v>
          </cell>
          <cell r="U92">
            <v>0</v>
          </cell>
          <cell r="V92" t="e">
            <v>#REF!</v>
          </cell>
          <cell r="W92" t="e">
            <v>#REF!</v>
          </cell>
          <cell r="X92"/>
          <cell r="Y92">
            <v>2</v>
          </cell>
          <cell r="Z92">
            <v>22</v>
          </cell>
          <cell r="AA92">
            <v>0</v>
          </cell>
          <cell r="AB92">
            <v>1</v>
          </cell>
          <cell r="AC92">
            <v>2</v>
          </cell>
          <cell r="AD92"/>
          <cell r="AE92">
            <v>1</v>
          </cell>
          <cell r="AF92">
            <v>26</v>
          </cell>
          <cell r="AG92">
            <v>0</v>
          </cell>
          <cell r="AH92">
            <v>1</v>
          </cell>
          <cell r="AI92">
            <v>0</v>
          </cell>
          <cell r="AJ92"/>
          <cell r="AK92">
            <v>2</v>
          </cell>
          <cell r="AL92">
            <v>23</v>
          </cell>
          <cell r="AM92">
            <v>0</v>
          </cell>
          <cell r="AN92">
            <v>1</v>
          </cell>
          <cell r="AO92">
            <v>0</v>
          </cell>
          <cell r="AP92"/>
          <cell r="AQ92">
            <v>3</v>
          </cell>
          <cell r="AR92">
            <v>26</v>
          </cell>
          <cell r="AS92">
            <v>0</v>
          </cell>
          <cell r="AT92">
            <v>1</v>
          </cell>
          <cell r="AU92">
            <v>1</v>
          </cell>
          <cell r="AV92"/>
          <cell r="AW92">
            <v>3</v>
          </cell>
          <cell r="AX92">
            <v>26</v>
          </cell>
          <cell r="AY92">
            <v>0</v>
          </cell>
          <cell r="AZ92">
            <v>1</v>
          </cell>
          <cell r="BA92">
            <v>0</v>
          </cell>
          <cell r="BB92"/>
          <cell r="BC92">
            <v>10</v>
          </cell>
          <cell r="BD92">
            <v>26</v>
          </cell>
          <cell r="BE92">
            <v>0</v>
          </cell>
          <cell r="BF92">
            <v>1</v>
          </cell>
          <cell r="BG92">
            <v>0</v>
          </cell>
          <cell r="BH92"/>
          <cell r="BI92">
            <v>5</v>
          </cell>
          <cell r="BJ92">
            <v>25.833333333333336</v>
          </cell>
          <cell r="BK92">
            <v>0</v>
          </cell>
          <cell r="BL92">
            <v>1</v>
          </cell>
          <cell r="BM92">
            <v>0</v>
          </cell>
          <cell r="BN92"/>
          <cell r="BO92">
            <v>5</v>
          </cell>
          <cell r="BP92">
            <v>25.833333333333336</v>
          </cell>
          <cell r="BQ92">
            <v>0</v>
          </cell>
          <cell r="BR92">
            <v>1</v>
          </cell>
          <cell r="BS92">
            <v>0</v>
          </cell>
          <cell r="BT92"/>
          <cell r="BU92">
            <v>6</v>
          </cell>
          <cell r="BV92">
            <v>25</v>
          </cell>
          <cell r="BW92">
            <v>0</v>
          </cell>
          <cell r="BX92">
            <v>1</v>
          </cell>
          <cell r="BY92">
            <v>1</v>
          </cell>
          <cell r="BZ92"/>
          <cell r="CA92">
            <v>6</v>
          </cell>
          <cell r="CB92">
            <v>25</v>
          </cell>
          <cell r="CC92">
            <v>0</v>
          </cell>
          <cell r="CD92">
            <v>1</v>
          </cell>
          <cell r="CE92">
            <v>1</v>
          </cell>
          <cell r="CF92"/>
          <cell r="CG92">
            <v>6</v>
          </cell>
          <cell r="CH92">
            <v>24</v>
          </cell>
          <cell r="CI92">
            <v>0</v>
          </cell>
          <cell r="CJ92">
            <v>1</v>
          </cell>
          <cell r="CK92">
            <v>1</v>
          </cell>
          <cell r="CL92"/>
          <cell r="CM92">
            <v>0</v>
          </cell>
          <cell r="CN92">
            <v>20</v>
          </cell>
          <cell r="CO92">
            <v>0</v>
          </cell>
          <cell r="CP92">
            <v>1</v>
          </cell>
          <cell r="CQ92">
            <v>1</v>
          </cell>
          <cell r="CR92"/>
          <cell r="CS92">
            <v>0</v>
          </cell>
          <cell r="CT92">
            <v>24</v>
          </cell>
          <cell r="CU92">
            <v>0</v>
          </cell>
          <cell r="CV92">
            <v>1</v>
          </cell>
          <cell r="CW92">
            <v>0</v>
          </cell>
          <cell r="CX92"/>
          <cell r="CY92">
            <v>1</v>
          </cell>
          <cell r="CZ92">
            <v>26</v>
          </cell>
          <cell r="DA92">
            <v>0</v>
          </cell>
          <cell r="DB92">
            <v>1</v>
          </cell>
          <cell r="DC92">
            <v>0</v>
          </cell>
          <cell r="DD92"/>
          <cell r="DE92">
            <v>2</v>
          </cell>
          <cell r="DF92">
            <v>22</v>
          </cell>
          <cell r="DG92">
            <v>0</v>
          </cell>
          <cell r="DH92">
            <v>1</v>
          </cell>
          <cell r="DI92">
            <v>0</v>
          </cell>
          <cell r="DJ92"/>
          <cell r="DK92">
            <v>3</v>
          </cell>
        </row>
        <row r="93">
          <cell r="B93" t="str">
            <v>CN1209</v>
          </cell>
          <cell r="C93" t="str">
            <v>Khối sản xuất</v>
          </cell>
          <cell r="D93" t="str">
            <v>Phạm Phát Tài</v>
          </cell>
          <cell r="E93" t="str">
            <v>SX</v>
          </cell>
          <cell r="F93">
            <v>45398</v>
          </cell>
          <cell r="G93"/>
          <cell r="H93">
            <v>24</v>
          </cell>
          <cell r="I93">
            <v>0</v>
          </cell>
          <cell r="J93">
            <v>1</v>
          </cell>
          <cell r="K93">
            <v>2</v>
          </cell>
          <cell r="L93"/>
          <cell r="M93">
            <v>0</v>
          </cell>
          <cell r="N93">
            <v>26</v>
          </cell>
          <cell r="O93">
            <v>0</v>
          </cell>
          <cell r="P93">
            <v>1</v>
          </cell>
          <cell r="Q93">
            <v>0</v>
          </cell>
          <cell r="R93"/>
          <cell r="S93">
            <v>1</v>
          </cell>
          <cell r="T93" t="e">
            <v>#REF!</v>
          </cell>
          <cell r="U93">
            <v>0</v>
          </cell>
          <cell r="V93" t="e">
            <v>#REF!</v>
          </cell>
          <cell r="W93" t="e">
            <v>#REF!</v>
          </cell>
          <cell r="X93"/>
          <cell r="Y93">
            <v>1</v>
          </cell>
          <cell r="Z93">
            <v>22</v>
          </cell>
          <cell r="AA93">
            <v>0</v>
          </cell>
          <cell r="AB93">
            <v>1</v>
          </cell>
          <cell r="AC93">
            <v>2</v>
          </cell>
          <cell r="AD93"/>
          <cell r="AE93">
            <v>0</v>
          </cell>
          <cell r="AF93">
            <v>23</v>
          </cell>
          <cell r="AG93">
            <v>0</v>
          </cell>
          <cell r="AH93">
            <v>1</v>
          </cell>
          <cell r="AI93">
            <v>1</v>
          </cell>
          <cell r="AJ93"/>
          <cell r="AK93">
            <v>0</v>
          </cell>
          <cell r="AL93">
            <v>23</v>
          </cell>
          <cell r="AM93">
            <v>0</v>
          </cell>
          <cell r="AN93">
            <v>1</v>
          </cell>
          <cell r="AO93">
            <v>0</v>
          </cell>
          <cell r="AP93"/>
          <cell r="AQ93">
            <v>1</v>
          </cell>
          <cell r="AR93">
            <v>26</v>
          </cell>
          <cell r="AS93">
            <v>0</v>
          </cell>
          <cell r="AT93">
            <v>1</v>
          </cell>
          <cell r="AU93">
            <v>1</v>
          </cell>
          <cell r="AV93"/>
          <cell r="AW93">
            <v>1</v>
          </cell>
          <cell r="AX93">
            <v>26</v>
          </cell>
          <cell r="AY93">
            <v>0</v>
          </cell>
          <cell r="AZ93">
            <v>1</v>
          </cell>
          <cell r="BA93">
            <v>0</v>
          </cell>
          <cell r="BB93"/>
          <cell r="BC93">
            <v>5</v>
          </cell>
          <cell r="BD93">
            <v>26</v>
          </cell>
          <cell r="BE93">
            <v>0</v>
          </cell>
          <cell r="BF93">
            <v>1</v>
          </cell>
          <cell r="BG93">
            <v>0</v>
          </cell>
          <cell r="BH93"/>
          <cell r="BI93">
            <v>3</v>
          </cell>
          <cell r="BJ93">
            <v>26</v>
          </cell>
          <cell r="BK93">
            <v>0</v>
          </cell>
          <cell r="BL93">
            <v>1</v>
          </cell>
          <cell r="BM93">
            <v>0</v>
          </cell>
          <cell r="BN93"/>
          <cell r="BO93">
            <v>3</v>
          </cell>
          <cell r="BP93">
            <v>26</v>
          </cell>
          <cell r="BQ93">
            <v>0</v>
          </cell>
          <cell r="BR93">
            <v>1</v>
          </cell>
          <cell r="BS93">
            <v>0</v>
          </cell>
          <cell r="BT93"/>
          <cell r="BU93">
            <v>4</v>
          </cell>
          <cell r="BV93">
            <v>25</v>
          </cell>
          <cell r="BW93">
            <v>0</v>
          </cell>
          <cell r="BX93">
            <v>1</v>
          </cell>
          <cell r="BY93">
            <v>1</v>
          </cell>
          <cell r="BZ93"/>
          <cell r="CA93">
            <v>4</v>
          </cell>
          <cell r="CB93">
            <v>24</v>
          </cell>
          <cell r="CC93">
            <v>0</v>
          </cell>
          <cell r="CD93">
            <v>1</v>
          </cell>
          <cell r="CE93">
            <v>2</v>
          </cell>
          <cell r="CF93"/>
          <cell r="CG93">
            <v>3</v>
          </cell>
          <cell r="CH93">
            <v>23.5</v>
          </cell>
          <cell r="CI93">
            <v>0</v>
          </cell>
          <cell r="CJ93">
            <v>1</v>
          </cell>
          <cell r="CK93">
            <v>1</v>
          </cell>
          <cell r="CL93"/>
          <cell r="CM93">
            <v>0</v>
          </cell>
          <cell r="CN93">
            <v>19</v>
          </cell>
          <cell r="CO93">
            <v>0</v>
          </cell>
          <cell r="CP93">
            <v>1</v>
          </cell>
          <cell r="CQ93">
            <v>1</v>
          </cell>
          <cell r="CR93"/>
          <cell r="CS93">
            <v>0</v>
          </cell>
          <cell r="CT93">
            <v>24</v>
          </cell>
          <cell r="CU93">
            <v>0</v>
          </cell>
          <cell r="CV93">
            <v>1</v>
          </cell>
          <cell r="CW93">
            <v>0</v>
          </cell>
          <cell r="CX93"/>
          <cell r="CY93">
            <v>1</v>
          </cell>
          <cell r="CZ93">
            <v>27</v>
          </cell>
          <cell r="DA93">
            <v>0</v>
          </cell>
          <cell r="DB93">
            <v>1</v>
          </cell>
          <cell r="DC93">
            <v>0</v>
          </cell>
          <cell r="DD93"/>
          <cell r="DE93">
            <v>2</v>
          </cell>
          <cell r="DF93">
            <v>22</v>
          </cell>
          <cell r="DG93">
            <v>0</v>
          </cell>
          <cell r="DH93">
            <v>1</v>
          </cell>
          <cell r="DI93">
            <v>0</v>
          </cell>
          <cell r="DJ93"/>
          <cell r="DK93">
            <v>3</v>
          </cell>
        </row>
        <row r="94">
          <cell r="B94" t="str">
            <v>CN1210</v>
          </cell>
          <cell r="C94" t="str">
            <v>Khối sản xuất</v>
          </cell>
          <cell r="D94" t="str">
            <v>Đỗ Công Danh</v>
          </cell>
          <cell r="E94" t="str">
            <v>SX</v>
          </cell>
          <cell r="F94">
            <v>45398</v>
          </cell>
          <cell r="G94"/>
          <cell r="H94">
            <v>26</v>
          </cell>
          <cell r="I94">
            <v>0</v>
          </cell>
          <cell r="J94">
            <v>1</v>
          </cell>
          <cell r="K94">
            <v>0</v>
          </cell>
          <cell r="L94"/>
          <cell r="M94">
            <v>7</v>
          </cell>
          <cell r="N94">
            <v>25</v>
          </cell>
          <cell r="O94">
            <v>0</v>
          </cell>
          <cell r="P94">
            <v>1</v>
          </cell>
          <cell r="Q94">
            <v>1</v>
          </cell>
          <cell r="R94"/>
          <cell r="S94">
            <v>7</v>
          </cell>
          <cell r="T94" t="e">
            <v>#REF!</v>
          </cell>
          <cell r="U94">
            <v>0</v>
          </cell>
          <cell r="V94" t="e">
            <v>#REF!</v>
          </cell>
          <cell r="W94" t="e">
            <v>#REF!</v>
          </cell>
          <cell r="X94"/>
          <cell r="Y94">
            <v>2</v>
          </cell>
          <cell r="Z94">
            <v>24</v>
          </cell>
          <cell r="AA94">
            <v>0</v>
          </cell>
          <cell r="AB94">
            <v>1</v>
          </cell>
          <cell r="AC94">
            <v>0</v>
          </cell>
          <cell r="AD94"/>
          <cell r="AE94">
            <v>3</v>
          </cell>
          <cell r="AF94">
            <v>26</v>
          </cell>
          <cell r="AG94">
            <v>0</v>
          </cell>
          <cell r="AH94">
            <v>1</v>
          </cell>
          <cell r="AI94">
            <v>0</v>
          </cell>
          <cell r="AJ94"/>
          <cell r="AK94">
            <v>4</v>
          </cell>
          <cell r="AL94">
            <v>23</v>
          </cell>
          <cell r="AM94">
            <v>0</v>
          </cell>
          <cell r="AN94">
            <v>1</v>
          </cell>
          <cell r="AO94">
            <v>0</v>
          </cell>
          <cell r="AP94"/>
          <cell r="AQ94">
            <v>5</v>
          </cell>
          <cell r="AR94">
            <v>27</v>
          </cell>
          <cell r="AS94">
            <v>0</v>
          </cell>
          <cell r="AT94">
            <v>1</v>
          </cell>
          <cell r="AU94">
            <v>0</v>
          </cell>
          <cell r="AV94"/>
          <cell r="AW94">
            <v>6</v>
          </cell>
          <cell r="AX94">
            <v>26</v>
          </cell>
          <cell r="AY94">
            <v>0</v>
          </cell>
          <cell r="AZ94">
            <v>1</v>
          </cell>
          <cell r="BA94">
            <v>0</v>
          </cell>
          <cell r="BB94"/>
          <cell r="BC94">
            <v>16</v>
          </cell>
          <cell r="BD94">
            <v>26</v>
          </cell>
          <cell r="BE94">
            <v>0</v>
          </cell>
          <cell r="BF94">
            <v>1</v>
          </cell>
          <cell r="BG94">
            <v>0</v>
          </cell>
          <cell r="BH94"/>
          <cell r="BI94">
            <v>8</v>
          </cell>
          <cell r="BJ94">
            <v>24.833333333333336</v>
          </cell>
          <cell r="BK94">
            <v>0</v>
          </cell>
          <cell r="BL94">
            <v>1</v>
          </cell>
          <cell r="BM94">
            <v>1</v>
          </cell>
          <cell r="BN94"/>
          <cell r="BO94">
            <v>7</v>
          </cell>
          <cell r="BP94">
            <v>24.833333333333336</v>
          </cell>
          <cell r="BQ94">
            <v>0</v>
          </cell>
          <cell r="BR94">
            <v>1</v>
          </cell>
          <cell r="BS94">
            <v>1</v>
          </cell>
          <cell r="BT94"/>
          <cell r="BU94">
            <v>8</v>
          </cell>
          <cell r="BV94">
            <v>25</v>
          </cell>
          <cell r="BW94">
            <v>0</v>
          </cell>
          <cell r="BX94">
            <v>1</v>
          </cell>
          <cell r="BY94">
            <v>1</v>
          </cell>
          <cell r="BZ94"/>
          <cell r="CA94">
            <v>8</v>
          </cell>
          <cell r="CB94">
            <v>26</v>
          </cell>
          <cell r="CC94">
            <v>0</v>
          </cell>
          <cell r="CD94">
            <v>1</v>
          </cell>
          <cell r="CE94">
            <v>0</v>
          </cell>
          <cell r="CF94"/>
          <cell r="CG94">
            <v>9</v>
          </cell>
          <cell r="CH94">
            <v>25</v>
          </cell>
          <cell r="CI94">
            <v>0</v>
          </cell>
          <cell r="CJ94">
            <v>1</v>
          </cell>
          <cell r="CK94">
            <v>0</v>
          </cell>
          <cell r="CL94"/>
          <cell r="CM94">
            <v>1</v>
          </cell>
          <cell r="CN94">
            <v>20</v>
          </cell>
          <cell r="CO94">
            <v>0</v>
          </cell>
          <cell r="CP94">
            <v>1</v>
          </cell>
          <cell r="CQ94">
            <v>1</v>
          </cell>
          <cell r="CR94"/>
          <cell r="CS94">
            <v>1</v>
          </cell>
          <cell r="CT94">
            <v>24</v>
          </cell>
          <cell r="CU94">
            <v>0</v>
          </cell>
          <cell r="CV94">
            <v>1</v>
          </cell>
          <cell r="CW94">
            <v>0</v>
          </cell>
          <cell r="CX94"/>
          <cell r="CY94">
            <v>2</v>
          </cell>
          <cell r="CZ94">
            <v>26</v>
          </cell>
          <cell r="DA94">
            <v>0</v>
          </cell>
          <cell r="DB94">
            <v>1</v>
          </cell>
          <cell r="DC94">
            <v>1</v>
          </cell>
          <cell r="DD94"/>
          <cell r="DE94">
            <v>2</v>
          </cell>
          <cell r="DF94">
            <v>25</v>
          </cell>
          <cell r="DG94">
            <v>0</v>
          </cell>
          <cell r="DH94">
            <v>1</v>
          </cell>
          <cell r="DI94">
            <v>0</v>
          </cell>
          <cell r="DJ94"/>
          <cell r="DK94">
            <v>3</v>
          </cell>
        </row>
        <row r="95">
          <cell r="B95" t="str">
            <v>CN1112</v>
          </cell>
          <cell r="C95" t="str">
            <v>Khối sản xuất</v>
          </cell>
          <cell r="D95" t="str">
            <v>Đặng Văn Tí</v>
          </cell>
          <cell r="E95" t="str">
            <v>SX</v>
          </cell>
          <cell r="F95">
            <v>45355</v>
          </cell>
          <cell r="G95"/>
          <cell r="H95">
            <v>24.833333333333336</v>
          </cell>
          <cell r="I95">
            <v>0</v>
          </cell>
          <cell r="J95">
            <v>1</v>
          </cell>
          <cell r="K95">
            <v>1</v>
          </cell>
          <cell r="L95"/>
          <cell r="M95">
            <v>0.5</v>
          </cell>
          <cell r="N95">
            <v>23.833333333333336</v>
          </cell>
          <cell r="O95">
            <v>0</v>
          </cell>
          <cell r="P95">
            <v>1</v>
          </cell>
          <cell r="Q95">
            <v>2</v>
          </cell>
          <cell r="R95"/>
          <cell r="S95">
            <v>-0.5</v>
          </cell>
          <cell r="T95" t="e">
            <v>#REF!</v>
          </cell>
          <cell r="U95">
            <v>0</v>
          </cell>
          <cell r="V95" t="e">
            <v>#REF!</v>
          </cell>
          <cell r="W95" t="e">
            <v>#REF!</v>
          </cell>
          <cell r="X95"/>
          <cell r="Y95">
            <v>0.5</v>
          </cell>
          <cell r="Z95">
            <v>22</v>
          </cell>
          <cell r="AA95">
            <v>0</v>
          </cell>
          <cell r="AB95">
            <v>1</v>
          </cell>
          <cell r="AC95">
            <v>1</v>
          </cell>
          <cell r="AD95"/>
          <cell r="AE95">
            <v>0.5</v>
          </cell>
          <cell r="AF95">
            <v>24.833333333333336</v>
          </cell>
          <cell r="AG95">
            <v>0</v>
          </cell>
          <cell r="AH95">
            <v>1</v>
          </cell>
          <cell r="AI95">
            <v>1</v>
          </cell>
          <cell r="AJ95"/>
          <cell r="AK95">
            <v>0.5</v>
          </cell>
          <cell r="AL95">
            <v>23</v>
          </cell>
          <cell r="AM95">
            <v>0</v>
          </cell>
          <cell r="AN95">
            <v>1</v>
          </cell>
          <cell r="AO95">
            <v>0</v>
          </cell>
          <cell r="AP95"/>
          <cell r="AQ95">
            <v>1.5</v>
          </cell>
          <cell r="AR95">
            <v>26</v>
          </cell>
          <cell r="AS95">
            <v>0</v>
          </cell>
          <cell r="AT95">
            <v>1</v>
          </cell>
          <cell r="AU95">
            <v>1</v>
          </cell>
          <cell r="AV95"/>
          <cell r="AW95">
            <v>1.5</v>
          </cell>
          <cell r="AX95">
            <v>26</v>
          </cell>
          <cell r="AY95">
            <v>0</v>
          </cell>
          <cell r="AZ95">
            <v>1</v>
          </cell>
          <cell r="BA95">
            <v>0</v>
          </cell>
          <cell r="BB95"/>
          <cell r="BC95">
            <v>4</v>
          </cell>
          <cell r="BD95">
            <v>24</v>
          </cell>
          <cell r="BE95">
            <v>0</v>
          </cell>
          <cell r="BF95">
            <v>1</v>
          </cell>
          <cell r="BG95">
            <v>2</v>
          </cell>
          <cell r="BH95"/>
          <cell r="BI95">
            <v>1.5</v>
          </cell>
          <cell r="BJ95">
            <v>23</v>
          </cell>
          <cell r="BK95">
            <v>0</v>
          </cell>
          <cell r="BL95">
            <v>1</v>
          </cell>
          <cell r="BM95">
            <v>3</v>
          </cell>
          <cell r="BN95"/>
          <cell r="BO95">
            <v>0.5</v>
          </cell>
          <cell r="BP95">
            <v>23</v>
          </cell>
          <cell r="BQ95">
            <v>0</v>
          </cell>
          <cell r="BR95">
            <v>1</v>
          </cell>
          <cell r="BS95">
            <v>3</v>
          </cell>
          <cell r="BT95"/>
          <cell r="BU95">
            <v>1.5</v>
          </cell>
          <cell r="BV95">
            <v>25</v>
          </cell>
          <cell r="BW95">
            <v>0</v>
          </cell>
          <cell r="BX95">
            <v>1</v>
          </cell>
          <cell r="BY95">
            <v>1</v>
          </cell>
          <cell r="BZ95"/>
          <cell r="CA95">
            <v>1.5</v>
          </cell>
          <cell r="CB95">
            <v>25</v>
          </cell>
          <cell r="CC95">
            <v>0</v>
          </cell>
          <cell r="CD95">
            <v>1</v>
          </cell>
          <cell r="CE95">
            <v>1</v>
          </cell>
          <cell r="CF95"/>
          <cell r="CG95">
            <v>1.5</v>
          </cell>
          <cell r="CH95">
            <v>25</v>
          </cell>
          <cell r="CI95">
            <v>0</v>
          </cell>
          <cell r="CJ95">
            <v>1</v>
          </cell>
          <cell r="CK95">
            <v>1</v>
          </cell>
          <cell r="CL95"/>
          <cell r="CM95">
            <v>0</v>
          </cell>
          <cell r="CN95">
            <v>21</v>
          </cell>
          <cell r="CO95">
            <v>0</v>
          </cell>
          <cell r="CP95">
            <v>1</v>
          </cell>
          <cell r="CQ95">
            <v>1</v>
          </cell>
          <cell r="CR95"/>
          <cell r="CS95">
            <v>0</v>
          </cell>
          <cell r="CT95">
            <v>24</v>
          </cell>
          <cell r="CU95">
            <v>0</v>
          </cell>
          <cell r="CV95">
            <v>1</v>
          </cell>
          <cell r="CW95">
            <v>0</v>
          </cell>
          <cell r="CX95"/>
          <cell r="CY95">
            <v>1</v>
          </cell>
          <cell r="CZ95">
            <v>26</v>
          </cell>
          <cell r="DA95">
            <v>0</v>
          </cell>
          <cell r="DB95">
            <v>1</v>
          </cell>
          <cell r="DC95">
            <v>0</v>
          </cell>
          <cell r="DD95"/>
          <cell r="DE95">
            <v>2</v>
          </cell>
          <cell r="DF95">
            <v>24</v>
          </cell>
          <cell r="DG95">
            <v>0</v>
          </cell>
          <cell r="DH95">
            <v>1</v>
          </cell>
          <cell r="DI95">
            <v>0</v>
          </cell>
          <cell r="DJ95"/>
          <cell r="DK95">
            <v>3</v>
          </cell>
        </row>
        <row r="96">
          <cell r="B96" t="str">
            <v>CN1169</v>
          </cell>
          <cell r="C96" t="str">
            <v>Khối sản xuất</v>
          </cell>
          <cell r="D96" t="str">
            <v>Lý Văn Vỹ</v>
          </cell>
          <cell r="E96" t="str">
            <v>SX</v>
          </cell>
          <cell r="F96">
            <v>45379</v>
          </cell>
          <cell r="G96"/>
          <cell r="H96">
            <v>26</v>
          </cell>
          <cell r="I96">
            <v>0</v>
          </cell>
          <cell r="J96">
            <v>1</v>
          </cell>
          <cell r="K96">
            <v>0</v>
          </cell>
          <cell r="L96"/>
          <cell r="M96">
            <v>3</v>
          </cell>
          <cell r="N96">
            <v>26</v>
          </cell>
          <cell r="O96">
            <v>0</v>
          </cell>
          <cell r="P96">
            <v>1</v>
          </cell>
          <cell r="Q96">
            <v>0</v>
          </cell>
          <cell r="R96"/>
          <cell r="S96">
            <v>4</v>
          </cell>
          <cell r="T96" t="e">
            <v>#REF!</v>
          </cell>
          <cell r="U96">
            <v>0</v>
          </cell>
          <cell r="V96" t="e">
            <v>#REF!</v>
          </cell>
          <cell r="W96" t="e">
            <v>#REF!</v>
          </cell>
          <cell r="X96"/>
          <cell r="Y96">
            <v>2</v>
          </cell>
          <cell r="Z96">
            <v>17.5</v>
          </cell>
          <cell r="AA96">
            <v>0</v>
          </cell>
          <cell r="AB96">
            <v>1</v>
          </cell>
          <cell r="AC96">
            <v>3</v>
          </cell>
          <cell r="AD96"/>
          <cell r="AE96">
            <v>0</v>
          </cell>
          <cell r="AF96">
            <v>26</v>
          </cell>
          <cell r="AG96">
            <v>0</v>
          </cell>
          <cell r="AH96">
            <v>1</v>
          </cell>
          <cell r="AI96">
            <v>0</v>
          </cell>
          <cell r="AJ96"/>
          <cell r="AK96">
            <v>1</v>
          </cell>
          <cell r="AL96">
            <v>21.833333333333336</v>
          </cell>
          <cell r="AM96">
            <v>0</v>
          </cell>
          <cell r="AN96">
            <v>1</v>
          </cell>
          <cell r="AO96">
            <v>0</v>
          </cell>
          <cell r="AP96"/>
          <cell r="AQ96">
            <v>2</v>
          </cell>
          <cell r="AR96">
            <v>27</v>
          </cell>
          <cell r="AS96">
            <v>0</v>
          </cell>
          <cell r="AT96">
            <v>1</v>
          </cell>
          <cell r="AU96">
            <v>0</v>
          </cell>
          <cell r="AV96"/>
          <cell r="AW96">
            <v>3</v>
          </cell>
          <cell r="AX96">
            <v>23</v>
          </cell>
          <cell r="AY96">
            <v>0</v>
          </cell>
          <cell r="AZ96">
            <v>1</v>
          </cell>
          <cell r="BA96">
            <v>3</v>
          </cell>
          <cell r="BB96"/>
          <cell r="BC96">
            <v>1</v>
          </cell>
          <cell r="BD96">
            <v>23</v>
          </cell>
          <cell r="BE96">
            <v>0</v>
          </cell>
          <cell r="BF96">
            <v>1</v>
          </cell>
          <cell r="BG96">
            <v>2</v>
          </cell>
          <cell r="BH96"/>
          <cell r="BI96">
            <v>0</v>
          </cell>
          <cell r="BJ96">
            <v>21</v>
          </cell>
          <cell r="BK96">
            <v>0</v>
          </cell>
          <cell r="BL96">
            <v>1</v>
          </cell>
          <cell r="BM96">
            <v>4</v>
          </cell>
          <cell r="BN96"/>
          <cell r="BO96">
            <v>-2</v>
          </cell>
          <cell r="BP96">
            <v>21</v>
          </cell>
          <cell r="BQ96">
            <v>0</v>
          </cell>
          <cell r="BR96">
            <v>1</v>
          </cell>
          <cell r="BS96">
            <v>4</v>
          </cell>
          <cell r="BT96"/>
          <cell r="BU96">
            <v>-1</v>
          </cell>
          <cell r="BV96">
            <v>21</v>
          </cell>
          <cell r="BW96">
            <v>0</v>
          </cell>
          <cell r="BX96">
            <v>1</v>
          </cell>
          <cell r="BY96">
            <v>1</v>
          </cell>
          <cell r="BZ96"/>
          <cell r="CA96">
            <v>-1</v>
          </cell>
          <cell r="CB96">
            <v>26</v>
          </cell>
          <cell r="CC96">
            <v>0</v>
          </cell>
          <cell r="CD96">
            <v>1</v>
          </cell>
          <cell r="CE96">
            <v>0</v>
          </cell>
          <cell r="CF96"/>
          <cell r="CG96">
            <v>0</v>
          </cell>
          <cell r="CH96">
            <v>25</v>
          </cell>
          <cell r="CI96">
            <v>0</v>
          </cell>
          <cell r="CJ96">
            <v>1</v>
          </cell>
          <cell r="CK96">
            <v>1</v>
          </cell>
          <cell r="CL96"/>
          <cell r="CM96">
            <v>0</v>
          </cell>
          <cell r="CN96">
            <v>19</v>
          </cell>
          <cell r="CO96">
            <v>0</v>
          </cell>
          <cell r="CP96">
            <v>1</v>
          </cell>
          <cell r="CQ96">
            <v>1</v>
          </cell>
          <cell r="CR96"/>
          <cell r="CS96">
            <v>0</v>
          </cell>
          <cell r="CT96">
            <v>22</v>
          </cell>
          <cell r="CU96">
            <v>0</v>
          </cell>
          <cell r="CV96">
            <v>1</v>
          </cell>
          <cell r="CW96">
            <v>1</v>
          </cell>
          <cell r="CX96"/>
          <cell r="CY96">
            <v>0</v>
          </cell>
          <cell r="CZ96">
            <v>26</v>
          </cell>
          <cell r="DA96">
            <v>0</v>
          </cell>
          <cell r="DB96">
            <v>1</v>
          </cell>
          <cell r="DC96">
            <v>1</v>
          </cell>
          <cell r="DD96"/>
          <cell r="DE96">
            <v>0</v>
          </cell>
          <cell r="DF96">
            <v>25</v>
          </cell>
          <cell r="DG96">
            <v>0</v>
          </cell>
          <cell r="DH96">
            <v>1</v>
          </cell>
          <cell r="DI96">
            <v>0</v>
          </cell>
          <cell r="DJ96"/>
          <cell r="DK96">
            <v>1</v>
          </cell>
        </row>
        <row r="97">
          <cell r="B97" t="str">
            <v>CN1224</v>
          </cell>
          <cell r="C97" t="str">
            <v>Khối sản xuất</v>
          </cell>
          <cell r="D97" t="str">
            <v>Cao Mạnh Hùng</v>
          </cell>
          <cell r="E97" t="str">
            <v>SX</v>
          </cell>
          <cell r="F97">
            <v>45415</v>
          </cell>
          <cell r="G97"/>
          <cell r="H97">
            <v>26</v>
          </cell>
          <cell r="I97">
            <v>0</v>
          </cell>
          <cell r="J97">
            <v>1</v>
          </cell>
          <cell r="K97">
            <v>0</v>
          </cell>
          <cell r="L97"/>
          <cell r="M97">
            <v>1</v>
          </cell>
          <cell r="N97">
            <v>26</v>
          </cell>
          <cell r="O97">
            <v>0</v>
          </cell>
          <cell r="P97">
            <v>1</v>
          </cell>
          <cell r="Q97">
            <v>0</v>
          </cell>
          <cell r="R97"/>
          <cell r="S97">
            <v>2</v>
          </cell>
          <cell r="T97" t="e">
            <v>#REF!</v>
          </cell>
          <cell r="U97">
            <v>0</v>
          </cell>
          <cell r="V97" t="e">
            <v>#REF!</v>
          </cell>
          <cell r="W97" t="e">
            <v>#REF!</v>
          </cell>
          <cell r="X97"/>
          <cell r="Y97">
            <v>0</v>
          </cell>
          <cell r="Z97">
            <v>21</v>
          </cell>
          <cell r="AA97">
            <v>0</v>
          </cell>
          <cell r="AB97">
            <v>1</v>
          </cell>
          <cell r="AC97">
            <v>1</v>
          </cell>
          <cell r="AD97"/>
          <cell r="AE97">
            <v>0</v>
          </cell>
          <cell r="AF97">
            <v>26</v>
          </cell>
          <cell r="AG97">
            <v>0</v>
          </cell>
          <cell r="AH97">
            <v>1</v>
          </cell>
          <cell r="AI97">
            <v>0</v>
          </cell>
          <cell r="AJ97"/>
          <cell r="AK97">
            <v>1</v>
          </cell>
          <cell r="AL97">
            <v>21.333333333333336</v>
          </cell>
          <cell r="AM97">
            <v>0</v>
          </cell>
          <cell r="AN97">
            <v>1</v>
          </cell>
          <cell r="AO97">
            <v>1</v>
          </cell>
          <cell r="AP97"/>
          <cell r="AQ97">
            <v>1</v>
          </cell>
          <cell r="AR97">
            <v>21</v>
          </cell>
          <cell r="AS97">
            <v>0</v>
          </cell>
          <cell r="AT97">
            <v>1</v>
          </cell>
          <cell r="AU97">
            <v>3</v>
          </cell>
          <cell r="AV97"/>
          <cell r="AW97">
            <v>-1</v>
          </cell>
          <cell r="AX97">
            <v>26</v>
          </cell>
          <cell r="AY97">
            <v>0</v>
          </cell>
          <cell r="AZ97">
            <v>1</v>
          </cell>
          <cell r="BA97">
            <v>0</v>
          </cell>
          <cell r="BB97"/>
          <cell r="BC97">
            <v>1</v>
          </cell>
          <cell r="BD97">
            <v>23.916666666666664</v>
          </cell>
          <cell r="BE97">
            <v>0</v>
          </cell>
          <cell r="BF97">
            <v>1</v>
          </cell>
          <cell r="BG97">
            <v>1</v>
          </cell>
          <cell r="BH97"/>
          <cell r="BI97">
            <v>0</v>
          </cell>
          <cell r="BJ97">
            <v>25</v>
          </cell>
          <cell r="BK97">
            <v>0</v>
          </cell>
          <cell r="BL97">
            <v>1</v>
          </cell>
          <cell r="BM97">
            <v>1</v>
          </cell>
          <cell r="BN97"/>
          <cell r="BO97">
            <v>0</v>
          </cell>
          <cell r="BP97">
            <v>25</v>
          </cell>
          <cell r="BQ97">
            <v>0</v>
          </cell>
          <cell r="BR97">
            <v>1</v>
          </cell>
          <cell r="BS97">
            <v>1</v>
          </cell>
          <cell r="BT97"/>
          <cell r="BU97">
            <v>1</v>
          </cell>
          <cell r="BV97">
            <v>24.416666666666664</v>
          </cell>
          <cell r="BW97">
            <v>0</v>
          </cell>
          <cell r="BX97">
            <v>1</v>
          </cell>
          <cell r="BY97">
            <v>1</v>
          </cell>
          <cell r="BZ97"/>
          <cell r="CA97">
            <v>1</v>
          </cell>
          <cell r="CB97">
            <v>24</v>
          </cell>
          <cell r="CC97">
            <v>0</v>
          </cell>
          <cell r="CD97">
            <v>1</v>
          </cell>
          <cell r="CE97">
            <v>1</v>
          </cell>
          <cell r="CF97"/>
          <cell r="CG97">
            <v>1</v>
          </cell>
          <cell r="CH97">
            <v>26</v>
          </cell>
          <cell r="CI97">
            <v>0</v>
          </cell>
          <cell r="CJ97">
            <v>1</v>
          </cell>
          <cell r="CK97">
            <v>0</v>
          </cell>
          <cell r="CL97"/>
          <cell r="CM97">
            <v>1</v>
          </cell>
          <cell r="CN97">
            <v>20</v>
          </cell>
          <cell r="CO97">
            <v>0</v>
          </cell>
          <cell r="CP97">
            <v>1</v>
          </cell>
          <cell r="CQ97">
            <v>1</v>
          </cell>
          <cell r="CR97"/>
          <cell r="CS97">
            <v>1</v>
          </cell>
          <cell r="CT97">
            <v>23</v>
          </cell>
          <cell r="CU97">
            <v>0</v>
          </cell>
          <cell r="CV97">
            <v>1</v>
          </cell>
          <cell r="CW97">
            <v>1</v>
          </cell>
          <cell r="CX97"/>
          <cell r="CY97">
            <v>1</v>
          </cell>
          <cell r="CZ97">
            <v>27</v>
          </cell>
          <cell r="DA97">
            <v>0</v>
          </cell>
          <cell r="DB97">
            <v>1</v>
          </cell>
          <cell r="DC97">
            <v>0</v>
          </cell>
          <cell r="DD97"/>
          <cell r="DE97">
            <v>2</v>
          </cell>
          <cell r="DF97">
            <v>25</v>
          </cell>
          <cell r="DG97">
            <v>0</v>
          </cell>
          <cell r="DH97">
            <v>1</v>
          </cell>
          <cell r="DI97">
            <v>0</v>
          </cell>
          <cell r="DJ97"/>
          <cell r="DK97">
            <v>3</v>
          </cell>
        </row>
        <row r="98">
          <cell r="B98" t="str">
            <v>CN1255</v>
          </cell>
          <cell r="C98" t="str">
            <v>Khối sản xuất</v>
          </cell>
          <cell r="D98" t="str">
            <v>Danh Vích</v>
          </cell>
          <cell r="E98" t="str">
            <v>SX</v>
          </cell>
          <cell r="F98">
            <v>45450</v>
          </cell>
          <cell r="G98"/>
          <cell r="H98">
            <v>25.833333333333332</v>
          </cell>
          <cell r="I98">
            <v>0</v>
          </cell>
          <cell r="J98">
            <v>1</v>
          </cell>
          <cell r="K98">
            <v>0</v>
          </cell>
          <cell r="L98"/>
          <cell r="M98">
            <v>3</v>
          </cell>
          <cell r="N98">
            <v>22.583333333333336</v>
          </cell>
          <cell r="O98">
            <v>0</v>
          </cell>
          <cell r="P98">
            <v>1</v>
          </cell>
          <cell r="Q98">
            <v>3</v>
          </cell>
          <cell r="R98"/>
          <cell r="S98">
            <v>1</v>
          </cell>
          <cell r="T98" t="e">
            <v>#REF!</v>
          </cell>
          <cell r="U98">
            <v>0</v>
          </cell>
          <cell r="V98" t="e">
            <v>#REF!</v>
          </cell>
          <cell r="W98" t="e">
            <v>#REF!</v>
          </cell>
          <cell r="X98"/>
          <cell r="Y98">
            <v>1</v>
          </cell>
          <cell r="Z98">
            <v>23.5</v>
          </cell>
          <cell r="AA98">
            <v>0</v>
          </cell>
          <cell r="AB98">
            <v>1</v>
          </cell>
          <cell r="AC98">
            <v>0</v>
          </cell>
          <cell r="AD98"/>
          <cell r="AE98">
            <v>2</v>
          </cell>
          <cell r="AF98">
            <v>25</v>
          </cell>
          <cell r="AG98">
            <v>0</v>
          </cell>
          <cell r="AH98">
            <v>1</v>
          </cell>
          <cell r="AI98">
            <v>0</v>
          </cell>
          <cell r="AJ98"/>
          <cell r="AK98">
            <v>3</v>
          </cell>
          <cell r="AL98">
            <v>20.833333333333332</v>
          </cell>
          <cell r="AM98">
            <v>0</v>
          </cell>
          <cell r="AN98">
            <v>1</v>
          </cell>
          <cell r="AO98">
            <v>2</v>
          </cell>
          <cell r="AP98"/>
          <cell r="AQ98">
            <v>2</v>
          </cell>
          <cell r="AR98">
            <v>25.666666666666668</v>
          </cell>
          <cell r="AS98">
            <v>0</v>
          </cell>
          <cell r="AT98">
            <v>1</v>
          </cell>
          <cell r="AU98">
            <v>1</v>
          </cell>
          <cell r="AV98"/>
          <cell r="AW98">
            <v>2</v>
          </cell>
          <cell r="AX98">
            <v>22.75</v>
          </cell>
          <cell r="AY98">
            <v>0</v>
          </cell>
          <cell r="AZ98">
            <v>1</v>
          </cell>
          <cell r="BA98">
            <v>3</v>
          </cell>
          <cell r="BB98"/>
          <cell r="BC98">
            <v>1</v>
          </cell>
          <cell r="BD98">
            <v>23.416666666666668</v>
          </cell>
          <cell r="BE98">
            <v>0</v>
          </cell>
          <cell r="BF98">
            <v>1</v>
          </cell>
          <cell r="BG98">
            <v>1</v>
          </cell>
          <cell r="BH98"/>
          <cell r="BI98">
            <v>0</v>
          </cell>
          <cell r="BJ98">
            <v>24.75</v>
          </cell>
          <cell r="BK98">
            <v>0</v>
          </cell>
          <cell r="BL98">
            <v>1</v>
          </cell>
          <cell r="BM98">
            <v>0</v>
          </cell>
          <cell r="BN98"/>
          <cell r="BO98">
            <v>1</v>
          </cell>
          <cell r="BP98">
            <v>24.75</v>
          </cell>
          <cell r="BQ98">
            <v>0</v>
          </cell>
          <cell r="BR98">
            <v>1</v>
          </cell>
          <cell r="BS98">
            <v>1</v>
          </cell>
          <cell r="BT98"/>
          <cell r="BU98">
            <v>2</v>
          </cell>
          <cell r="BV98">
            <v>25.333333333333332</v>
          </cell>
          <cell r="BW98">
            <v>0</v>
          </cell>
          <cell r="BX98">
            <v>1</v>
          </cell>
          <cell r="BY98">
            <v>0</v>
          </cell>
          <cell r="BZ98"/>
          <cell r="CA98">
            <v>3</v>
          </cell>
          <cell r="CB98">
            <v>22.583333333333332</v>
          </cell>
          <cell r="CC98">
            <v>0</v>
          </cell>
          <cell r="CD98">
            <v>1</v>
          </cell>
          <cell r="CE98">
            <v>3</v>
          </cell>
          <cell r="CF98"/>
          <cell r="CG98">
            <v>1</v>
          </cell>
          <cell r="CH98">
            <v>24.5</v>
          </cell>
          <cell r="CI98">
            <v>0</v>
          </cell>
          <cell r="CJ98">
            <v>1</v>
          </cell>
          <cell r="CK98">
            <v>0</v>
          </cell>
          <cell r="CL98"/>
          <cell r="CM98">
            <v>1</v>
          </cell>
          <cell r="CN98">
            <v>17.583333333333336</v>
          </cell>
          <cell r="CO98">
            <v>0</v>
          </cell>
          <cell r="CP98">
            <v>1</v>
          </cell>
          <cell r="CQ98">
            <v>1</v>
          </cell>
          <cell r="CR98"/>
          <cell r="CS98">
            <v>1</v>
          </cell>
          <cell r="CT98">
            <v>21.916666666666668</v>
          </cell>
          <cell r="CU98">
            <v>0</v>
          </cell>
          <cell r="CV98">
            <v>1</v>
          </cell>
          <cell r="CW98">
            <v>1</v>
          </cell>
          <cell r="CX98"/>
          <cell r="CY98">
            <v>1</v>
          </cell>
          <cell r="CZ98">
            <v>25.916666666666668</v>
          </cell>
          <cell r="DA98">
            <v>0</v>
          </cell>
          <cell r="DB98">
            <v>1</v>
          </cell>
          <cell r="DC98">
            <v>1</v>
          </cell>
          <cell r="DD98"/>
          <cell r="DE98">
            <v>1</v>
          </cell>
          <cell r="DF98">
            <v>21.25</v>
          </cell>
          <cell r="DG98">
            <v>0</v>
          </cell>
          <cell r="DH98">
            <v>1</v>
          </cell>
          <cell r="DI98">
            <v>2</v>
          </cell>
          <cell r="DJ98"/>
          <cell r="DK98">
            <v>0</v>
          </cell>
        </row>
        <row r="99">
          <cell r="B99" t="str">
            <v>CN1249</v>
          </cell>
          <cell r="C99" t="str">
            <v>Khối sản xuất</v>
          </cell>
          <cell r="D99" t="str">
            <v>Trần Văn Mến</v>
          </cell>
          <cell r="E99" t="str">
            <v>SX</v>
          </cell>
          <cell r="F99">
            <v>45444</v>
          </cell>
          <cell r="G99"/>
          <cell r="H99">
            <v>25</v>
          </cell>
          <cell r="I99">
            <v>0</v>
          </cell>
          <cell r="J99">
            <v>1</v>
          </cell>
          <cell r="K99">
            <v>1</v>
          </cell>
          <cell r="L99"/>
          <cell r="M99">
            <v>2</v>
          </cell>
          <cell r="N99">
            <v>25</v>
          </cell>
          <cell r="O99">
            <v>0</v>
          </cell>
          <cell r="P99">
            <v>1</v>
          </cell>
          <cell r="Q99">
            <v>1</v>
          </cell>
          <cell r="R99"/>
          <cell r="S99">
            <v>2</v>
          </cell>
          <cell r="T99" t="e">
            <v>#REF!</v>
          </cell>
          <cell r="U99">
            <v>0</v>
          </cell>
          <cell r="V99" t="e">
            <v>#REF!</v>
          </cell>
          <cell r="W99" t="e">
            <v>#REF!</v>
          </cell>
          <cell r="X99"/>
          <cell r="Y99">
            <v>1</v>
          </cell>
          <cell r="Z99">
            <v>23.5</v>
          </cell>
          <cell r="AA99">
            <v>0</v>
          </cell>
          <cell r="AB99">
            <v>1</v>
          </cell>
          <cell r="AC99">
            <v>0.5</v>
          </cell>
          <cell r="AD99"/>
          <cell r="AE99">
            <v>1.5</v>
          </cell>
          <cell r="AF99">
            <v>23</v>
          </cell>
          <cell r="AG99">
            <v>0</v>
          </cell>
          <cell r="AH99">
            <v>1</v>
          </cell>
          <cell r="AI99">
            <v>2</v>
          </cell>
          <cell r="AJ99"/>
          <cell r="AK99">
            <v>0.5</v>
          </cell>
          <cell r="AL99">
            <v>22</v>
          </cell>
          <cell r="AM99">
            <v>0</v>
          </cell>
          <cell r="AN99">
            <v>1</v>
          </cell>
          <cell r="AO99">
            <v>0</v>
          </cell>
          <cell r="AP99"/>
          <cell r="AQ99">
            <v>1.5</v>
          </cell>
          <cell r="AR99">
            <v>25.916666666666664</v>
          </cell>
          <cell r="AS99">
            <v>0</v>
          </cell>
          <cell r="AT99">
            <v>1</v>
          </cell>
          <cell r="AU99">
            <v>0</v>
          </cell>
          <cell r="AV99"/>
          <cell r="AW99">
            <v>2.5</v>
          </cell>
          <cell r="AX99">
            <v>26</v>
          </cell>
          <cell r="AY99">
            <v>0</v>
          </cell>
          <cell r="AZ99">
            <v>1</v>
          </cell>
          <cell r="BA99">
            <v>0</v>
          </cell>
          <cell r="BB99"/>
          <cell r="BC99">
            <v>11</v>
          </cell>
          <cell r="BD99">
            <v>25.583333333333336</v>
          </cell>
          <cell r="BE99">
            <v>0</v>
          </cell>
          <cell r="BF99">
            <v>1</v>
          </cell>
          <cell r="BG99">
            <v>0</v>
          </cell>
          <cell r="BH99"/>
          <cell r="BI99">
            <v>4.5</v>
          </cell>
          <cell r="BJ99">
            <v>26</v>
          </cell>
          <cell r="BK99">
            <v>0</v>
          </cell>
          <cell r="BL99">
            <v>1</v>
          </cell>
          <cell r="BM99">
            <v>0</v>
          </cell>
          <cell r="BN99"/>
          <cell r="BO99">
            <v>4.5</v>
          </cell>
          <cell r="BP99">
            <v>26</v>
          </cell>
          <cell r="BQ99">
            <v>0</v>
          </cell>
          <cell r="BR99">
            <v>1</v>
          </cell>
          <cell r="BS99">
            <v>0</v>
          </cell>
          <cell r="BT99"/>
          <cell r="BU99">
            <v>5.5</v>
          </cell>
          <cell r="BV99">
            <v>25</v>
          </cell>
          <cell r="BW99">
            <v>0</v>
          </cell>
          <cell r="BX99">
            <v>1</v>
          </cell>
          <cell r="BY99">
            <v>0</v>
          </cell>
          <cell r="BZ99"/>
          <cell r="CA99">
            <v>6.5</v>
          </cell>
          <cell r="CB99">
            <v>26</v>
          </cell>
          <cell r="CC99">
            <v>0</v>
          </cell>
          <cell r="CD99">
            <v>1</v>
          </cell>
          <cell r="CE99">
            <v>0</v>
          </cell>
          <cell r="CF99"/>
          <cell r="CG99">
            <v>7.5</v>
          </cell>
          <cell r="CH99">
            <v>24</v>
          </cell>
          <cell r="CI99">
            <v>0</v>
          </cell>
          <cell r="CJ99">
            <v>1</v>
          </cell>
          <cell r="CK99">
            <v>1</v>
          </cell>
          <cell r="CL99"/>
          <cell r="CM99">
            <v>0</v>
          </cell>
          <cell r="CN99">
            <v>21</v>
          </cell>
          <cell r="CO99">
            <v>0</v>
          </cell>
          <cell r="CP99">
            <v>1</v>
          </cell>
          <cell r="CQ99">
            <v>1</v>
          </cell>
          <cell r="CR99"/>
          <cell r="CS99">
            <v>0</v>
          </cell>
          <cell r="CT99">
            <v>24</v>
          </cell>
          <cell r="CU99">
            <v>0</v>
          </cell>
          <cell r="CV99">
            <v>1</v>
          </cell>
          <cell r="CW99">
            <v>0</v>
          </cell>
          <cell r="CX99"/>
          <cell r="CY99">
            <v>1</v>
          </cell>
          <cell r="CZ99">
            <v>26</v>
          </cell>
          <cell r="DA99">
            <v>0</v>
          </cell>
          <cell r="DB99">
            <v>1</v>
          </cell>
          <cell r="DC99">
            <v>1</v>
          </cell>
          <cell r="DD99"/>
          <cell r="DE99">
            <v>1</v>
          </cell>
          <cell r="DF99">
            <v>24</v>
          </cell>
          <cell r="DG99">
            <v>0</v>
          </cell>
          <cell r="DH99">
            <v>1</v>
          </cell>
          <cell r="DI99">
            <v>1</v>
          </cell>
          <cell r="DJ99"/>
          <cell r="DK99">
            <v>1</v>
          </cell>
        </row>
        <row r="100">
          <cell r="B100" t="str">
            <v>CN1277</v>
          </cell>
          <cell r="C100" t="str">
            <v>Khối sản xuất</v>
          </cell>
          <cell r="D100" t="str">
            <v>Nguyễn Văn Cường</v>
          </cell>
          <cell r="E100" t="str">
            <v>SX</v>
          </cell>
          <cell r="F100">
            <v>45493</v>
          </cell>
          <cell r="G100"/>
          <cell r="H100">
            <v>20.833333333333332</v>
          </cell>
          <cell r="I100">
            <v>0</v>
          </cell>
          <cell r="J100">
            <v>1</v>
          </cell>
          <cell r="K100">
            <v>1</v>
          </cell>
          <cell r="L100"/>
          <cell r="M100">
            <v>0</v>
          </cell>
          <cell r="N100">
            <v>25.916666666666668</v>
          </cell>
          <cell r="O100">
            <v>0</v>
          </cell>
          <cell r="P100">
            <v>1</v>
          </cell>
          <cell r="Q100">
            <v>0</v>
          </cell>
          <cell r="R100"/>
          <cell r="S100">
            <v>1</v>
          </cell>
          <cell r="T100" t="e">
            <v>#REF!</v>
          </cell>
          <cell r="U100">
            <v>0</v>
          </cell>
          <cell r="V100" t="e">
            <v>#REF!</v>
          </cell>
          <cell r="W100" t="e">
            <v>#REF!</v>
          </cell>
          <cell r="X100"/>
          <cell r="Y100">
            <v>2</v>
          </cell>
          <cell r="Z100">
            <v>23.083333333333336</v>
          </cell>
          <cell r="AA100">
            <v>0</v>
          </cell>
          <cell r="AB100">
            <v>1</v>
          </cell>
          <cell r="AC100">
            <v>0</v>
          </cell>
          <cell r="AD100"/>
          <cell r="AE100">
            <v>3</v>
          </cell>
          <cell r="AF100">
            <v>25.916666666666664</v>
          </cell>
          <cell r="AG100">
            <v>0</v>
          </cell>
          <cell r="AH100">
            <v>1</v>
          </cell>
          <cell r="AI100">
            <v>0</v>
          </cell>
          <cell r="AJ100"/>
          <cell r="AK100">
            <v>4</v>
          </cell>
          <cell r="AL100">
            <v>22</v>
          </cell>
          <cell r="AM100">
            <v>0</v>
          </cell>
          <cell r="AN100">
            <v>1</v>
          </cell>
          <cell r="AO100">
            <v>1</v>
          </cell>
          <cell r="AP100"/>
          <cell r="AQ100">
            <v>4</v>
          </cell>
          <cell r="AR100">
            <v>25</v>
          </cell>
          <cell r="AS100">
            <v>0</v>
          </cell>
          <cell r="AT100">
            <v>1</v>
          </cell>
          <cell r="AU100">
            <v>2</v>
          </cell>
          <cell r="AV100"/>
          <cell r="AW100">
            <v>3</v>
          </cell>
          <cell r="AX100">
            <v>22.583333333333336</v>
          </cell>
          <cell r="AY100">
            <v>0</v>
          </cell>
          <cell r="AZ100">
            <v>1</v>
          </cell>
          <cell r="BA100">
            <v>2</v>
          </cell>
          <cell r="BB100"/>
          <cell r="BC100">
            <v>3</v>
          </cell>
          <cell r="BD100">
            <v>23</v>
          </cell>
          <cell r="BE100">
            <v>0</v>
          </cell>
          <cell r="BF100">
            <v>1</v>
          </cell>
          <cell r="BG100">
            <v>0</v>
          </cell>
          <cell r="BH100"/>
          <cell r="BI100">
            <v>3</v>
          </cell>
          <cell r="BJ100">
            <v>24.916666666666664</v>
          </cell>
          <cell r="BK100">
            <v>0</v>
          </cell>
          <cell r="BL100">
            <v>1</v>
          </cell>
          <cell r="BM100">
            <v>1</v>
          </cell>
          <cell r="BN100"/>
          <cell r="BO100">
            <v>2</v>
          </cell>
          <cell r="BP100">
            <v>25.833333333333336</v>
          </cell>
          <cell r="BQ100">
            <v>0</v>
          </cell>
          <cell r="BR100">
            <v>1</v>
          </cell>
          <cell r="BS100">
            <v>0</v>
          </cell>
          <cell r="BT100"/>
          <cell r="BU100">
            <v>3</v>
          </cell>
          <cell r="BV100">
            <v>21.833333333333336</v>
          </cell>
          <cell r="BW100">
            <v>0</v>
          </cell>
          <cell r="BX100">
            <v>1</v>
          </cell>
          <cell r="BY100">
            <v>4</v>
          </cell>
          <cell r="BZ100"/>
          <cell r="CA100">
            <v>0</v>
          </cell>
          <cell r="CB100">
            <v>25.833333333333336</v>
          </cell>
          <cell r="CC100">
            <v>0</v>
          </cell>
          <cell r="CD100">
            <v>1</v>
          </cell>
          <cell r="CE100">
            <v>0</v>
          </cell>
          <cell r="CF100"/>
          <cell r="CG100">
            <v>1</v>
          </cell>
          <cell r="CH100">
            <v>23.916666666666664</v>
          </cell>
          <cell r="CI100">
            <v>0</v>
          </cell>
          <cell r="CJ100">
            <v>1</v>
          </cell>
          <cell r="CK100">
            <v>1</v>
          </cell>
          <cell r="CL100"/>
          <cell r="CM100">
            <v>0</v>
          </cell>
          <cell r="CN100">
            <v>19.916666666666664</v>
          </cell>
          <cell r="CO100">
            <v>0</v>
          </cell>
          <cell r="CP100">
            <v>1</v>
          </cell>
          <cell r="CQ100">
            <v>1</v>
          </cell>
          <cell r="CR100"/>
          <cell r="CS100">
            <v>0</v>
          </cell>
          <cell r="CT100">
            <v>23</v>
          </cell>
          <cell r="CU100">
            <v>0</v>
          </cell>
          <cell r="CV100">
            <v>1</v>
          </cell>
          <cell r="CW100">
            <v>1</v>
          </cell>
          <cell r="CX100"/>
          <cell r="CY100">
            <v>0</v>
          </cell>
          <cell r="CZ100">
            <v>27</v>
          </cell>
          <cell r="DA100">
            <v>0</v>
          </cell>
          <cell r="DB100">
            <v>1</v>
          </cell>
          <cell r="DC100">
            <v>0</v>
          </cell>
          <cell r="DD100"/>
          <cell r="DE100">
            <v>1</v>
          </cell>
          <cell r="DF100">
            <v>24.916666666666664</v>
          </cell>
          <cell r="DG100">
            <v>0</v>
          </cell>
          <cell r="DH100">
            <v>1</v>
          </cell>
          <cell r="DI100">
            <v>0</v>
          </cell>
          <cell r="DJ100"/>
          <cell r="DK100">
            <v>2</v>
          </cell>
        </row>
        <row r="101">
          <cell r="B101" t="str">
            <v>CN0668</v>
          </cell>
          <cell r="C101" t="str">
            <v>Khối sản xuất</v>
          </cell>
          <cell r="D101" t="str">
            <v>Trần Quốc Nam</v>
          </cell>
          <cell r="E101" t="str">
            <v>SX</v>
          </cell>
          <cell r="F101">
            <v>44246</v>
          </cell>
          <cell r="G101"/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/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/>
          <cell r="S101">
            <v>0</v>
          </cell>
          <cell r="T101" t="e">
            <v>#REF!</v>
          </cell>
          <cell r="U101">
            <v>0</v>
          </cell>
          <cell r="V101" t="e">
            <v>#REF!</v>
          </cell>
          <cell r="W101" t="e">
            <v>#REF!</v>
          </cell>
          <cell r="X101"/>
          <cell r="Y101">
            <v>1</v>
          </cell>
          <cell r="Z101">
            <v>24</v>
          </cell>
          <cell r="AA101">
            <v>0</v>
          </cell>
          <cell r="AB101">
            <v>1</v>
          </cell>
          <cell r="AC101">
            <v>0</v>
          </cell>
          <cell r="AD101"/>
          <cell r="AE101">
            <v>2</v>
          </cell>
          <cell r="AF101">
            <v>26</v>
          </cell>
          <cell r="AG101">
            <v>0</v>
          </cell>
          <cell r="AH101">
            <v>1</v>
          </cell>
          <cell r="AI101">
            <v>0</v>
          </cell>
          <cell r="AJ101"/>
          <cell r="AK101">
            <v>3</v>
          </cell>
          <cell r="AL101">
            <v>21</v>
          </cell>
          <cell r="AM101">
            <v>0</v>
          </cell>
          <cell r="AN101">
            <v>1</v>
          </cell>
          <cell r="AO101">
            <v>2</v>
          </cell>
          <cell r="AP101"/>
          <cell r="AQ101">
            <v>2</v>
          </cell>
          <cell r="AR101">
            <v>27</v>
          </cell>
          <cell r="AS101">
            <v>0</v>
          </cell>
          <cell r="AT101">
            <v>1</v>
          </cell>
          <cell r="AU101">
            <v>0</v>
          </cell>
          <cell r="AV101"/>
          <cell r="AW101">
            <v>3</v>
          </cell>
          <cell r="AX101">
            <v>26</v>
          </cell>
          <cell r="AY101">
            <v>0</v>
          </cell>
          <cell r="AZ101">
            <v>1</v>
          </cell>
          <cell r="BA101">
            <v>0</v>
          </cell>
          <cell r="BB101"/>
          <cell r="BC101">
            <v>11</v>
          </cell>
          <cell r="BD101">
            <v>25.75</v>
          </cell>
          <cell r="BE101">
            <v>0</v>
          </cell>
          <cell r="BF101">
            <v>1</v>
          </cell>
          <cell r="BG101">
            <v>0</v>
          </cell>
          <cell r="BH101"/>
          <cell r="BI101">
            <v>5</v>
          </cell>
          <cell r="BJ101">
            <v>26</v>
          </cell>
          <cell r="BK101">
            <v>0</v>
          </cell>
          <cell r="BL101">
            <v>1</v>
          </cell>
          <cell r="BM101">
            <v>0</v>
          </cell>
          <cell r="BN101"/>
          <cell r="BO101">
            <v>5</v>
          </cell>
          <cell r="BP101">
            <v>26</v>
          </cell>
          <cell r="BQ101">
            <v>0</v>
          </cell>
          <cell r="BR101">
            <v>1</v>
          </cell>
          <cell r="BS101">
            <v>0</v>
          </cell>
          <cell r="BT101"/>
          <cell r="BU101">
            <v>6</v>
          </cell>
          <cell r="BV101">
            <v>23.416666666666664</v>
          </cell>
          <cell r="BW101">
            <v>0</v>
          </cell>
          <cell r="BX101">
            <v>1</v>
          </cell>
          <cell r="BY101">
            <v>2</v>
          </cell>
          <cell r="BZ101"/>
          <cell r="CA101">
            <v>5</v>
          </cell>
          <cell r="CB101">
            <v>26</v>
          </cell>
          <cell r="CC101">
            <v>0</v>
          </cell>
          <cell r="CD101">
            <v>1</v>
          </cell>
          <cell r="CE101">
            <v>0</v>
          </cell>
          <cell r="CF101"/>
          <cell r="CG101">
            <v>6</v>
          </cell>
          <cell r="CH101">
            <v>24</v>
          </cell>
          <cell r="CI101">
            <v>0</v>
          </cell>
          <cell r="CJ101">
            <v>1</v>
          </cell>
          <cell r="CK101">
            <v>1</v>
          </cell>
          <cell r="CL101"/>
          <cell r="CM101">
            <v>0</v>
          </cell>
          <cell r="CN101">
            <v>18.583333333333336</v>
          </cell>
          <cell r="CO101">
            <v>0</v>
          </cell>
          <cell r="CP101">
            <v>1</v>
          </cell>
          <cell r="CQ101">
            <v>1</v>
          </cell>
          <cell r="CR101"/>
          <cell r="CS101">
            <v>0</v>
          </cell>
          <cell r="CT101">
            <v>24</v>
          </cell>
          <cell r="CU101">
            <v>0</v>
          </cell>
          <cell r="CV101">
            <v>1</v>
          </cell>
          <cell r="CW101">
            <v>0</v>
          </cell>
          <cell r="CX101"/>
          <cell r="CY101">
            <v>1</v>
          </cell>
          <cell r="CZ101">
            <v>27</v>
          </cell>
          <cell r="DA101">
            <v>0</v>
          </cell>
          <cell r="DB101">
            <v>2</v>
          </cell>
          <cell r="DC101">
            <v>0</v>
          </cell>
          <cell r="DD101"/>
          <cell r="DE101">
            <v>3</v>
          </cell>
          <cell r="DF101">
            <v>25</v>
          </cell>
          <cell r="DG101">
            <v>0</v>
          </cell>
          <cell r="DH101">
            <v>1</v>
          </cell>
          <cell r="DI101">
            <v>0</v>
          </cell>
          <cell r="DJ101"/>
          <cell r="DK101">
            <v>4</v>
          </cell>
        </row>
        <row r="102">
          <cell r="B102" t="str">
            <v>CN1308</v>
          </cell>
          <cell r="C102" t="str">
            <v>Khối sản xuất</v>
          </cell>
          <cell r="D102" t="str">
            <v>Chau Thiên</v>
          </cell>
          <cell r="E102" t="str">
            <v>SX</v>
          </cell>
          <cell r="F102">
            <v>45554</v>
          </cell>
          <cell r="G102"/>
          <cell r="H102">
            <v>25</v>
          </cell>
          <cell r="I102">
            <v>0</v>
          </cell>
          <cell r="J102">
            <v>1</v>
          </cell>
          <cell r="K102">
            <v>1</v>
          </cell>
          <cell r="L102"/>
          <cell r="M102">
            <v>1</v>
          </cell>
          <cell r="N102">
            <v>25</v>
          </cell>
          <cell r="O102">
            <v>0</v>
          </cell>
          <cell r="P102">
            <v>1</v>
          </cell>
          <cell r="Q102">
            <v>1</v>
          </cell>
          <cell r="R102"/>
          <cell r="S102">
            <v>1</v>
          </cell>
          <cell r="T102" t="e">
            <v>#REF!</v>
          </cell>
          <cell r="U102">
            <v>0</v>
          </cell>
          <cell r="V102" t="e">
            <v>#REF!</v>
          </cell>
          <cell r="W102" t="e">
            <v>#REF!</v>
          </cell>
          <cell r="X102"/>
          <cell r="Y102">
            <v>1</v>
          </cell>
          <cell r="Z102">
            <v>24</v>
          </cell>
          <cell r="AA102">
            <v>0</v>
          </cell>
          <cell r="AB102">
            <v>1</v>
          </cell>
          <cell r="AC102">
            <v>0</v>
          </cell>
          <cell r="AD102"/>
          <cell r="AE102">
            <v>2</v>
          </cell>
          <cell r="AF102">
            <v>24</v>
          </cell>
          <cell r="AG102">
            <v>0</v>
          </cell>
          <cell r="AH102">
            <v>1</v>
          </cell>
          <cell r="AI102">
            <v>2</v>
          </cell>
          <cell r="AJ102"/>
          <cell r="AK102">
            <v>1</v>
          </cell>
          <cell r="AL102">
            <v>23</v>
          </cell>
          <cell r="AM102">
            <v>0</v>
          </cell>
          <cell r="AN102">
            <v>1</v>
          </cell>
          <cell r="AO102">
            <v>0</v>
          </cell>
          <cell r="AP102"/>
          <cell r="AQ102">
            <v>2</v>
          </cell>
          <cell r="AR102">
            <v>25</v>
          </cell>
          <cell r="AS102">
            <v>0</v>
          </cell>
          <cell r="AT102">
            <v>1</v>
          </cell>
          <cell r="AU102">
            <v>2</v>
          </cell>
          <cell r="AV102"/>
          <cell r="AW102">
            <v>1</v>
          </cell>
          <cell r="AX102">
            <v>26</v>
          </cell>
          <cell r="AY102">
            <v>0</v>
          </cell>
          <cell r="AZ102">
            <v>1</v>
          </cell>
          <cell r="BA102">
            <v>0</v>
          </cell>
          <cell r="BB102"/>
          <cell r="BC102">
            <v>8</v>
          </cell>
          <cell r="BD102">
            <v>26</v>
          </cell>
          <cell r="BE102">
            <v>0</v>
          </cell>
          <cell r="BF102">
            <v>1</v>
          </cell>
          <cell r="BG102">
            <v>0</v>
          </cell>
          <cell r="BH102"/>
          <cell r="BI102">
            <v>3</v>
          </cell>
          <cell r="BJ102">
            <v>26</v>
          </cell>
          <cell r="BK102">
            <v>0</v>
          </cell>
          <cell r="BL102">
            <v>1</v>
          </cell>
          <cell r="BM102">
            <v>0</v>
          </cell>
          <cell r="BN102"/>
          <cell r="BO102">
            <v>3</v>
          </cell>
          <cell r="BP102">
            <v>26</v>
          </cell>
          <cell r="BQ102">
            <v>0</v>
          </cell>
          <cell r="BR102">
            <v>1</v>
          </cell>
          <cell r="BS102">
            <v>0</v>
          </cell>
          <cell r="BT102"/>
          <cell r="BU102">
            <v>4</v>
          </cell>
          <cell r="BV102">
            <v>25.083333333333336</v>
          </cell>
          <cell r="BW102">
            <v>0</v>
          </cell>
          <cell r="BX102">
            <v>1</v>
          </cell>
          <cell r="BY102">
            <v>0</v>
          </cell>
          <cell r="BZ102"/>
          <cell r="CA102">
            <v>5</v>
          </cell>
          <cell r="CB102">
            <v>26</v>
          </cell>
          <cell r="CC102">
            <v>0</v>
          </cell>
          <cell r="CD102">
            <v>1</v>
          </cell>
          <cell r="CE102">
            <v>0</v>
          </cell>
          <cell r="CF102"/>
          <cell r="CG102">
            <v>6</v>
          </cell>
          <cell r="CH102">
            <v>24</v>
          </cell>
          <cell r="CI102">
            <v>0</v>
          </cell>
          <cell r="CJ102">
            <v>1</v>
          </cell>
          <cell r="CK102">
            <v>1</v>
          </cell>
          <cell r="CL102"/>
          <cell r="CM102">
            <v>0</v>
          </cell>
          <cell r="CN102">
            <v>21</v>
          </cell>
          <cell r="CO102">
            <v>0</v>
          </cell>
          <cell r="CP102">
            <v>1</v>
          </cell>
          <cell r="CQ102">
            <v>1</v>
          </cell>
          <cell r="CR102"/>
          <cell r="CS102">
            <v>0</v>
          </cell>
          <cell r="CT102">
            <v>21</v>
          </cell>
          <cell r="CU102">
            <v>0</v>
          </cell>
          <cell r="CV102">
            <v>1</v>
          </cell>
          <cell r="CW102">
            <v>1</v>
          </cell>
          <cell r="CX102"/>
          <cell r="CY102">
            <v>0</v>
          </cell>
          <cell r="CZ102">
            <v>27</v>
          </cell>
          <cell r="DA102">
            <v>0</v>
          </cell>
          <cell r="DB102">
            <v>1</v>
          </cell>
          <cell r="DC102">
            <v>0</v>
          </cell>
          <cell r="DD102"/>
          <cell r="DE102">
            <v>1</v>
          </cell>
          <cell r="DF102">
            <v>25</v>
          </cell>
          <cell r="DG102">
            <v>0</v>
          </cell>
          <cell r="DH102">
            <v>1</v>
          </cell>
          <cell r="DI102">
            <v>0</v>
          </cell>
          <cell r="DJ102"/>
          <cell r="DK102">
            <v>2</v>
          </cell>
        </row>
        <row r="103">
          <cell r="B103" t="str">
            <v>CN1310</v>
          </cell>
          <cell r="C103" t="str">
            <v>Khối sản xuất</v>
          </cell>
          <cell r="D103" t="str">
            <v>Nguyễn Ngọc Lòng</v>
          </cell>
          <cell r="E103" t="str">
            <v>SX</v>
          </cell>
          <cell r="F103">
            <v>45565</v>
          </cell>
          <cell r="G103"/>
          <cell r="H103">
            <v>26</v>
          </cell>
          <cell r="I103">
            <v>0</v>
          </cell>
          <cell r="J103">
            <v>1</v>
          </cell>
          <cell r="K103">
            <v>0</v>
          </cell>
          <cell r="L103"/>
          <cell r="M103">
            <v>2</v>
          </cell>
          <cell r="N103">
            <v>26</v>
          </cell>
          <cell r="O103">
            <v>0</v>
          </cell>
          <cell r="P103">
            <v>1</v>
          </cell>
          <cell r="Q103">
            <v>0</v>
          </cell>
          <cell r="R103"/>
          <cell r="S103">
            <v>3</v>
          </cell>
          <cell r="T103" t="e">
            <v>#REF!</v>
          </cell>
          <cell r="U103">
            <v>0</v>
          </cell>
          <cell r="V103" t="e">
            <v>#REF!</v>
          </cell>
          <cell r="W103" t="e">
            <v>#REF!</v>
          </cell>
          <cell r="X103"/>
          <cell r="Y103">
            <v>2</v>
          </cell>
          <cell r="Z103">
            <v>24</v>
          </cell>
          <cell r="AA103">
            <v>0</v>
          </cell>
          <cell r="AB103">
            <v>1</v>
          </cell>
          <cell r="AC103">
            <v>0</v>
          </cell>
          <cell r="AD103"/>
          <cell r="AE103">
            <v>3</v>
          </cell>
          <cell r="AF103">
            <v>26</v>
          </cell>
          <cell r="AG103">
            <v>0</v>
          </cell>
          <cell r="AH103">
            <v>1</v>
          </cell>
          <cell r="AI103">
            <v>0</v>
          </cell>
          <cell r="AJ103"/>
          <cell r="AK103">
            <v>4</v>
          </cell>
          <cell r="AL103">
            <v>23</v>
          </cell>
          <cell r="AM103">
            <v>0</v>
          </cell>
          <cell r="AN103">
            <v>1</v>
          </cell>
          <cell r="AO103">
            <v>0</v>
          </cell>
          <cell r="AP103"/>
          <cell r="AQ103">
            <v>5</v>
          </cell>
          <cell r="AR103">
            <v>27</v>
          </cell>
          <cell r="AS103">
            <v>0</v>
          </cell>
          <cell r="AT103">
            <v>1</v>
          </cell>
          <cell r="AU103">
            <v>0</v>
          </cell>
          <cell r="AV103"/>
          <cell r="AW103">
            <v>6</v>
          </cell>
          <cell r="AX103">
            <v>26</v>
          </cell>
          <cell r="AY103">
            <v>0</v>
          </cell>
          <cell r="AZ103">
            <v>1</v>
          </cell>
          <cell r="BA103">
            <v>0</v>
          </cell>
          <cell r="BB103"/>
          <cell r="BC103">
            <v>17</v>
          </cell>
          <cell r="BD103">
            <v>25</v>
          </cell>
          <cell r="BE103">
            <v>0</v>
          </cell>
          <cell r="BF103">
            <v>1</v>
          </cell>
          <cell r="BG103">
            <v>1</v>
          </cell>
          <cell r="BH103"/>
          <cell r="BI103">
            <v>7</v>
          </cell>
          <cell r="BJ103">
            <v>26</v>
          </cell>
          <cell r="BK103">
            <v>0</v>
          </cell>
          <cell r="BL103">
            <v>1</v>
          </cell>
          <cell r="BM103">
            <v>0</v>
          </cell>
          <cell r="BN103"/>
          <cell r="BO103">
            <v>8</v>
          </cell>
          <cell r="BP103">
            <v>26</v>
          </cell>
          <cell r="BQ103">
            <v>0</v>
          </cell>
          <cell r="BR103">
            <v>1</v>
          </cell>
          <cell r="BS103">
            <v>0</v>
          </cell>
          <cell r="BT103"/>
          <cell r="BU103">
            <v>9</v>
          </cell>
          <cell r="BV103">
            <v>25</v>
          </cell>
          <cell r="BW103">
            <v>0</v>
          </cell>
          <cell r="BX103">
            <v>1</v>
          </cell>
          <cell r="BY103">
            <v>1</v>
          </cell>
          <cell r="BZ103"/>
          <cell r="CA103">
            <v>9</v>
          </cell>
          <cell r="CB103">
            <v>26</v>
          </cell>
          <cell r="CC103">
            <v>0</v>
          </cell>
          <cell r="CD103">
            <v>1</v>
          </cell>
          <cell r="CE103">
            <v>0</v>
          </cell>
          <cell r="CF103"/>
          <cell r="CG103">
            <v>10</v>
          </cell>
          <cell r="CH103">
            <v>26</v>
          </cell>
          <cell r="CI103">
            <v>0</v>
          </cell>
          <cell r="CJ103">
            <v>1</v>
          </cell>
          <cell r="CK103">
            <v>0</v>
          </cell>
          <cell r="CL103"/>
          <cell r="CM103">
            <v>1</v>
          </cell>
          <cell r="CN103">
            <v>20</v>
          </cell>
          <cell r="CO103">
            <v>0</v>
          </cell>
          <cell r="CP103">
            <v>1</v>
          </cell>
          <cell r="CQ103">
            <v>1</v>
          </cell>
          <cell r="CR103"/>
          <cell r="CS103">
            <v>1</v>
          </cell>
          <cell r="CT103">
            <v>24</v>
          </cell>
          <cell r="CU103">
            <v>0</v>
          </cell>
          <cell r="CV103">
            <v>1</v>
          </cell>
          <cell r="CW103">
            <v>0</v>
          </cell>
          <cell r="CX103"/>
          <cell r="CY103">
            <v>2</v>
          </cell>
          <cell r="CZ103">
            <v>25</v>
          </cell>
          <cell r="DA103">
            <v>0</v>
          </cell>
          <cell r="DB103">
            <v>1</v>
          </cell>
          <cell r="DC103">
            <v>2</v>
          </cell>
          <cell r="DD103"/>
          <cell r="DE103">
            <v>1</v>
          </cell>
          <cell r="DF103">
            <v>23</v>
          </cell>
          <cell r="DG103">
            <v>0</v>
          </cell>
          <cell r="DH103">
            <v>1</v>
          </cell>
          <cell r="DI103">
            <v>0</v>
          </cell>
          <cell r="DJ103"/>
          <cell r="DK103">
            <v>2</v>
          </cell>
        </row>
        <row r="104">
          <cell r="B104" t="str">
            <v>CN1314</v>
          </cell>
          <cell r="C104" t="str">
            <v>Khối sản xuất</v>
          </cell>
          <cell r="D104" t="str">
            <v>Châu Tuấn Khanh</v>
          </cell>
          <cell r="E104" t="str">
            <v>SX</v>
          </cell>
          <cell r="F104">
            <v>45569</v>
          </cell>
          <cell r="G104"/>
          <cell r="H104">
            <v>23.833333333333332</v>
          </cell>
          <cell r="I104">
            <v>0</v>
          </cell>
          <cell r="J104">
            <v>1</v>
          </cell>
          <cell r="K104">
            <v>0</v>
          </cell>
          <cell r="L104"/>
          <cell r="M104">
            <v>0</v>
          </cell>
          <cell r="N104">
            <v>24.75</v>
          </cell>
          <cell r="O104">
            <v>0</v>
          </cell>
          <cell r="P104">
            <v>1</v>
          </cell>
          <cell r="Q104">
            <v>1</v>
          </cell>
          <cell r="R104"/>
          <cell r="S104">
            <v>0</v>
          </cell>
          <cell r="T104" t="e">
            <v>#REF!</v>
          </cell>
          <cell r="U104">
            <v>0</v>
          </cell>
          <cell r="V104" t="e">
            <v>#REF!</v>
          </cell>
          <cell r="W104" t="e">
            <v>#REF!</v>
          </cell>
          <cell r="X104"/>
          <cell r="Y104">
            <v>0</v>
          </cell>
          <cell r="Z104">
            <v>20</v>
          </cell>
          <cell r="AA104">
            <v>0</v>
          </cell>
          <cell r="AB104">
            <v>1</v>
          </cell>
          <cell r="AC104">
            <v>1</v>
          </cell>
          <cell r="AD104"/>
          <cell r="AE104">
            <v>0</v>
          </cell>
          <cell r="AF104">
            <v>24.666666666666668</v>
          </cell>
          <cell r="AG104">
            <v>0</v>
          </cell>
          <cell r="AH104">
            <v>1</v>
          </cell>
          <cell r="AI104">
            <v>1</v>
          </cell>
          <cell r="AJ104"/>
          <cell r="AK104">
            <v>0</v>
          </cell>
          <cell r="AL104">
            <v>20</v>
          </cell>
          <cell r="AM104">
            <v>0</v>
          </cell>
          <cell r="AN104">
            <v>1</v>
          </cell>
          <cell r="AO104">
            <v>1</v>
          </cell>
          <cell r="AP104"/>
          <cell r="AQ104">
            <v>0</v>
          </cell>
          <cell r="AR104">
            <v>23.583333333333332</v>
          </cell>
          <cell r="AS104">
            <v>0</v>
          </cell>
          <cell r="AT104">
            <v>1</v>
          </cell>
          <cell r="AU104">
            <v>1</v>
          </cell>
          <cell r="AV104"/>
          <cell r="AW104">
            <v>0</v>
          </cell>
          <cell r="AX104">
            <v>21.75</v>
          </cell>
          <cell r="AY104">
            <v>0</v>
          </cell>
          <cell r="AZ104">
            <v>1</v>
          </cell>
          <cell r="BA104">
            <v>1</v>
          </cell>
          <cell r="BB104"/>
          <cell r="BC104">
            <v>-1</v>
          </cell>
          <cell r="BD104">
            <v>19.25</v>
          </cell>
          <cell r="BE104">
            <v>0</v>
          </cell>
          <cell r="BF104">
            <v>1</v>
          </cell>
          <cell r="BG104">
            <v>1</v>
          </cell>
          <cell r="BH104"/>
          <cell r="BI104">
            <v>0</v>
          </cell>
          <cell r="BJ104">
            <v>23</v>
          </cell>
          <cell r="BK104">
            <v>0</v>
          </cell>
          <cell r="BL104">
            <v>1</v>
          </cell>
          <cell r="BM104">
            <v>3</v>
          </cell>
          <cell r="BN104"/>
          <cell r="BO104">
            <v>-2</v>
          </cell>
          <cell r="BP104">
            <v>23</v>
          </cell>
          <cell r="BQ104">
            <v>0</v>
          </cell>
          <cell r="BR104">
            <v>1</v>
          </cell>
          <cell r="BS104">
            <v>3</v>
          </cell>
          <cell r="BT104"/>
          <cell r="BU104">
            <v>-1</v>
          </cell>
          <cell r="BV104">
            <v>24</v>
          </cell>
          <cell r="BW104">
            <v>0</v>
          </cell>
          <cell r="BX104">
            <v>1</v>
          </cell>
          <cell r="BY104">
            <v>2</v>
          </cell>
          <cell r="BZ104"/>
          <cell r="CA104">
            <v>-2</v>
          </cell>
          <cell r="CB104">
            <v>21.166666666666668</v>
          </cell>
          <cell r="CC104">
            <v>0</v>
          </cell>
          <cell r="CD104">
            <v>1</v>
          </cell>
          <cell r="CE104">
            <v>0</v>
          </cell>
          <cell r="CF104"/>
          <cell r="CG104">
            <v>-1</v>
          </cell>
          <cell r="CH104">
            <v>23.416666666666668</v>
          </cell>
          <cell r="CI104">
            <v>0</v>
          </cell>
          <cell r="CJ104">
            <v>1</v>
          </cell>
          <cell r="CK104">
            <v>0</v>
          </cell>
          <cell r="CL104"/>
          <cell r="CM104">
            <v>1</v>
          </cell>
          <cell r="CN104">
            <v>17</v>
          </cell>
          <cell r="CO104">
            <v>0</v>
          </cell>
          <cell r="CP104">
            <v>1</v>
          </cell>
          <cell r="CQ104">
            <v>1</v>
          </cell>
          <cell r="CR104"/>
          <cell r="CS104">
            <v>1</v>
          </cell>
          <cell r="CT104">
            <v>22.916666666666668</v>
          </cell>
          <cell r="CU104">
            <v>0</v>
          </cell>
          <cell r="CV104">
            <v>1</v>
          </cell>
          <cell r="CW104">
            <v>0</v>
          </cell>
          <cell r="CX104"/>
          <cell r="CY104">
            <v>2</v>
          </cell>
          <cell r="CZ104">
            <v>17</v>
          </cell>
          <cell r="DA104">
            <v>0</v>
          </cell>
          <cell r="DB104">
            <v>1</v>
          </cell>
          <cell r="DC104">
            <v>1</v>
          </cell>
          <cell r="DD104"/>
          <cell r="DE104">
            <v>2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/>
          <cell r="DK104">
            <v>2</v>
          </cell>
        </row>
        <row r="105">
          <cell r="B105" t="str">
            <v>CN1311</v>
          </cell>
          <cell r="C105" t="str">
            <v>Khối sản xuất</v>
          </cell>
          <cell r="D105" t="str">
            <v>Chau Sóc Khai</v>
          </cell>
          <cell r="E105" t="str">
            <v>SX</v>
          </cell>
          <cell r="F105">
            <v>45566</v>
          </cell>
          <cell r="G105"/>
          <cell r="H105">
            <v>25</v>
          </cell>
          <cell r="I105">
            <v>0</v>
          </cell>
          <cell r="J105">
            <v>1</v>
          </cell>
          <cell r="K105">
            <v>1</v>
          </cell>
          <cell r="L105"/>
          <cell r="M105">
            <v>0</v>
          </cell>
          <cell r="N105">
            <v>24</v>
          </cell>
          <cell r="O105">
            <v>0</v>
          </cell>
          <cell r="P105">
            <v>1</v>
          </cell>
          <cell r="Q105">
            <v>2</v>
          </cell>
          <cell r="R105"/>
          <cell r="S105">
            <v>-1</v>
          </cell>
          <cell r="T105" t="e">
            <v>#REF!</v>
          </cell>
          <cell r="U105">
            <v>0</v>
          </cell>
          <cell r="V105" t="e">
            <v>#REF!</v>
          </cell>
          <cell r="W105" t="e">
            <v>#REF!</v>
          </cell>
          <cell r="X105"/>
          <cell r="Y105">
            <v>0</v>
          </cell>
          <cell r="Z105">
            <v>24</v>
          </cell>
          <cell r="AA105">
            <v>0</v>
          </cell>
          <cell r="AB105">
            <v>1</v>
          </cell>
          <cell r="AC105">
            <v>0</v>
          </cell>
          <cell r="AD105"/>
          <cell r="AE105">
            <v>1</v>
          </cell>
          <cell r="AF105">
            <v>24</v>
          </cell>
          <cell r="AG105">
            <v>0</v>
          </cell>
          <cell r="AH105">
            <v>1</v>
          </cell>
          <cell r="AI105">
            <v>2</v>
          </cell>
          <cell r="AJ105"/>
          <cell r="AK105">
            <v>0</v>
          </cell>
          <cell r="AL105">
            <v>20.75</v>
          </cell>
          <cell r="AM105">
            <v>0</v>
          </cell>
          <cell r="AN105">
            <v>1</v>
          </cell>
          <cell r="AO105">
            <v>0</v>
          </cell>
          <cell r="AP105"/>
          <cell r="AQ105">
            <v>1</v>
          </cell>
          <cell r="AR105">
            <v>26</v>
          </cell>
          <cell r="AS105">
            <v>0</v>
          </cell>
          <cell r="AT105">
            <v>1</v>
          </cell>
          <cell r="AU105">
            <v>1</v>
          </cell>
          <cell r="AV105"/>
          <cell r="AW105">
            <v>1</v>
          </cell>
          <cell r="AX105">
            <v>26</v>
          </cell>
          <cell r="AY105">
            <v>0</v>
          </cell>
          <cell r="AZ105">
            <v>1</v>
          </cell>
          <cell r="BA105">
            <v>0</v>
          </cell>
          <cell r="BB105"/>
          <cell r="BC105">
            <v>7</v>
          </cell>
          <cell r="BD105">
            <v>26</v>
          </cell>
          <cell r="BE105">
            <v>0</v>
          </cell>
          <cell r="BF105">
            <v>1</v>
          </cell>
          <cell r="BG105">
            <v>0</v>
          </cell>
          <cell r="BH105"/>
          <cell r="BI105">
            <v>3</v>
          </cell>
          <cell r="BJ105">
            <v>26</v>
          </cell>
          <cell r="BK105">
            <v>0</v>
          </cell>
          <cell r="BL105">
            <v>1</v>
          </cell>
          <cell r="BM105">
            <v>0</v>
          </cell>
          <cell r="BN105"/>
          <cell r="BO105">
            <v>3</v>
          </cell>
          <cell r="BP105">
            <v>26</v>
          </cell>
          <cell r="BQ105">
            <v>0</v>
          </cell>
          <cell r="BR105">
            <v>1</v>
          </cell>
          <cell r="BS105">
            <v>0</v>
          </cell>
          <cell r="BT105"/>
          <cell r="BU105">
            <v>4</v>
          </cell>
          <cell r="BV105">
            <v>25</v>
          </cell>
          <cell r="BW105">
            <v>0</v>
          </cell>
          <cell r="BX105">
            <v>1</v>
          </cell>
          <cell r="BY105">
            <v>1</v>
          </cell>
          <cell r="BZ105"/>
          <cell r="CA105">
            <v>4</v>
          </cell>
          <cell r="CB105">
            <v>26</v>
          </cell>
          <cell r="CC105">
            <v>0</v>
          </cell>
          <cell r="CD105">
            <v>1</v>
          </cell>
          <cell r="CE105">
            <v>0</v>
          </cell>
          <cell r="CF105"/>
          <cell r="CG105">
            <v>5</v>
          </cell>
          <cell r="CH105">
            <v>23</v>
          </cell>
          <cell r="CI105">
            <v>0</v>
          </cell>
          <cell r="CJ105">
            <v>1</v>
          </cell>
          <cell r="CK105">
            <v>1</v>
          </cell>
          <cell r="CL105"/>
          <cell r="CM105">
            <v>0</v>
          </cell>
          <cell r="CN105">
            <v>21</v>
          </cell>
          <cell r="CO105">
            <v>0</v>
          </cell>
          <cell r="CP105">
            <v>1</v>
          </cell>
          <cell r="CQ105">
            <v>1</v>
          </cell>
          <cell r="CR105"/>
          <cell r="CS105">
            <v>0</v>
          </cell>
          <cell r="CT105">
            <v>24</v>
          </cell>
          <cell r="CU105">
            <v>0</v>
          </cell>
          <cell r="CV105">
            <v>1</v>
          </cell>
          <cell r="CW105">
            <v>0</v>
          </cell>
          <cell r="CX105"/>
          <cell r="CY105">
            <v>1</v>
          </cell>
          <cell r="CZ105">
            <v>25</v>
          </cell>
          <cell r="DA105">
            <v>0</v>
          </cell>
          <cell r="DB105">
            <v>1</v>
          </cell>
          <cell r="DC105">
            <v>2</v>
          </cell>
          <cell r="DD105"/>
          <cell r="DE105">
            <v>0</v>
          </cell>
          <cell r="DF105">
            <v>20</v>
          </cell>
          <cell r="DG105">
            <v>0</v>
          </cell>
          <cell r="DH105">
            <v>1</v>
          </cell>
          <cell r="DI105">
            <v>1</v>
          </cell>
          <cell r="DJ105"/>
          <cell r="DK105">
            <v>0</v>
          </cell>
        </row>
        <row r="106">
          <cell r="B106" t="str">
            <v>CN1346</v>
          </cell>
          <cell r="C106" t="str">
            <v>Khối sản xuất</v>
          </cell>
          <cell r="D106" t="str">
            <v>Thạch Tiên</v>
          </cell>
          <cell r="E106" t="str">
            <v>SX</v>
          </cell>
          <cell r="F106">
            <v>45608</v>
          </cell>
          <cell r="G106"/>
          <cell r="H106">
            <v>25.833333333333336</v>
          </cell>
          <cell r="I106" t="str">
            <v>x</v>
          </cell>
          <cell r="J106">
            <v>0</v>
          </cell>
          <cell r="K106">
            <v>0</v>
          </cell>
          <cell r="L106"/>
          <cell r="M106">
            <v>0</v>
          </cell>
          <cell r="N106">
            <v>20</v>
          </cell>
          <cell r="O106">
            <v>0</v>
          </cell>
          <cell r="P106">
            <v>1</v>
          </cell>
          <cell r="Q106">
            <v>4</v>
          </cell>
          <cell r="R106"/>
          <cell r="S106">
            <v>-3</v>
          </cell>
          <cell r="T106" t="e">
            <v>#REF!</v>
          </cell>
          <cell r="U106">
            <v>0</v>
          </cell>
          <cell r="V106" t="e">
            <v>#REF!</v>
          </cell>
          <cell r="W106" t="e">
            <v>#REF!</v>
          </cell>
          <cell r="X106"/>
          <cell r="Y106">
            <v>-2</v>
          </cell>
          <cell r="Z106">
            <v>24</v>
          </cell>
          <cell r="AA106">
            <v>0</v>
          </cell>
          <cell r="AB106">
            <v>1</v>
          </cell>
          <cell r="AC106">
            <v>0</v>
          </cell>
          <cell r="AD106"/>
          <cell r="AE106">
            <v>-1</v>
          </cell>
          <cell r="AF106">
            <v>26</v>
          </cell>
          <cell r="AG106">
            <v>0</v>
          </cell>
          <cell r="AH106">
            <v>1</v>
          </cell>
          <cell r="AI106">
            <v>0</v>
          </cell>
          <cell r="AJ106"/>
          <cell r="AK106">
            <v>0</v>
          </cell>
          <cell r="AL106">
            <v>23</v>
          </cell>
          <cell r="AM106">
            <v>0</v>
          </cell>
          <cell r="AN106">
            <v>1</v>
          </cell>
          <cell r="AO106">
            <v>0</v>
          </cell>
          <cell r="AP106"/>
          <cell r="AQ106">
            <v>1</v>
          </cell>
          <cell r="AR106">
            <v>27</v>
          </cell>
          <cell r="AS106">
            <v>0</v>
          </cell>
          <cell r="AT106">
            <v>1</v>
          </cell>
          <cell r="AU106">
            <v>0</v>
          </cell>
          <cell r="AV106"/>
          <cell r="AW106">
            <v>2</v>
          </cell>
          <cell r="AX106">
            <v>26</v>
          </cell>
          <cell r="AY106">
            <v>0</v>
          </cell>
          <cell r="AZ106">
            <v>1</v>
          </cell>
          <cell r="BA106">
            <v>0</v>
          </cell>
          <cell r="BB106"/>
          <cell r="BC106">
            <v>10</v>
          </cell>
          <cell r="BD106">
            <v>25</v>
          </cell>
          <cell r="BE106">
            <v>0</v>
          </cell>
          <cell r="BF106">
            <v>1</v>
          </cell>
          <cell r="BG106">
            <v>1</v>
          </cell>
          <cell r="BH106"/>
          <cell r="BI106">
            <v>3</v>
          </cell>
          <cell r="BJ106">
            <v>26</v>
          </cell>
          <cell r="BK106">
            <v>0</v>
          </cell>
          <cell r="BL106">
            <v>1</v>
          </cell>
          <cell r="BM106">
            <v>0</v>
          </cell>
          <cell r="BN106"/>
          <cell r="BO106">
            <v>4</v>
          </cell>
          <cell r="BP106">
            <v>26</v>
          </cell>
          <cell r="BQ106">
            <v>0</v>
          </cell>
          <cell r="BR106">
            <v>1</v>
          </cell>
          <cell r="BS106">
            <v>0</v>
          </cell>
          <cell r="BT106"/>
          <cell r="BU106">
            <v>5</v>
          </cell>
          <cell r="BV106">
            <v>26</v>
          </cell>
          <cell r="BW106">
            <v>0</v>
          </cell>
          <cell r="BX106">
            <v>1</v>
          </cell>
          <cell r="BY106">
            <v>0</v>
          </cell>
          <cell r="BZ106"/>
          <cell r="CA106">
            <v>6</v>
          </cell>
          <cell r="CB106">
            <v>26</v>
          </cell>
          <cell r="CC106">
            <v>0</v>
          </cell>
          <cell r="CD106">
            <v>1</v>
          </cell>
          <cell r="CE106">
            <v>0</v>
          </cell>
          <cell r="CF106"/>
          <cell r="CG106">
            <v>7</v>
          </cell>
          <cell r="CH106">
            <v>25</v>
          </cell>
          <cell r="CI106">
            <v>0</v>
          </cell>
          <cell r="CJ106">
            <v>1</v>
          </cell>
          <cell r="CK106">
            <v>0</v>
          </cell>
          <cell r="CL106"/>
          <cell r="CM106">
            <v>1</v>
          </cell>
          <cell r="CN106">
            <v>21</v>
          </cell>
          <cell r="CO106">
            <v>0</v>
          </cell>
          <cell r="CP106">
            <v>1</v>
          </cell>
          <cell r="CQ106">
            <v>1</v>
          </cell>
          <cell r="CR106"/>
          <cell r="CS106">
            <v>1</v>
          </cell>
          <cell r="CT106">
            <v>24</v>
          </cell>
          <cell r="CU106">
            <v>0</v>
          </cell>
          <cell r="CV106">
            <v>1</v>
          </cell>
          <cell r="CW106">
            <v>0</v>
          </cell>
          <cell r="CX106"/>
          <cell r="CY106">
            <v>2</v>
          </cell>
          <cell r="CZ106">
            <v>27</v>
          </cell>
          <cell r="DA106">
            <v>0</v>
          </cell>
          <cell r="DB106">
            <v>1</v>
          </cell>
          <cell r="DC106">
            <v>0</v>
          </cell>
          <cell r="DD106"/>
          <cell r="DE106">
            <v>3</v>
          </cell>
          <cell r="DF106">
            <v>25</v>
          </cell>
          <cell r="DG106">
            <v>0</v>
          </cell>
          <cell r="DH106">
            <v>1</v>
          </cell>
          <cell r="DI106">
            <v>0</v>
          </cell>
          <cell r="DJ106"/>
          <cell r="DK106">
            <v>4</v>
          </cell>
        </row>
        <row r="107">
          <cell r="B107" t="str">
            <v>CN1361</v>
          </cell>
          <cell r="C107" t="str">
            <v>Khối sản xuất</v>
          </cell>
          <cell r="D107" t="str">
            <v>Kim Sô Phoi</v>
          </cell>
          <cell r="E107" t="str">
            <v>SX</v>
          </cell>
          <cell r="F107">
            <v>45617</v>
          </cell>
          <cell r="G107"/>
          <cell r="H107">
            <v>23</v>
          </cell>
          <cell r="I107" t="str">
            <v>x</v>
          </cell>
          <cell r="J107">
            <v>0</v>
          </cell>
          <cell r="K107">
            <v>0</v>
          </cell>
          <cell r="L107"/>
          <cell r="M107">
            <v>0</v>
          </cell>
          <cell r="N107">
            <v>26</v>
          </cell>
          <cell r="O107">
            <v>0</v>
          </cell>
          <cell r="P107">
            <v>1</v>
          </cell>
          <cell r="Q107">
            <v>0</v>
          </cell>
          <cell r="R107"/>
          <cell r="S107">
            <v>1</v>
          </cell>
          <cell r="T107" t="e">
            <v>#REF!</v>
          </cell>
          <cell r="U107">
            <v>0</v>
          </cell>
          <cell r="V107" t="e">
            <v>#REF!</v>
          </cell>
          <cell r="W107" t="e">
            <v>#REF!</v>
          </cell>
          <cell r="X107"/>
          <cell r="Y107">
            <v>2</v>
          </cell>
          <cell r="Z107">
            <v>24</v>
          </cell>
          <cell r="AA107">
            <v>0</v>
          </cell>
          <cell r="AB107">
            <v>1</v>
          </cell>
          <cell r="AC107">
            <v>0</v>
          </cell>
          <cell r="AD107"/>
          <cell r="AE107">
            <v>3</v>
          </cell>
          <cell r="AF107">
            <v>23.833333333333332</v>
          </cell>
          <cell r="AG107">
            <v>0</v>
          </cell>
          <cell r="AH107">
            <v>1</v>
          </cell>
          <cell r="AI107">
            <v>2</v>
          </cell>
          <cell r="AJ107"/>
          <cell r="AK107">
            <v>2</v>
          </cell>
          <cell r="AL107">
            <v>23</v>
          </cell>
          <cell r="AM107">
            <v>0</v>
          </cell>
          <cell r="AN107">
            <v>1</v>
          </cell>
          <cell r="AO107">
            <v>0</v>
          </cell>
          <cell r="AP107"/>
          <cell r="AQ107">
            <v>3</v>
          </cell>
          <cell r="AR107">
            <v>27</v>
          </cell>
          <cell r="AS107">
            <v>0</v>
          </cell>
          <cell r="AT107">
            <v>1</v>
          </cell>
          <cell r="AU107">
            <v>0</v>
          </cell>
          <cell r="AV107"/>
          <cell r="AW107">
            <v>4</v>
          </cell>
          <cell r="AX107">
            <v>26</v>
          </cell>
          <cell r="AY107">
            <v>0</v>
          </cell>
          <cell r="AZ107">
            <v>1</v>
          </cell>
          <cell r="BA107">
            <v>0</v>
          </cell>
          <cell r="BB107"/>
          <cell r="BC107">
            <v>12</v>
          </cell>
          <cell r="BD107">
            <v>25.5</v>
          </cell>
          <cell r="BE107">
            <v>0</v>
          </cell>
          <cell r="BF107">
            <v>1</v>
          </cell>
          <cell r="BG107">
            <v>0</v>
          </cell>
          <cell r="BH107"/>
          <cell r="BI107">
            <v>6</v>
          </cell>
          <cell r="BJ107">
            <v>23.333333333333332</v>
          </cell>
          <cell r="BK107">
            <v>0</v>
          </cell>
          <cell r="BL107">
            <v>1</v>
          </cell>
          <cell r="BM107">
            <v>2</v>
          </cell>
          <cell r="BN107"/>
          <cell r="BO107">
            <v>4</v>
          </cell>
          <cell r="BP107">
            <v>23.333333333333332</v>
          </cell>
          <cell r="BQ107">
            <v>0</v>
          </cell>
          <cell r="BR107">
            <v>1</v>
          </cell>
          <cell r="BS107">
            <v>2</v>
          </cell>
          <cell r="BT107"/>
          <cell r="BU107">
            <v>5</v>
          </cell>
          <cell r="BV107">
            <v>26</v>
          </cell>
          <cell r="BW107">
            <v>0</v>
          </cell>
          <cell r="BX107">
            <v>1</v>
          </cell>
          <cell r="BY107">
            <v>0</v>
          </cell>
          <cell r="BZ107"/>
          <cell r="CA107">
            <v>6</v>
          </cell>
          <cell r="CB107">
            <v>26</v>
          </cell>
          <cell r="CC107">
            <v>0</v>
          </cell>
          <cell r="CD107">
            <v>1</v>
          </cell>
          <cell r="CE107">
            <v>0</v>
          </cell>
          <cell r="CF107"/>
          <cell r="CG107">
            <v>7</v>
          </cell>
          <cell r="CH107">
            <v>25</v>
          </cell>
          <cell r="CI107">
            <v>0</v>
          </cell>
          <cell r="CJ107">
            <v>1</v>
          </cell>
          <cell r="CK107">
            <v>0</v>
          </cell>
          <cell r="CL107"/>
          <cell r="CM107">
            <v>1</v>
          </cell>
          <cell r="CN107">
            <v>21</v>
          </cell>
          <cell r="CO107">
            <v>0</v>
          </cell>
          <cell r="CP107">
            <v>1</v>
          </cell>
          <cell r="CQ107">
            <v>1</v>
          </cell>
          <cell r="CR107"/>
          <cell r="CS107">
            <v>1</v>
          </cell>
          <cell r="CT107">
            <v>24</v>
          </cell>
          <cell r="CU107">
            <v>0</v>
          </cell>
          <cell r="CV107">
            <v>1</v>
          </cell>
          <cell r="CW107">
            <v>0</v>
          </cell>
          <cell r="CX107"/>
          <cell r="CY107">
            <v>2</v>
          </cell>
          <cell r="CZ107">
            <v>27</v>
          </cell>
          <cell r="DA107">
            <v>0</v>
          </cell>
          <cell r="DB107">
            <v>1</v>
          </cell>
          <cell r="DC107">
            <v>0</v>
          </cell>
          <cell r="DD107"/>
          <cell r="DE107">
            <v>3</v>
          </cell>
          <cell r="DF107">
            <v>23</v>
          </cell>
          <cell r="DG107">
            <v>0</v>
          </cell>
          <cell r="DH107">
            <v>1</v>
          </cell>
          <cell r="DI107">
            <v>0</v>
          </cell>
          <cell r="DJ107"/>
          <cell r="DK107">
            <v>4</v>
          </cell>
        </row>
        <row r="108">
          <cell r="B108" t="str">
            <v>CN1333</v>
          </cell>
          <cell r="C108" t="str">
            <v>Khối sản xuất</v>
          </cell>
          <cell r="D108" t="str">
            <v>Tô Thanh Lủng</v>
          </cell>
          <cell r="E108" t="str">
            <v>SX</v>
          </cell>
          <cell r="F108">
            <v>45600</v>
          </cell>
          <cell r="G108"/>
          <cell r="H108">
            <v>24.666666666666668</v>
          </cell>
          <cell r="I108" t="str">
            <v>x</v>
          </cell>
          <cell r="J108">
            <v>0</v>
          </cell>
          <cell r="K108">
            <v>0</v>
          </cell>
          <cell r="L108"/>
          <cell r="M108">
            <v>0</v>
          </cell>
          <cell r="N108">
            <v>15.75</v>
          </cell>
          <cell r="O108">
            <v>0</v>
          </cell>
          <cell r="P108">
            <v>1</v>
          </cell>
          <cell r="Q108">
            <v>1</v>
          </cell>
          <cell r="R108"/>
          <cell r="S108">
            <v>0</v>
          </cell>
          <cell r="T108" t="e">
            <v>#REF!</v>
          </cell>
          <cell r="U108">
            <v>0</v>
          </cell>
          <cell r="V108" t="e">
            <v>#REF!</v>
          </cell>
          <cell r="W108" t="e">
            <v>#REF!</v>
          </cell>
          <cell r="X108"/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/>
          <cell r="AE108">
            <v>0</v>
          </cell>
          <cell r="AF108">
            <v>25.416666666666668</v>
          </cell>
          <cell r="AG108">
            <v>0</v>
          </cell>
          <cell r="AH108">
            <v>1</v>
          </cell>
          <cell r="AI108">
            <v>0</v>
          </cell>
          <cell r="AJ108"/>
          <cell r="AK108">
            <v>1</v>
          </cell>
          <cell r="AL108">
            <v>21.833333333333332</v>
          </cell>
          <cell r="AM108">
            <v>0</v>
          </cell>
          <cell r="AN108">
            <v>1</v>
          </cell>
          <cell r="AO108">
            <v>1</v>
          </cell>
          <cell r="AP108"/>
          <cell r="AQ108">
            <v>1</v>
          </cell>
          <cell r="AR108">
            <v>25.5</v>
          </cell>
          <cell r="AS108">
            <v>0</v>
          </cell>
          <cell r="AT108">
            <v>1</v>
          </cell>
          <cell r="AU108">
            <v>0</v>
          </cell>
          <cell r="AV108"/>
          <cell r="AW108">
            <v>2</v>
          </cell>
          <cell r="AX108">
            <v>26</v>
          </cell>
          <cell r="AY108">
            <v>0</v>
          </cell>
          <cell r="AZ108">
            <v>1</v>
          </cell>
          <cell r="BA108">
            <v>0</v>
          </cell>
          <cell r="BB108"/>
          <cell r="BC108">
            <v>7</v>
          </cell>
          <cell r="BD108">
            <v>24.5</v>
          </cell>
          <cell r="BE108">
            <v>0</v>
          </cell>
          <cell r="BF108">
            <v>1</v>
          </cell>
          <cell r="BG108">
            <v>1</v>
          </cell>
          <cell r="BH108"/>
          <cell r="BI108">
            <v>3</v>
          </cell>
          <cell r="BJ108">
            <v>23</v>
          </cell>
          <cell r="BK108">
            <v>0</v>
          </cell>
          <cell r="BL108">
            <v>1</v>
          </cell>
          <cell r="BM108">
            <v>0</v>
          </cell>
          <cell r="BN108"/>
          <cell r="BO108">
            <v>4</v>
          </cell>
          <cell r="BP108">
            <v>23</v>
          </cell>
          <cell r="BQ108">
            <v>0</v>
          </cell>
          <cell r="BR108">
            <v>1</v>
          </cell>
          <cell r="BS108">
            <v>3</v>
          </cell>
          <cell r="BT108"/>
          <cell r="BU108">
            <v>5</v>
          </cell>
          <cell r="BV108">
            <v>22.333333333333332</v>
          </cell>
          <cell r="BW108">
            <v>0</v>
          </cell>
          <cell r="BX108">
            <v>1</v>
          </cell>
          <cell r="BY108">
            <v>2</v>
          </cell>
          <cell r="BZ108"/>
          <cell r="CA108">
            <v>4</v>
          </cell>
          <cell r="CB108">
            <v>25</v>
          </cell>
          <cell r="CC108">
            <v>0</v>
          </cell>
          <cell r="CD108">
            <v>1</v>
          </cell>
          <cell r="CE108">
            <v>1</v>
          </cell>
          <cell r="CF108"/>
          <cell r="CG108">
            <v>4</v>
          </cell>
          <cell r="CH108">
            <v>23</v>
          </cell>
          <cell r="CI108">
            <v>0</v>
          </cell>
          <cell r="CJ108">
            <v>1</v>
          </cell>
          <cell r="CK108">
            <v>1</v>
          </cell>
          <cell r="CL108"/>
          <cell r="CM108">
            <v>0</v>
          </cell>
          <cell r="CN108">
            <v>18</v>
          </cell>
          <cell r="CO108">
            <v>0</v>
          </cell>
          <cell r="CP108">
            <v>1</v>
          </cell>
          <cell r="CQ108">
            <v>1</v>
          </cell>
          <cell r="CR108"/>
          <cell r="CS108">
            <v>0</v>
          </cell>
          <cell r="CT108">
            <v>24</v>
          </cell>
          <cell r="CU108">
            <v>0</v>
          </cell>
          <cell r="CV108">
            <v>1</v>
          </cell>
          <cell r="CW108">
            <v>0</v>
          </cell>
          <cell r="CX108"/>
          <cell r="CY108">
            <v>1</v>
          </cell>
          <cell r="CZ108">
            <v>26</v>
          </cell>
          <cell r="DA108">
            <v>0</v>
          </cell>
          <cell r="DB108">
            <v>1</v>
          </cell>
          <cell r="DC108">
            <v>0</v>
          </cell>
          <cell r="DD108"/>
          <cell r="DE108">
            <v>2</v>
          </cell>
          <cell r="DF108">
            <v>21</v>
          </cell>
          <cell r="DG108">
            <v>0</v>
          </cell>
          <cell r="DH108">
            <v>1</v>
          </cell>
          <cell r="DI108">
            <v>0</v>
          </cell>
          <cell r="DJ108"/>
          <cell r="DK108">
            <v>3</v>
          </cell>
        </row>
        <row r="109">
          <cell r="B109" t="str">
            <v>CN1323</v>
          </cell>
          <cell r="C109" t="str">
            <v>Khối sản xuất</v>
          </cell>
          <cell r="D109" t="str">
            <v xml:space="preserve">Neàng Cà Chia </v>
          </cell>
          <cell r="E109" t="str">
            <v>SX</v>
          </cell>
          <cell r="F109">
            <v>45587</v>
          </cell>
          <cell r="G109"/>
          <cell r="H109">
            <v>25</v>
          </cell>
          <cell r="I109">
            <v>0</v>
          </cell>
          <cell r="J109">
            <v>1</v>
          </cell>
          <cell r="K109">
            <v>1</v>
          </cell>
          <cell r="L109"/>
          <cell r="M109">
            <v>0</v>
          </cell>
          <cell r="N109">
            <v>26</v>
          </cell>
          <cell r="O109">
            <v>0</v>
          </cell>
          <cell r="P109">
            <v>1</v>
          </cell>
          <cell r="Q109">
            <v>0</v>
          </cell>
          <cell r="R109"/>
          <cell r="S109">
            <v>1</v>
          </cell>
          <cell r="T109" t="e">
            <v>#REF!</v>
          </cell>
          <cell r="U109">
            <v>0</v>
          </cell>
          <cell r="V109" t="e">
            <v>#REF!</v>
          </cell>
          <cell r="W109" t="e">
            <v>#REF!</v>
          </cell>
          <cell r="X109"/>
          <cell r="Y109">
            <v>2</v>
          </cell>
          <cell r="Z109">
            <v>24</v>
          </cell>
          <cell r="AA109">
            <v>0</v>
          </cell>
          <cell r="AB109">
            <v>1</v>
          </cell>
          <cell r="AC109">
            <v>0</v>
          </cell>
          <cell r="AD109"/>
          <cell r="AE109">
            <v>3</v>
          </cell>
          <cell r="AF109">
            <v>26</v>
          </cell>
          <cell r="AG109">
            <v>0</v>
          </cell>
          <cell r="AH109">
            <v>1</v>
          </cell>
          <cell r="AI109">
            <v>0</v>
          </cell>
          <cell r="AJ109"/>
          <cell r="AK109">
            <v>4</v>
          </cell>
          <cell r="AL109">
            <v>23</v>
          </cell>
          <cell r="AM109">
            <v>0</v>
          </cell>
          <cell r="AN109">
            <v>1</v>
          </cell>
          <cell r="AO109">
            <v>0</v>
          </cell>
          <cell r="AP109"/>
          <cell r="AQ109">
            <v>5</v>
          </cell>
          <cell r="AR109">
            <v>25</v>
          </cell>
          <cell r="AS109">
            <v>0</v>
          </cell>
          <cell r="AT109">
            <v>1</v>
          </cell>
          <cell r="AU109">
            <v>2</v>
          </cell>
          <cell r="AV109"/>
          <cell r="AW109">
            <v>4</v>
          </cell>
          <cell r="AX109">
            <v>26</v>
          </cell>
          <cell r="AY109">
            <v>0</v>
          </cell>
          <cell r="AZ109">
            <v>1</v>
          </cell>
          <cell r="BA109">
            <v>0</v>
          </cell>
          <cell r="BB109"/>
          <cell r="BC109">
            <v>14</v>
          </cell>
          <cell r="BD109">
            <v>26</v>
          </cell>
          <cell r="BE109">
            <v>0</v>
          </cell>
          <cell r="BF109">
            <v>1</v>
          </cell>
          <cell r="BG109">
            <v>0</v>
          </cell>
          <cell r="BH109"/>
          <cell r="BI109">
            <v>6</v>
          </cell>
          <cell r="BJ109">
            <v>26</v>
          </cell>
          <cell r="BK109">
            <v>0</v>
          </cell>
          <cell r="BL109">
            <v>1</v>
          </cell>
          <cell r="BM109">
            <v>0</v>
          </cell>
          <cell r="BN109"/>
          <cell r="BO109">
            <v>6</v>
          </cell>
          <cell r="BP109">
            <v>26</v>
          </cell>
          <cell r="BQ109">
            <v>0</v>
          </cell>
          <cell r="BR109">
            <v>1</v>
          </cell>
          <cell r="BS109">
            <v>0</v>
          </cell>
          <cell r="BT109"/>
          <cell r="BU109">
            <v>7</v>
          </cell>
          <cell r="BV109">
            <v>26</v>
          </cell>
          <cell r="BW109">
            <v>0</v>
          </cell>
          <cell r="BX109">
            <v>1</v>
          </cell>
          <cell r="BY109">
            <v>0</v>
          </cell>
          <cell r="BZ109"/>
          <cell r="CA109">
            <v>8</v>
          </cell>
          <cell r="CB109">
            <v>26</v>
          </cell>
          <cell r="CC109">
            <v>0</v>
          </cell>
          <cell r="CD109">
            <v>1</v>
          </cell>
          <cell r="CE109">
            <v>0</v>
          </cell>
          <cell r="CF109"/>
          <cell r="CG109">
            <v>9</v>
          </cell>
          <cell r="CH109">
            <v>24</v>
          </cell>
          <cell r="CI109">
            <v>0</v>
          </cell>
          <cell r="CJ109">
            <v>1</v>
          </cell>
          <cell r="CK109">
            <v>1</v>
          </cell>
          <cell r="CL109"/>
          <cell r="CM109">
            <v>0</v>
          </cell>
          <cell r="CN109">
            <v>21</v>
          </cell>
          <cell r="CO109">
            <v>0</v>
          </cell>
          <cell r="CP109">
            <v>1</v>
          </cell>
          <cell r="CQ109">
            <v>1</v>
          </cell>
          <cell r="CR109"/>
          <cell r="CS109">
            <v>0</v>
          </cell>
          <cell r="CT109">
            <v>23.416666666666668</v>
          </cell>
          <cell r="CU109">
            <v>0</v>
          </cell>
          <cell r="CV109">
            <v>1</v>
          </cell>
          <cell r="CW109">
            <v>0</v>
          </cell>
          <cell r="CX109"/>
          <cell r="CY109">
            <v>1</v>
          </cell>
          <cell r="CZ109">
            <v>27</v>
          </cell>
          <cell r="DA109">
            <v>0</v>
          </cell>
          <cell r="DB109">
            <v>1</v>
          </cell>
          <cell r="DC109">
            <v>0</v>
          </cell>
          <cell r="DD109"/>
          <cell r="DE109">
            <v>2</v>
          </cell>
          <cell r="DF109">
            <v>24</v>
          </cell>
          <cell r="DG109">
            <v>0</v>
          </cell>
          <cell r="DH109">
            <v>1</v>
          </cell>
          <cell r="DI109">
            <v>0</v>
          </cell>
          <cell r="DJ109"/>
          <cell r="DK109">
            <v>3</v>
          </cell>
        </row>
        <row r="110">
          <cell r="B110" t="str">
            <v>CN1321</v>
          </cell>
          <cell r="C110" t="str">
            <v>Khối sản xuất</v>
          </cell>
          <cell r="D110" t="str">
            <v>Lâm Giang Tồng</v>
          </cell>
          <cell r="E110" t="str">
            <v>SX</v>
          </cell>
          <cell r="F110">
            <v>45587</v>
          </cell>
          <cell r="G110"/>
          <cell r="H110">
            <v>24</v>
          </cell>
          <cell r="I110">
            <v>0</v>
          </cell>
          <cell r="J110">
            <v>1</v>
          </cell>
          <cell r="K110">
            <v>1</v>
          </cell>
          <cell r="L110"/>
          <cell r="M110">
            <v>0</v>
          </cell>
          <cell r="N110">
            <v>25</v>
          </cell>
          <cell r="O110">
            <v>0</v>
          </cell>
          <cell r="P110">
            <v>1</v>
          </cell>
          <cell r="Q110">
            <v>1</v>
          </cell>
          <cell r="R110"/>
          <cell r="S110">
            <v>0</v>
          </cell>
          <cell r="T110" t="e">
            <v>#REF!</v>
          </cell>
          <cell r="U110">
            <v>0</v>
          </cell>
          <cell r="V110" t="e">
            <v>#REF!</v>
          </cell>
          <cell r="W110" t="e">
            <v>#REF!</v>
          </cell>
          <cell r="X110"/>
          <cell r="Y110">
            <v>0</v>
          </cell>
          <cell r="Z110">
            <v>23.333333333333336</v>
          </cell>
          <cell r="AA110">
            <v>0</v>
          </cell>
          <cell r="AB110">
            <v>1</v>
          </cell>
          <cell r="AC110">
            <v>0</v>
          </cell>
          <cell r="AD110"/>
          <cell r="AE110">
            <v>1</v>
          </cell>
          <cell r="AF110">
            <v>23.416666666666664</v>
          </cell>
          <cell r="AG110">
            <v>0</v>
          </cell>
          <cell r="AH110">
            <v>1</v>
          </cell>
          <cell r="AI110">
            <v>1</v>
          </cell>
          <cell r="AJ110"/>
          <cell r="AK110">
            <v>1</v>
          </cell>
          <cell r="AL110">
            <v>23</v>
          </cell>
          <cell r="AM110">
            <v>0</v>
          </cell>
          <cell r="AN110">
            <v>1</v>
          </cell>
          <cell r="AO110">
            <v>0</v>
          </cell>
          <cell r="AP110"/>
          <cell r="AQ110">
            <v>2</v>
          </cell>
          <cell r="AR110">
            <v>24.916666666666664</v>
          </cell>
          <cell r="AS110">
            <v>0</v>
          </cell>
          <cell r="AT110">
            <v>1</v>
          </cell>
          <cell r="AU110">
            <v>2</v>
          </cell>
          <cell r="AV110"/>
          <cell r="AW110">
            <v>1</v>
          </cell>
          <cell r="AX110">
            <v>24.916666666666664</v>
          </cell>
          <cell r="AY110">
            <v>0</v>
          </cell>
          <cell r="AZ110">
            <v>1</v>
          </cell>
          <cell r="BA110">
            <v>0</v>
          </cell>
          <cell r="BB110"/>
          <cell r="BC110">
            <v>4</v>
          </cell>
          <cell r="BD110">
            <v>24</v>
          </cell>
          <cell r="BE110">
            <v>0</v>
          </cell>
          <cell r="BF110">
            <v>1</v>
          </cell>
          <cell r="BG110">
            <v>2</v>
          </cell>
          <cell r="BH110"/>
          <cell r="BI110">
            <v>1</v>
          </cell>
          <cell r="BJ110">
            <v>22.833333333333336</v>
          </cell>
          <cell r="BK110">
            <v>0</v>
          </cell>
          <cell r="BL110">
            <v>1</v>
          </cell>
          <cell r="BM110">
            <v>3</v>
          </cell>
          <cell r="BN110"/>
          <cell r="BO110">
            <v>0</v>
          </cell>
          <cell r="BP110">
            <v>22.833333333333336</v>
          </cell>
          <cell r="BQ110">
            <v>0</v>
          </cell>
          <cell r="BR110">
            <v>1</v>
          </cell>
          <cell r="BS110">
            <v>3</v>
          </cell>
          <cell r="BT110"/>
          <cell r="BU110">
            <v>1</v>
          </cell>
          <cell r="BV110">
            <v>25</v>
          </cell>
          <cell r="BW110">
            <v>0</v>
          </cell>
          <cell r="BX110">
            <v>1</v>
          </cell>
          <cell r="BY110">
            <v>1</v>
          </cell>
          <cell r="BZ110"/>
          <cell r="CA110">
            <v>1</v>
          </cell>
          <cell r="CB110">
            <v>24.916666666666664</v>
          </cell>
          <cell r="CC110">
            <v>0</v>
          </cell>
          <cell r="CD110">
            <v>1</v>
          </cell>
          <cell r="CE110">
            <v>0</v>
          </cell>
          <cell r="CF110"/>
          <cell r="CG110">
            <v>2</v>
          </cell>
          <cell r="CH110">
            <v>24.5</v>
          </cell>
          <cell r="CI110">
            <v>0</v>
          </cell>
          <cell r="CJ110">
            <v>1</v>
          </cell>
          <cell r="CK110">
            <v>1.5</v>
          </cell>
          <cell r="CL110"/>
          <cell r="CM110">
            <v>-0.5</v>
          </cell>
          <cell r="CN110">
            <v>21</v>
          </cell>
          <cell r="CO110">
            <v>0</v>
          </cell>
          <cell r="CP110">
            <v>1</v>
          </cell>
          <cell r="CQ110">
            <v>1</v>
          </cell>
          <cell r="CR110"/>
          <cell r="CS110">
            <v>-0.5</v>
          </cell>
          <cell r="CT110">
            <v>22</v>
          </cell>
          <cell r="CU110">
            <v>0</v>
          </cell>
          <cell r="CV110">
            <v>1</v>
          </cell>
          <cell r="CW110">
            <v>1</v>
          </cell>
          <cell r="CX110"/>
          <cell r="CY110">
            <v>-0.5</v>
          </cell>
          <cell r="CZ110">
            <v>26</v>
          </cell>
          <cell r="DA110">
            <v>0</v>
          </cell>
          <cell r="DB110">
            <v>1</v>
          </cell>
          <cell r="DC110">
            <v>0.5</v>
          </cell>
          <cell r="DD110"/>
          <cell r="DE110">
            <v>0</v>
          </cell>
          <cell r="DF110">
            <v>24</v>
          </cell>
          <cell r="DG110">
            <v>0</v>
          </cell>
          <cell r="DH110">
            <v>1</v>
          </cell>
          <cell r="DI110">
            <v>1</v>
          </cell>
          <cell r="DJ110"/>
          <cell r="DK110">
            <v>0</v>
          </cell>
        </row>
        <row r="111">
          <cell r="B111" t="str">
            <v>CN1431</v>
          </cell>
          <cell r="C111" t="str">
            <v>Khối sản xuất</v>
          </cell>
          <cell r="D111" t="str">
            <v>Sơn Vách</v>
          </cell>
          <cell r="E111" t="str">
            <v>SX</v>
          </cell>
          <cell r="F111">
            <v>45702</v>
          </cell>
          <cell r="G111"/>
          <cell r="H111">
            <v>26</v>
          </cell>
          <cell r="I111" t="str">
            <v>x</v>
          </cell>
          <cell r="J111">
            <v>0</v>
          </cell>
          <cell r="K111">
            <v>0</v>
          </cell>
          <cell r="L111"/>
          <cell r="M111">
            <v>0</v>
          </cell>
          <cell r="N111">
            <v>0</v>
          </cell>
          <cell r="O111" t="str">
            <v>x</v>
          </cell>
          <cell r="P111">
            <v>0</v>
          </cell>
          <cell r="Q111">
            <v>0</v>
          </cell>
          <cell r="R111"/>
          <cell r="S111">
            <v>0</v>
          </cell>
          <cell r="T111" t="e">
            <v>#REF!</v>
          </cell>
          <cell r="U111" t="str">
            <v>x</v>
          </cell>
          <cell r="V111">
            <v>0</v>
          </cell>
          <cell r="W111" t="e">
            <v>#REF!</v>
          </cell>
          <cell r="X111"/>
          <cell r="Y111">
            <v>0</v>
          </cell>
          <cell r="Z111">
            <v>23</v>
          </cell>
          <cell r="AA111">
            <v>0</v>
          </cell>
          <cell r="AB111">
            <v>1</v>
          </cell>
          <cell r="AC111">
            <v>1</v>
          </cell>
          <cell r="AD111"/>
          <cell r="AE111">
            <v>0</v>
          </cell>
          <cell r="AF111">
            <v>25</v>
          </cell>
          <cell r="AG111">
            <v>0</v>
          </cell>
          <cell r="AH111">
            <v>1</v>
          </cell>
          <cell r="AI111">
            <v>1</v>
          </cell>
          <cell r="AJ111"/>
          <cell r="AK111">
            <v>0</v>
          </cell>
          <cell r="AL111">
            <v>23</v>
          </cell>
          <cell r="AM111">
            <v>0</v>
          </cell>
          <cell r="AN111">
            <v>1</v>
          </cell>
          <cell r="AO111">
            <v>0</v>
          </cell>
          <cell r="AP111"/>
          <cell r="AQ111">
            <v>1</v>
          </cell>
          <cell r="AR111">
            <v>25.75</v>
          </cell>
          <cell r="AS111">
            <v>0</v>
          </cell>
          <cell r="AT111">
            <v>1</v>
          </cell>
          <cell r="AU111">
            <v>0</v>
          </cell>
          <cell r="AV111"/>
          <cell r="AW111">
            <v>2</v>
          </cell>
          <cell r="AX111">
            <v>26</v>
          </cell>
          <cell r="AY111">
            <v>0</v>
          </cell>
          <cell r="AZ111">
            <v>1</v>
          </cell>
          <cell r="BA111">
            <v>0</v>
          </cell>
          <cell r="BB111"/>
          <cell r="BC111">
            <v>9</v>
          </cell>
          <cell r="BD111">
            <v>24</v>
          </cell>
          <cell r="BE111">
            <v>0</v>
          </cell>
          <cell r="BF111">
            <v>1</v>
          </cell>
          <cell r="BG111">
            <v>1</v>
          </cell>
          <cell r="BH111"/>
          <cell r="BI111">
            <v>3</v>
          </cell>
          <cell r="BJ111">
            <v>26</v>
          </cell>
          <cell r="BK111">
            <v>0</v>
          </cell>
          <cell r="BL111">
            <v>1</v>
          </cell>
          <cell r="BM111">
            <v>0</v>
          </cell>
          <cell r="BN111"/>
          <cell r="BO111">
            <v>4</v>
          </cell>
          <cell r="BP111">
            <v>26</v>
          </cell>
          <cell r="BQ111">
            <v>0</v>
          </cell>
          <cell r="BR111">
            <v>1</v>
          </cell>
          <cell r="BS111">
            <v>0</v>
          </cell>
          <cell r="BT111"/>
          <cell r="BU111">
            <v>5</v>
          </cell>
          <cell r="BV111">
            <v>25</v>
          </cell>
          <cell r="BW111">
            <v>0</v>
          </cell>
          <cell r="BX111">
            <v>1</v>
          </cell>
          <cell r="BY111">
            <v>0</v>
          </cell>
          <cell r="BZ111"/>
          <cell r="CA111">
            <v>6</v>
          </cell>
          <cell r="CB111">
            <v>25</v>
          </cell>
          <cell r="CC111">
            <v>0</v>
          </cell>
          <cell r="CD111">
            <v>1</v>
          </cell>
          <cell r="CE111">
            <v>1</v>
          </cell>
          <cell r="CF111"/>
          <cell r="CG111">
            <v>6</v>
          </cell>
          <cell r="CH111">
            <v>24.25</v>
          </cell>
          <cell r="CI111">
            <v>0</v>
          </cell>
          <cell r="CJ111">
            <v>1</v>
          </cell>
          <cell r="CK111">
            <v>0</v>
          </cell>
          <cell r="CL111"/>
          <cell r="CM111">
            <v>1</v>
          </cell>
          <cell r="CN111">
            <v>19</v>
          </cell>
          <cell r="CO111">
            <v>0</v>
          </cell>
          <cell r="CP111">
            <v>1</v>
          </cell>
          <cell r="CQ111">
            <v>2</v>
          </cell>
          <cell r="CR111"/>
          <cell r="CS111">
            <v>0</v>
          </cell>
          <cell r="CT111">
            <v>24</v>
          </cell>
          <cell r="CU111">
            <v>0</v>
          </cell>
          <cell r="CV111">
            <v>1</v>
          </cell>
          <cell r="CW111">
            <v>0</v>
          </cell>
          <cell r="CX111"/>
          <cell r="CY111">
            <v>1</v>
          </cell>
          <cell r="CZ111">
            <v>27</v>
          </cell>
          <cell r="DA111">
            <v>0</v>
          </cell>
          <cell r="DB111">
            <v>1</v>
          </cell>
          <cell r="DC111">
            <v>0</v>
          </cell>
          <cell r="DD111"/>
          <cell r="DE111">
            <v>2</v>
          </cell>
          <cell r="DF111">
            <v>25</v>
          </cell>
          <cell r="DG111">
            <v>0</v>
          </cell>
          <cell r="DH111">
            <v>1</v>
          </cell>
          <cell r="DI111">
            <v>0</v>
          </cell>
          <cell r="DJ111"/>
          <cell r="DK111">
            <v>3</v>
          </cell>
        </row>
        <row r="112">
          <cell r="B112" t="str">
            <v>CN1435</v>
          </cell>
          <cell r="C112" t="str">
            <v>Khối sản xuất</v>
          </cell>
          <cell r="D112" t="str">
            <v>Sơn Thảo</v>
          </cell>
          <cell r="E112" t="str">
            <v>SX</v>
          </cell>
          <cell r="F112">
            <v>45705</v>
          </cell>
          <cell r="G112"/>
          <cell r="H112">
            <v>25</v>
          </cell>
          <cell r="I112" t="str">
            <v>x</v>
          </cell>
          <cell r="J112">
            <v>0</v>
          </cell>
          <cell r="K112">
            <v>0</v>
          </cell>
          <cell r="L112"/>
          <cell r="M112">
            <v>0</v>
          </cell>
          <cell r="N112">
            <v>0</v>
          </cell>
          <cell r="O112" t="str">
            <v>x</v>
          </cell>
          <cell r="P112">
            <v>0</v>
          </cell>
          <cell r="Q112">
            <v>0</v>
          </cell>
          <cell r="R112"/>
          <cell r="S112">
            <v>0</v>
          </cell>
          <cell r="T112" t="e">
            <v>#REF!</v>
          </cell>
          <cell r="U112" t="str">
            <v>x</v>
          </cell>
          <cell r="V112">
            <v>0</v>
          </cell>
          <cell r="W112" t="e">
            <v>#REF!</v>
          </cell>
          <cell r="X112"/>
          <cell r="Y112">
            <v>0</v>
          </cell>
          <cell r="Z112">
            <v>24</v>
          </cell>
          <cell r="AA112">
            <v>0</v>
          </cell>
          <cell r="AB112">
            <v>1</v>
          </cell>
          <cell r="AC112">
            <v>0</v>
          </cell>
          <cell r="AD112"/>
          <cell r="AE112">
            <v>1</v>
          </cell>
          <cell r="AF112">
            <v>26</v>
          </cell>
          <cell r="AG112">
            <v>0</v>
          </cell>
          <cell r="AH112">
            <v>1</v>
          </cell>
          <cell r="AI112">
            <v>0</v>
          </cell>
          <cell r="AJ112"/>
          <cell r="AK112">
            <v>2</v>
          </cell>
          <cell r="AL112">
            <v>18</v>
          </cell>
          <cell r="AM112">
            <v>0</v>
          </cell>
          <cell r="AN112">
            <v>1</v>
          </cell>
          <cell r="AO112">
            <v>0</v>
          </cell>
          <cell r="AP112"/>
          <cell r="AQ112">
            <v>3</v>
          </cell>
          <cell r="AR112">
            <v>27</v>
          </cell>
          <cell r="AS112">
            <v>0</v>
          </cell>
          <cell r="AT112">
            <v>1</v>
          </cell>
          <cell r="AU112">
            <v>0</v>
          </cell>
          <cell r="AV112"/>
          <cell r="AW112">
            <v>4</v>
          </cell>
          <cell r="AX112">
            <v>26</v>
          </cell>
          <cell r="AY112">
            <v>0</v>
          </cell>
          <cell r="AZ112">
            <v>1</v>
          </cell>
          <cell r="BA112">
            <v>0</v>
          </cell>
          <cell r="BB112"/>
          <cell r="BC112">
            <v>7</v>
          </cell>
          <cell r="BD112">
            <v>26</v>
          </cell>
          <cell r="BE112">
            <v>0</v>
          </cell>
          <cell r="BF112">
            <v>1</v>
          </cell>
          <cell r="BG112">
            <v>0</v>
          </cell>
          <cell r="BH112"/>
          <cell r="BI112">
            <v>6</v>
          </cell>
          <cell r="BJ112">
            <v>23</v>
          </cell>
          <cell r="BK112">
            <v>0</v>
          </cell>
          <cell r="BL112">
            <v>1</v>
          </cell>
          <cell r="BM112">
            <v>3</v>
          </cell>
          <cell r="BN112"/>
          <cell r="BO112">
            <v>3</v>
          </cell>
          <cell r="BP112">
            <v>23</v>
          </cell>
          <cell r="BQ112">
            <v>0</v>
          </cell>
          <cell r="BR112">
            <v>1</v>
          </cell>
          <cell r="BS112">
            <v>3</v>
          </cell>
          <cell r="BT112"/>
          <cell r="BU112">
            <v>4</v>
          </cell>
          <cell r="BV112">
            <v>23</v>
          </cell>
          <cell r="BW112">
            <v>0</v>
          </cell>
          <cell r="BX112">
            <v>1</v>
          </cell>
          <cell r="BY112">
            <v>3</v>
          </cell>
          <cell r="BZ112"/>
          <cell r="CA112">
            <v>2</v>
          </cell>
          <cell r="CB112">
            <v>23</v>
          </cell>
          <cell r="CC112">
            <v>0</v>
          </cell>
          <cell r="CD112">
            <v>1</v>
          </cell>
          <cell r="CE112">
            <v>1</v>
          </cell>
          <cell r="CF112"/>
          <cell r="CG112">
            <v>2</v>
          </cell>
          <cell r="CH112">
            <v>24</v>
          </cell>
          <cell r="CI112">
            <v>0</v>
          </cell>
          <cell r="CJ112">
            <v>1</v>
          </cell>
          <cell r="CK112">
            <v>1</v>
          </cell>
          <cell r="CL112"/>
          <cell r="CM112">
            <v>0</v>
          </cell>
          <cell r="CN112">
            <v>20</v>
          </cell>
          <cell r="CO112">
            <v>0</v>
          </cell>
          <cell r="CP112">
            <v>1</v>
          </cell>
          <cell r="CQ112">
            <v>1</v>
          </cell>
          <cell r="CR112"/>
          <cell r="CS112">
            <v>0</v>
          </cell>
          <cell r="CT112">
            <v>24</v>
          </cell>
          <cell r="CU112">
            <v>0</v>
          </cell>
          <cell r="CV112">
            <v>1</v>
          </cell>
          <cell r="CW112">
            <v>0</v>
          </cell>
          <cell r="CX112"/>
          <cell r="CY112">
            <v>1</v>
          </cell>
          <cell r="CZ112">
            <v>27</v>
          </cell>
          <cell r="DA112">
            <v>0</v>
          </cell>
          <cell r="DB112">
            <v>1</v>
          </cell>
          <cell r="DC112">
            <v>0</v>
          </cell>
          <cell r="DD112"/>
          <cell r="DE112">
            <v>2</v>
          </cell>
          <cell r="DF112">
            <v>25</v>
          </cell>
          <cell r="DG112">
            <v>0</v>
          </cell>
          <cell r="DH112">
            <v>1</v>
          </cell>
          <cell r="DI112">
            <v>0</v>
          </cell>
          <cell r="DJ112"/>
          <cell r="DK112">
            <v>3</v>
          </cell>
        </row>
        <row r="113">
          <cell r="B113" t="str">
            <v>CN1441</v>
          </cell>
          <cell r="C113" t="str">
            <v>Khối sản xuất</v>
          </cell>
          <cell r="D113" t="str">
            <v>Trần Hoàng Long</v>
          </cell>
          <cell r="E113" t="str">
            <v>SX</v>
          </cell>
          <cell r="F113">
            <v>45708</v>
          </cell>
          <cell r="G113"/>
          <cell r="H113">
            <v>25</v>
          </cell>
          <cell r="I113" t="str">
            <v>x</v>
          </cell>
          <cell r="J113">
            <v>0</v>
          </cell>
          <cell r="K113">
            <v>0</v>
          </cell>
          <cell r="L113"/>
          <cell r="M113">
            <v>0</v>
          </cell>
          <cell r="N113">
            <v>0</v>
          </cell>
          <cell r="O113" t="str">
            <v>x</v>
          </cell>
          <cell r="P113">
            <v>0</v>
          </cell>
          <cell r="Q113">
            <v>0</v>
          </cell>
          <cell r="R113"/>
          <cell r="S113">
            <v>0</v>
          </cell>
          <cell r="T113" t="e">
            <v>#REF!</v>
          </cell>
          <cell r="U113" t="str">
            <v>x</v>
          </cell>
          <cell r="V113">
            <v>0</v>
          </cell>
          <cell r="W113" t="e">
            <v>#REF!</v>
          </cell>
          <cell r="X113"/>
          <cell r="Y113">
            <v>0</v>
          </cell>
          <cell r="Z113">
            <v>22</v>
          </cell>
          <cell r="AA113">
            <v>0</v>
          </cell>
          <cell r="AB113">
            <v>1</v>
          </cell>
          <cell r="AC113">
            <v>0</v>
          </cell>
          <cell r="AD113"/>
          <cell r="AE113">
            <v>1</v>
          </cell>
          <cell r="AF113">
            <v>26</v>
          </cell>
          <cell r="AG113">
            <v>0</v>
          </cell>
          <cell r="AH113">
            <v>1</v>
          </cell>
          <cell r="AI113">
            <v>0</v>
          </cell>
          <cell r="AJ113"/>
          <cell r="AK113">
            <v>2</v>
          </cell>
          <cell r="AL113">
            <v>23</v>
          </cell>
          <cell r="AM113">
            <v>0</v>
          </cell>
          <cell r="AN113">
            <v>1</v>
          </cell>
          <cell r="AO113">
            <v>0</v>
          </cell>
          <cell r="AP113"/>
          <cell r="AQ113">
            <v>3</v>
          </cell>
          <cell r="AR113">
            <v>26</v>
          </cell>
          <cell r="AS113">
            <v>0</v>
          </cell>
          <cell r="AT113">
            <v>1</v>
          </cell>
          <cell r="AU113">
            <v>0</v>
          </cell>
          <cell r="AV113"/>
          <cell r="AW113">
            <v>4</v>
          </cell>
          <cell r="AX113">
            <v>24</v>
          </cell>
          <cell r="AY113">
            <v>0</v>
          </cell>
          <cell r="AZ113">
            <v>1</v>
          </cell>
          <cell r="BA113">
            <v>1</v>
          </cell>
          <cell r="BB113"/>
          <cell r="BC113">
            <v>11</v>
          </cell>
          <cell r="BD113">
            <v>26</v>
          </cell>
          <cell r="BE113">
            <v>0</v>
          </cell>
          <cell r="BF113">
            <v>1</v>
          </cell>
          <cell r="BG113">
            <v>0</v>
          </cell>
          <cell r="BH113"/>
          <cell r="BI113">
            <v>5</v>
          </cell>
          <cell r="BJ113">
            <v>25</v>
          </cell>
          <cell r="BK113">
            <v>0</v>
          </cell>
          <cell r="BL113">
            <v>1</v>
          </cell>
          <cell r="BM113">
            <v>1</v>
          </cell>
          <cell r="BN113"/>
          <cell r="BO113">
            <v>4</v>
          </cell>
          <cell r="BP113">
            <v>25</v>
          </cell>
          <cell r="BQ113">
            <v>0</v>
          </cell>
          <cell r="BR113">
            <v>1</v>
          </cell>
          <cell r="BS113">
            <v>1</v>
          </cell>
          <cell r="BT113"/>
          <cell r="BU113">
            <v>5</v>
          </cell>
          <cell r="BV113">
            <v>23</v>
          </cell>
          <cell r="BW113">
            <v>0</v>
          </cell>
          <cell r="BX113">
            <v>1</v>
          </cell>
          <cell r="BY113">
            <v>0</v>
          </cell>
          <cell r="BZ113"/>
          <cell r="CA113">
            <v>6</v>
          </cell>
          <cell r="CB113">
            <v>25</v>
          </cell>
          <cell r="CC113">
            <v>0</v>
          </cell>
          <cell r="CD113">
            <v>1</v>
          </cell>
          <cell r="CE113">
            <v>0</v>
          </cell>
          <cell r="CF113"/>
          <cell r="CG113">
            <v>7</v>
          </cell>
          <cell r="CH113">
            <v>24</v>
          </cell>
          <cell r="CI113">
            <v>0</v>
          </cell>
          <cell r="CJ113">
            <v>1</v>
          </cell>
          <cell r="CK113">
            <v>1</v>
          </cell>
          <cell r="CL113"/>
          <cell r="CM113">
            <v>0</v>
          </cell>
          <cell r="CN113">
            <v>21</v>
          </cell>
          <cell r="CO113">
            <v>0</v>
          </cell>
          <cell r="CP113">
            <v>1</v>
          </cell>
          <cell r="CQ113">
            <v>1</v>
          </cell>
          <cell r="CR113"/>
          <cell r="CS113">
            <v>0</v>
          </cell>
          <cell r="CT113">
            <v>23</v>
          </cell>
          <cell r="CU113">
            <v>0</v>
          </cell>
          <cell r="CV113">
            <v>1</v>
          </cell>
          <cell r="CW113">
            <v>0</v>
          </cell>
          <cell r="CX113"/>
          <cell r="CY113">
            <v>1</v>
          </cell>
          <cell r="CZ113">
            <v>27</v>
          </cell>
          <cell r="DA113">
            <v>0</v>
          </cell>
          <cell r="DB113">
            <v>1</v>
          </cell>
          <cell r="DC113">
            <v>0</v>
          </cell>
          <cell r="DD113"/>
          <cell r="DE113">
            <v>2</v>
          </cell>
          <cell r="DF113">
            <v>22</v>
          </cell>
          <cell r="DG113">
            <v>0</v>
          </cell>
          <cell r="DH113">
            <v>1</v>
          </cell>
          <cell r="DI113">
            <v>0</v>
          </cell>
          <cell r="DJ113"/>
          <cell r="DK113">
            <v>3</v>
          </cell>
        </row>
        <row r="114">
          <cell r="B114" t="str">
            <v>CN1442</v>
          </cell>
          <cell r="C114" t="str">
            <v>Khối sản xuất</v>
          </cell>
          <cell r="D114" t="str">
            <v>Trần Hải Đăng</v>
          </cell>
          <cell r="E114" t="str">
            <v>SX</v>
          </cell>
          <cell r="F114">
            <v>45708</v>
          </cell>
          <cell r="G114"/>
          <cell r="H114">
            <v>7</v>
          </cell>
          <cell r="I114" t="str">
            <v>x</v>
          </cell>
          <cell r="J114">
            <v>0</v>
          </cell>
          <cell r="K114">
            <v>0</v>
          </cell>
          <cell r="L114"/>
          <cell r="M114">
            <v>0</v>
          </cell>
          <cell r="N114">
            <v>0</v>
          </cell>
          <cell r="O114" t="str">
            <v>x</v>
          </cell>
          <cell r="P114">
            <v>0</v>
          </cell>
          <cell r="Q114">
            <v>0</v>
          </cell>
          <cell r="R114"/>
          <cell r="S114">
            <v>0</v>
          </cell>
          <cell r="T114" t="e">
            <v>#REF!</v>
          </cell>
          <cell r="U114" t="str">
            <v>x</v>
          </cell>
          <cell r="V114">
            <v>0</v>
          </cell>
          <cell r="W114" t="e">
            <v>#REF!</v>
          </cell>
          <cell r="X114"/>
          <cell r="Y114">
            <v>0</v>
          </cell>
          <cell r="Z114">
            <v>23</v>
          </cell>
          <cell r="AA114">
            <v>0</v>
          </cell>
          <cell r="AB114">
            <v>1</v>
          </cell>
          <cell r="AC114">
            <v>0</v>
          </cell>
          <cell r="AD114"/>
          <cell r="AE114">
            <v>1</v>
          </cell>
          <cell r="AF114">
            <v>26</v>
          </cell>
          <cell r="AG114">
            <v>0</v>
          </cell>
          <cell r="AH114">
            <v>1</v>
          </cell>
          <cell r="AI114">
            <v>0</v>
          </cell>
          <cell r="AJ114"/>
          <cell r="AK114">
            <v>2</v>
          </cell>
          <cell r="AL114">
            <v>23</v>
          </cell>
          <cell r="AM114">
            <v>0</v>
          </cell>
          <cell r="AN114">
            <v>1</v>
          </cell>
          <cell r="AO114">
            <v>0</v>
          </cell>
          <cell r="AP114"/>
          <cell r="AQ114">
            <v>3</v>
          </cell>
          <cell r="AR114">
            <v>26</v>
          </cell>
          <cell r="AS114">
            <v>0</v>
          </cell>
          <cell r="AT114">
            <v>1</v>
          </cell>
          <cell r="AU114">
            <v>0</v>
          </cell>
          <cell r="AV114"/>
          <cell r="AW114">
            <v>4</v>
          </cell>
          <cell r="AX114">
            <v>26</v>
          </cell>
          <cell r="AY114">
            <v>0</v>
          </cell>
          <cell r="AZ114">
            <v>1</v>
          </cell>
          <cell r="BA114">
            <v>0</v>
          </cell>
          <cell r="BB114"/>
          <cell r="BC114">
            <v>13</v>
          </cell>
          <cell r="BD114">
            <v>25.75</v>
          </cell>
          <cell r="BE114">
            <v>0</v>
          </cell>
          <cell r="BF114">
            <v>1</v>
          </cell>
          <cell r="BG114">
            <v>0</v>
          </cell>
          <cell r="BH114"/>
          <cell r="BI114">
            <v>6</v>
          </cell>
          <cell r="BJ114">
            <v>26</v>
          </cell>
          <cell r="BK114">
            <v>0</v>
          </cell>
          <cell r="BL114">
            <v>1</v>
          </cell>
          <cell r="BM114">
            <v>0</v>
          </cell>
          <cell r="BN114"/>
          <cell r="BO114">
            <v>6</v>
          </cell>
          <cell r="BP114">
            <v>26</v>
          </cell>
          <cell r="BQ114">
            <v>0</v>
          </cell>
          <cell r="BR114">
            <v>1</v>
          </cell>
          <cell r="BS114">
            <v>0</v>
          </cell>
          <cell r="BT114"/>
          <cell r="BU114">
            <v>7</v>
          </cell>
          <cell r="BV114">
            <v>25</v>
          </cell>
          <cell r="BW114">
            <v>0</v>
          </cell>
          <cell r="BX114">
            <v>1</v>
          </cell>
          <cell r="BY114">
            <v>1</v>
          </cell>
          <cell r="BZ114"/>
          <cell r="CA114">
            <v>7</v>
          </cell>
          <cell r="CB114">
            <v>26</v>
          </cell>
          <cell r="CC114">
            <v>0</v>
          </cell>
          <cell r="CD114">
            <v>1</v>
          </cell>
          <cell r="CE114">
            <v>0</v>
          </cell>
          <cell r="CF114"/>
          <cell r="CG114">
            <v>8</v>
          </cell>
          <cell r="CH114">
            <v>24</v>
          </cell>
          <cell r="CI114">
            <v>0</v>
          </cell>
          <cell r="CJ114">
            <v>1</v>
          </cell>
          <cell r="CK114">
            <v>1</v>
          </cell>
          <cell r="CL114"/>
          <cell r="CM114">
            <v>0</v>
          </cell>
          <cell r="CN114">
            <v>20</v>
          </cell>
          <cell r="CO114">
            <v>0</v>
          </cell>
          <cell r="CP114">
            <v>1</v>
          </cell>
          <cell r="CQ114">
            <v>1</v>
          </cell>
          <cell r="CR114"/>
          <cell r="CS114">
            <v>0</v>
          </cell>
          <cell r="CT114">
            <v>24</v>
          </cell>
          <cell r="CU114">
            <v>0</v>
          </cell>
          <cell r="CV114">
            <v>1</v>
          </cell>
          <cell r="CW114">
            <v>0</v>
          </cell>
          <cell r="CX114"/>
          <cell r="CY114">
            <v>1</v>
          </cell>
          <cell r="CZ114">
            <v>27</v>
          </cell>
          <cell r="DA114">
            <v>0</v>
          </cell>
          <cell r="DB114">
            <v>1</v>
          </cell>
          <cell r="DC114">
            <v>0</v>
          </cell>
          <cell r="DD114"/>
          <cell r="DE114">
            <v>2</v>
          </cell>
          <cell r="DF114">
            <v>25</v>
          </cell>
          <cell r="DG114">
            <v>0</v>
          </cell>
          <cell r="DH114">
            <v>1</v>
          </cell>
          <cell r="DI114">
            <v>0</v>
          </cell>
          <cell r="DJ114"/>
          <cell r="DK114">
            <v>3</v>
          </cell>
        </row>
        <row r="115">
          <cell r="B115" t="str">
            <v>CN1219</v>
          </cell>
          <cell r="C115" t="str">
            <v>Khối sản xuất</v>
          </cell>
          <cell r="D115" t="str">
            <v>Liêu Thông</v>
          </cell>
          <cell r="E115" t="str">
            <v>SX</v>
          </cell>
          <cell r="F115">
            <v>45705</v>
          </cell>
          <cell r="G115"/>
          <cell r="H115">
            <v>7</v>
          </cell>
          <cell r="I115" t="str">
            <v>x</v>
          </cell>
          <cell r="J115">
            <v>0</v>
          </cell>
          <cell r="K115">
            <v>0</v>
          </cell>
          <cell r="L115"/>
          <cell r="M115">
            <v>0</v>
          </cell>
          <cell r="N115">
            <v>0</v>
          </cell>
          <cell r="O115" t="str">
            <v>x</v>
          </cell>
          <cell r="P115">
            <v>0</v>
          </cell>
          <cell r="Q115">
            <v>0</v>
          </cell>
          <cell r="R115"/>
          <cell r="S115">
            <v>0</v>
          </cell>
          <cell r="T115" t="e">
            <v>#REF!</v>
          </cell>
          <cell r="U115" t="str">
            <v>x</v>
          </cell>
          <cell r="V115">
            <v>0</v>
          </cell>
          <cell r="W115" t="e">
            <v>#REF!</v>
          </cell>
          <cell r="X115"/>
          <cell r="Y115">
            <v>0</v>
          </cell>
          <cell r="Z115">
            <v>23</v>
          </cell>
          <cell r="AA115">
            <v>0</v>
          </cell>
          <cell r="AB115">
            <v>1</v>
          </cell>
          <cell r="AC115">
            <v>1</v>
          </cell>
          <cell r="AD115"/>
          <cell r="AE115">
            <v>0</v>
          </cell>
          <cell r="AF115">
            <v>26</v>
          </cell>
          <cell r="AG115">
            <v>0</v>
          </cell>
          <cell r="AH115">
            <v>1</v>
          </cell>
          <cell r="AI115">
            <v>0</v>
          </cell>
          <cell r="AJ115"/>
          <cell r="AK115">
            <v>1</v>
          </cell>
          <cell r="AL115">
            <v>23</v>
          </cell>
          <cell r="AM115">
            <v>0</v>
          </cell>
          <cell r="AN115">
            <v>1</v>
          </cell>
          <cell r="AO115">
            <v>0</v>
          </cell>
          <cell r="AP115"/>
          <cell r="AQ115">
            <v>2</v>
          </cell>
          <cell r="AR115">
            <v>27</v>
          </cell>
          <cell r="AS115">
            <v>0</v>
          </cell>
          <cell r="AT115">
            <v>1</v>
          </cell>
          <cell r="AU115">
            <v>0</v>
          </cell>
          <cell r="AV115"/>
          <cell r="AW115">
            <v>3</v>
          </cell>
          <cell r="AX115">
            <v>25</v>
          </cell>
          <cell r="AY115">
            <v>0</v>
          </cell>
          <cell r="AZ115">
            <v>1</v>
          </cell>
          <cell r="BA115">
            <v>1</v>
          </cell>
          <cell r="BB115"/>
          <cell r="BC115">
            <v>10</v>
          </cell>
          <cell r="BD115">
            <v>26</v>
          </cell>
          <cell r="BE115">
            <v>0</v>
          </cell>
          <cell r="BF115">
            <v>1</v>
          </cell>
          <cell r="BG115">
            <v>0</v>
          </cell>
          <cell r="BH115"/>
          <cell r="BI115">
            <v>4</v>
          </cell>
          <cell r="BJ115">
            <v>26</v>
          </cell>
          <cell r="BK115">
            <v>0</v>
          </cell>
          <cell r="BL115">
            <v>1</v>
          </cell>
          <cell r="BM115">
            <v>0</v>
          </cell>
          <cell r="BN115"/>
          <cell r="BO115">
            <v>4</v>
          </cell>
          <cell r="BP115">
            <v>26</v>
          </cell>
          <cell r="BQ115">
            <v>0</v>
          </cell>
          <cell r="BR115">
            <v>1</v>
          </cell>
          <cell r="BS115">
            <v>0</v>
          </cell>
          <cell r="BT115"/>
          <cell r="BU115">
            <v>5</v>
          </cell>
          <cell r="BV115">
            <v>26</v>
          </cell>
          <cell r="BW115">
            <v>0</v>
          </cell>
          <cell r="BX115">
            <v>1</v>
          </cell>
          <cell r="BY115">
            <v>0</v>
          </cell>
          <cell r="BZ115"/>
          <cell r="CA115">
            <v>6</v>
          </cell>
          <cell r="CB115">
            <v>26</v>
          </cell>
          <cell r="CC115">
            <v>0</v>
          </cell>
          <cell r="CD115">
            <v>1</v>
          </cell>
          <cell r="CE115">
            <v>0</v>
          </cell>
          <cell r="CF115"/>
          <cell r="CG115">
            <v>7</v>
          </cell>
          <cell r="CH115">
            <v>23</v>
          </cell>
          <cell r="CI115">
            <v>0</v>
          </cell>
          <cell r="CJ115">
            <v>1</v>
          </cell>
          <cell r="CK115">
            <v>1</v>
          </cell>
          <cell r="CL115"/>
          <cell r="CM115">
            <v>0</v>
          </cell>
          <cell r="CN115">
            <v>21</v>
          </cell>
          <cell r="CO115">
            <v>0</v>
          </cell>
          <cell r="CP115">
            <v>1</v>
          </cell>
          <cell r="CQ115">
            <v>1</v>
          </cell>
          <cell r="CR115"/>
          <cell r="CS115">
            <v>0</v>
          </cell>
          <cell r="CT115">
            <v>24</v>
          </cell>
          <cell r="CU115">
            <v>0</v>
          </cell>
          <cell r="CV115">
            <v>1</v>
          </cell>
          <cell r="CW115">
            <v>0</v>
          </cell>
          <cell r="CX115"/>
          <cell r="CY115">
            <v>1</v>
          </cell>
          <cell r="CZ115">
            <v>25</v>
          </cell>
          <cell r="DA115">
            <v>0</v>
          </cell>
          <cell r="DB115">
            <v>1</v>
          </cell>
          <cell r="DC115">
            <v>2</v>
          </cell>
          <cell r="DD115"/>
          <cell r="DE115">
            <v>0</v>
          </cell>
          <cell r="DF115">
            <v>24</v>
          </cell>
          <cell r="DG115">
            <v>0</v>
          </cell>
          <cell r="DH115">
            <v>1</v>
          </cell>
          <cell r="DI115">
            <v>0</v>
          </cell>
          <cell r="DJ115"/>
          <cell r="DK115">
            <v>1</v>
          </cell>
        </row>
        <row r="116">
          <cell r="B116" t="str">
            <v>CN1450</v>
          </cell>
          <cell r="C116" t="str">
            <v>Khối sản xuất</v>
          </cell>
          <cell r="D116" t="str">
            <v>Lê Thị Kiều Diễm</v>
          </cell>
          <cell r="E116" t="str">
            <v>SX</v>
          </cell>
          <cell r="F116">
            <v>45712</v>
          </cell>
          <cell r="G116"/>
          <cell r="H116">
            <v>7</v>
          </cell>
          <cell r="I116" t="str">
            <v>x</v>
          </cell>
          <cell r="J116">
            <v>0</v>
          </cell>
          <cell r="K116">
            <v>0</v>
          </cell>
          <cell r="L116"/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 t="e">
            <v>#REF!</v>
          </cell>
          <cell r="U116" t="str">
            <v>x</v>
          </cell>
          <cell r="V116">
            <v>0</v>
          </cell>
          <cell r="W116" t="e">
            <v>#REF!</v>
          </cell>
          <cell r="X116"/>
          <cell r="Y116">
            <v>0</v>
          </cell>
          <cell r="Z116">
            <v>22.583333333333332</v>
          </cell>
          <cell r="AA116">
            <v>0</v>
          </cell>
          <cell r="AB116">
            <v>1</v>
          </cell>
          <cell r="AC116">
            <v>1</v>
          </cell>
          <cell r="AD116"/>
          <cell r="AE116">
            <v>0</v>
          </cell>
          <cell r="AF116">
            <v>24.416666666666668</v>
          </cell>
          <cell r="AG116">
            <v>0</v>
          </cell>
          <cell r="AH116">
            <v>1</v>
          </cell>
          <cell r="AI116">
            <v>1</v>
          </cell>
          <cell r="AJ116"/>
          <cell r="AK116">
            <v>0</v>
          </cell>
          <cell r="AL116">
            <v>20.5</v>
          </cell>
          <cell r="AM116">
            <v>0</v>
          </cell>
          <cell r="AN116">
            <v>1</v>
          </cell>
          <cell r="AO116">
            <v>1</v>
          </cell>
          <cell r="AP116"/>
          <cell r="AQ116">
            <v>0</v>
          </cell>
          <cell r="AR116">
            <v>25.916666666666668</v>
          </cell>
          <cell r="AS116">
            <v>0</v>
          </cell>
          <cell r="AT116">
            <v>1</v>
          </cell>
          <cell r="AU116">
            <v>0</v>
          </cell>
          <cell r="AV116"/>
          <cell r="AW116">
            <v>1</v>
          </cell>
          <cell r="AX116">
            <v>25</v>
          </cell>
          <cell r="AY116">
            <v>0</v>
          </cell>
          <cell r="AZ116">
            <v>1</v>
          </cell>
          <cell r="BA116">
            <v>1</v>
          </cell>
          <cell r="BB116"/>
          <cell r="BC116">
            <v>0</v>
          </cell>
          <cell r="BD116">
            <v>24</v>
          </cell>
          <cell r="BE116">
            <v>0</v>
          </cell>
          <cell r="BF116">
            <v>1</v>
          </cell>
          <cell r="BG116">
            <v>1</v>
          </cell>
          <cell r="BH116"/>
          <cell r="BI116">
            <v>1</v>
          </cell>
          <cell r="BJ116">
            <v>14</v>
          </cell>
          <cell r="BK116">
            <v>0</v>
          </cell>
          <cell r="BL116">
            <v>0</v>
          </cell>
          <cell r="BM116">
            <v>0</v>
          </cell>
          <cell r="BN116"/>
          <cell r="BO116">
            <v>1</v>
          </cell>
          <cell r="BP116">
            <v>14</v>
          </cell>
          <cell r="BQ116">
            <v>0</v>
          </cell>
          <cell r="BR116">
            <v>0</v>
          </cell>
          <cell r="BS116">
            <v>0</v>
          </cell>
          <cell r="BT116"/>
          <cell r="BU116">
            <v>1</v>
          </cell>
          <cell r="BV116">
            <v>20.666666666666668</v>
          </cell>
          <cell r="BW116">
            <v>0</v>
          </cell>
          <cell r="BX116">
            <v>1</v>
          </cell>
          <cell r="BY116">
            <v>4</v>
          </cell>
          <cell r="BZ116"/>
          <cell r="CA116">
            <v>-2</v>
          </cell>
          <cell r="CB116">
            <v>15.583333333333334</v>
          </cell>
          <cell r="CC116">
            <v>0</v>
          </cell>
          <cell r="CD116">
            <v>1</v>
          </cell>
          <cell r="CE116">
            <v>0</v>
          </cell>
          <cell r="CF116"/>
          <cell r="CG116">
            <v>-1</v>
          </cell>
          <cell r="CH116">
            <v>11</v>
          </cell>
          <cell r="CI116">
            <v>0</v>
          </cell>
          <cell r="CJ116">
            <v>0</v>
          </cell>
          <cell r="CK116">
            <v>1</v>
          </cell>
          <cell r="CL116"/>
          <cell r="CM116">
            <v>-1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/>
          <cell r="CS116">
            <v>-1</v>
          </cell>
          <cell r="CT116">
            <v>18.333333333333332</v>
          </cell>
          <cell r="CU116">
            <v>0</v>
          </cell>
          <cell r="CV116">
            <v>1</v>
          </cell>
          <cell r="CW116">
            <v>0</v>
          </cell>
          <cell r="CX116"/>
          <cell r="CY116">
            <v>0</v>
          </cell>
          <cell r="CZ116">
            <v>11</v>
          </cell>
          <cell r="DA116">
            <v>0</v>
          </cell>
          <cell r="DB116">
            <v>0</v>
          </cell>
          <cell r="DC116">
            <v>0</v>
          </cell>
          <cell r="DD116"/>
          <cell r="DE116">
            <v>0</v>
          </cell>
          <cell r="DF116">
            <v>1</v>
          </cell>
          <cell r="DG116">
            <v>0</v>
          </cell>
          <cell r="DH116">
            <v>0</v>
          </cell>
          <cell r="DI116">
            <v>0</v>
          </cell>
          <cell r="DJ116"/>
          <cell r="DK116">
            <v>0</v>
          </cell>
        </row>
        <row r="117">
          <cell r="B117" t="str">
            <v>CN1451</v>
          </cell>
          <cell r="C117" t="str">
            <v>Khối sản xuất</v>
          </cell>
          <cell r="D117" t="str">
            <v>Sơn Thanh Phong</v>
          </cell>
          <cell r="E117" t="str">
            <v>SX</v>
          </cell>
          <cell r="F117">
            <v>45712</v>
          </cell>
          <cell r="G117"/>
          <cell r="H117">
            <v>6</v>
          </cell>
          <cell r="I117" t="str">
            <v>x</v>
          </cell>
          <cell r="J117">
            <v>0</v>
          </cell>
          <cell r="K117">
            <v>0</v>
          </cell>
          <cell r="L117"/>
          <cell r="M117">
            <v>0</v>
          </cell>
          <cell r="N117">
            <v>0</v>
          </cell>
          <cell r="O117" t="str">
            <v>x</v>
          </cell>
          <cell r="P117">
            <v>1</v>
          </cell>
          <cell r="Q117">
            <v>0</v>
          </cell>
          <cell r="R117"/>
          <cell r="S117">
            <v>0</v>
          </cell>
          <cell r="T117" t="e">
            <v>#REF!</v>
          </cell>
          <cell r="U117" t="str">
            <v>x</v>
          </cell>
          <cell r="V117">
            <v>0</v>
          </cell>
          <cell r="W117" t="e">
            <v>#REF!</v>
          </cell>
          <cell r="X117"/>
          <cell r="Y117">
            <v>0</v>
          </cell>
          <cell r="Z117">
            <v>24</v>
          </cell>
          <cell r="AA117" t="str">
            <v>x</v>
          </cell>
          <cell r="AB117">
            <v>0</v>
          </cell>
          <cell r="AC117">
            <v>0</v>
          </cell>
          <cell r="AD117"/>
          <cell r="AE117">
            <v>0</v>
          </cell>
          <cell r="AF117">
            <v>26</v>
          </cell>
          <cell r="AG117">
            <v>0</v>
          </cell>
          <cell r="AH117">
            <v>1</v>
          </cell>
          <cell r="AI117">
            <v>0</v>
          </cell>
          <cell r="AJ117"/>
          <cell r="AK117">
            <v>1</v>
          </cell>
          <cell r="AL117">
            <v>23</v>
          </cell>
          <cell r="AM117">
            <v>0</v>
          </cell>
          <cell r="AN117">
            <v>1</v>
          </cell>
          <cell r="AO117">
            <v>0</v>
          </cell>
          <cell r="AP117"/>
          <cell r="AQ117">
            <v>2</v>
          </cell>
          <cell r="AR117">
            <v>27</v>
          </cell>
          <cell r="AS117">
            <v>0</v>
          </cell>
          <cell r="AT117">
            <v>1</v>
          </cell>
          <cell r="AU117">
            <v>0</v>
          </cell>
          <cell r="AV117"/>
          <cell r="AW117">
            <v>3</v>
          </cell>
          <cell r="AX117">
            <v>26</v>
          </cell>
          <cell r="AY117">
            <v>0</v>
          </cell>
          <cell r="AZ117">
            <v>1</v>
          </cell>
          <cell r="BA117">
            <v>0</v>
          </cell>
          <cell r="BB117"/>
          <cell r="BC117">
            <v>12</v>
          </cell>
          <cell r="BD117">
            <v>25.083333333333332</v>
          </cell>
          <cell r="BE117">
            <v>0</v>
          </cell>
          <cell r="BF117">
            <v>1</v>
          </cell>
          <cell r="BG117">
            <v>0</v>
          </cell>
          <cell r="BH117"/>
          <cell r="BI117">
            <v>5</v>
          </cell>
          <cell r="BJ117">
            <v>26</v>
          </cell>
          <cell r="BK117">
            <v>0</v>
          </cell>
          <cell r="BL117">
            <v>1</v>
          </cell>
          <cell r="BM117">
            <v>0</v>
          </cell>
          <cell r="BN117"/>
          <cell r="BO117">
            <v>5</v>
          </cell>
          <cell r="BP117">
            <v>26</v>
          </cell>
          <cell r="BQ117">
            <v>0</v>
          </cell>
          <cell r="BR117">
            <v>1</v>
          </cell>
          <cell r="BS117">
            <v>0</v>
          </cell>
          <cell r="BT117"/>
          <cell r="BU117">
            <v>6</v>
          </cell>
          <cell r="BV117">
            <v>26</v>
          </cell>
          <cell r="BW117">
            <v>0</v>
          </cell>
          <cell r="BX117">
            <v>1</v>
          </cell>
          <cell r="BY117">
            <v>0</v>
          </cell>
          <cell r="BZ117"/>
          <cell r="CA117">
            <v>7</v>
          </cell>
          <cell r="CB117">
            <v>26</v>
          </cell>
          <cell r="CC117">
            <v>0</v>
          </cell>
          <cell r="CD117">
            <v>1</v>
          </cell>
          <cell r="CE117">
            <v>0</v>
          </cell>
          <cell r="CF117"/>
          <cell r="CG117">
            <v>8</v>
          </cell>
          <cell r="CH117">
            <v>25</v>
          </cell>
          <cell r="CI117">
            <v>0</v>
          </cell>
          <cell r="CJ117">
            <v>1</v>
          </cell>
          <cell r="CK117">
            <v>0</v>
          </cell>
          <cell r="CL117"/>
          <cell r="CM117">
            <v>1</v>
          </cell>
          <cell r="CN117">
            <v>20</v>
          </cell>
          <cell r="CO117">
            <v>0</v>
          </cell>
          <cell r="CP117">
            <v>1</v>
          </cell>
          <cell r="CQ117">
            <v>1</v>
          </cell>
          <cell r="CR117"/>
          <cell r="CS117">
            <v>1</v>
          </cell>
          <cell r="CT117">
            <v>24</v>
          </cell>
          <cell r="CU117">
            <v>0</v>
          </cell>
          <cell r="CV117">
            <v>1</v>
          </cell>
          <cell r="CW117">
            <v>0</v>
          </cell>
          <cell r="CX117"/>
          <cell r="CY117">
            <v>2</v>
          </cell>
          <cell r="CZ117">
            <v>27</v>
          </cell>
          <cell r="DA117">
            <v>0</v>
          </cell>
          <cell r="DB117">
            <v>1</v>
          </cell>
          <cell r="DC117">
            <v>0</v>
          </cell>
          <cell r="DD117"/>
          <cell r="DE117">
            <v>3</v>
          </cell>
          <cell r="DF117">
            <v>23</v>
          </cell>
          <cell r="DG117">
            <v>0</v>
          </cell>
          <cell r="DH117">
            <v>1</v>
          </cell>
          <cell r="DI117">
            <v>0</v>
          </cell>
          <cell r="DJ117"/>
          <cell r="DK117">
            <v>4</v>
          </cell>
        </row>
        <row r="118">
          <cell r="B118" t="str">
            <v>CN1360</v>
          </cell>
          <cell r="C118" t="str">
            <v>Khối sản xuất</v>
          </cell>
          <cell r="D118" t="str">
            <v>Thạch Thị Dung</v>
          </cell>
          <cell r="E118" t="str">
            <v>SX</v>
          </cell>
          <cell r="F118">
            <v>45617</v>
          </cell>
          <cell r="G118"/>
          <cell r="H118">
            <v>26</v>
          </cell>
          <cell r="I118" t="str">
            <v>x</v>
          </cell>
          <cell r="J118">
            <v>0</v>
          </cell>
          <cell r="K118">
            <v>0</v>
          </cell>
          <cell r="L118"/>
          <cell r="M118">
            <v>0</v>
          </cell>
          <cell r="N118">
            <v>26</v>
          </cell>
          <cell r="O118">
            <v>0</v>
          </cell>
          <cell r="P118">
            <v>1</v>
          </cell>
          <cell r="Q118">
            <v>0</v>
          </cell>
          <cell r="R118"/>
          <cell r="S118">
            <v>0</v>
          </cell>
          <cell r="T118" t="e">
            <v>#REF!</v>
          </cell>
          <cell r="U118">
            <v>0</v>
          </cell>
          <cell r="V118" t="e">
            <v>#REF!</v>
          </cell>
          <cell r="W118" t="e">
            <v>#REF!</v>
          </cell>
          <cell r="X118"/>
          <cell r="Y118">
            <v>1</v>
          </cell>
          <cell r="Z118">
            <v>24</v>
          </cell>
          <cell r="AA118">
            <v>0</v>
          </cell>
          <cell r="AB118">
            <v>1</v>
          </cell>
          <cell r="AC118">
            <v>0</v>
          </cell>
          <cell r="AD118"/>
          <cell r="AE118">
            <v>2</v>
          </cell>
          <cell r="AF118">
            <v>23.833333333333332</v>
          </cell>
          <cell r="AG118">
            <v>0</v>
          </cell>
          <cell r="AH118">
            <v>1</v>
          </cell>
          <cell r="AI118">
            <v>2</v>
          </cell>
          <cell r="AJ118"/>
          <cell r="AK118">
            <v>1</v>
          </cell>
          <cell r="AL118">
            <v>23</v>
          </cell>
          <cell r="AM118">
            <v>0</v>
          </cell>
          <cell r="AN118">
            <v>1</v>
          </cell>
          <cell r="AO118">
            <v>0</v>
          </cell>
          <cell r="AP118"/>
          <cell r="AQ118">
            <v>2</v>
          </cell>
          <cell r="AR118">
            <v>27</v>
          </cell>
          <cell r="AS118">
            <v>0</v>
          </cell>
          <cell r="AT118">
            <v>1</v>
          </cell>
          <cell r="AU118">
            <v>0</v>
          </cell>
          <cell r="AV118"/>
          <cell r="AW118">
            <v>3</v>
          </cell>
          <cell r="AX118">
            <v>26</v>
          </cell>
          <cell r="AY118">
            <v>0</v>
          </cell>
          <cell r="AZ118">
            <v>1</v>
          </cell>
          <cell r="BA118">
            <v>0</v>
          </cell>
          <cell r="BB118"/>
          <cell r="BC118">
            <v>10</v>
          </cell>
          <cell r="BD118">
            <v>25.5</v>
          </cell>
          <cell r="BE118">
            <v>0</v>
          </cell>
          <cell r="BF118">
            <v>1</v>
          </cell>
          <cell r="BG118">
            <v>0</v>
          </cell>
          <cell r="BH118"/>
          <cell r="BI118">
            <v>5</v>
          </cell>
          <cell r="BJ118">
            <v>23.333333333333332</v>
          </cell>
          <cell r="BK118">
            <v>0</v>
          </cell>
          <cell r="BL118">
            <v>1</v>
          </cell>
          <cell r="BM118">
            <v>2</v>
          </cell>
          <cell r="BN118"/>
          <cell r="BO118">
            <v>3</v>
          </cell>
          <cell r="BP118">
            <v>23.333333333333332</v>
          </cell>
          <cell r="BQ118">
            <v>0</v>
          </cell>
          <cell r="BR118">
            <v>1</v>
          </cell>
          <cell r="BS118">
            <v>2</v>
          </cell>
          <cell r="BT118"/>
          <cell r="BU118">
            <v>4</v>
          </cell>
          <cell r="BV118">
            <v>26</v>
          </cell>
          <cell r="BW118">
            <v>0</v>
          </cell>
          <cell r="BX118">
            <v>1</v>
          </cell>
          <cell r="BY118">
            <v>0</v>
          </cell>
          <cell r="BZ118"/>
          <cell r="CA118">
            <v>5</v>
          </cell>
          <cell r="CB118">
            <v>26</v>
          </cell>
          <cell r="CC118">
            <v>0</v>
          </cell>
          <cell r="CD118">
            <v>1</v>
          </cell>
          <cell r="CE118">
            <v>0</v>
          </cell>
          <cell r="CF118"/>
          <cell r="CG118">
            <v>6</v>
          </cell>
          <cell r="CH118">
            <v>23</v>
          </cell>
          <cell r="CI118">
            <v>0</v>
          </cell>
          <cell r="CJ118">
            <v>1</v>
          </cell>
          <cell r="CK118">
            <v>1</v>
          </cell>
          <cell r="CL118"/>
          <cell r="CM118">
            <v>0</v>
          </cell>
          <cell r="CN118">
            <v>21</v>
          </cell>
          <cell r="CO118">
            <v>0</v>
          </cell>
          <cell r="CP118">
            <v>1</v>
          </cell>
          <cell r="CQ118">
            <v>1</v>
          </cell>
          <cell r="CR118"/>
          <cell r="CS118">
            <v>0</v>
          </cell>
          <cell r="CT118">
            <v>24</v>
          </cell>
          <cell r="CU118">
            <v>0</v>
          </cell>
          <cell r="CV118">
            <v>1</v>
          </cell>
          <cell r="CW118">
            <v>0</v>
          </cell>
          <cell r="CX118"/>
          <cell r="CY118">
            <v>1</v>
          </cell>
          <cell r="CZ118">
            <v>26</v>
          </cell>
          <cell r="DA118">
            <v>0</v>
          </cell>
          <cell r="DB118">
            <v>1</v>
          </cell>
          <cell r="DC118">
            <v>1</v>
          </cell>
          <cell r="DD118"/>
          <cell r="DE118">
            <v>1</v>
          </cell>
          <cell r="DF118">
            <v>23</v>
          </cell>
          <cell r="DG118">
            <v>0</v>
          </cell>
          <cell r="DH118">
            <v>1</v>
          </cell>
          <cell r="DI118">
            <v>0</v>
          </cell>
          <cell r="DJ118"/>
          <cell r="DK118">
            <v>2</v>
          </cell>
        </row>
        <row r="119">
          <cell r="B119" t="str">
            <v>CN1382</v>
          </cell>
          <cell r="C119" t="str">
            <v>Khối sản xuất</v>
          </cell>
          <cell r="D119" t="str">
            <v>Giáp Văn Thảo</v>
          </cell>
          <cell r="E119" t="str">
            <v>SX</v>
          </cell>
          <cell r="F119">
            <v>45629</v>
          </cell>
          <cell r="G119"/>
          <cell r="H119">
            <v>25</v>
          </cell>
          <cell r="I119" t="str">
            <v>x</v>
          </cell>
          <cell r="J119">
            <v>0</v>
          </cell>
          <cell r="K119">
            <v>0</v>
          </cell>
          <cell r="L119"/>
          <cell r="M119">
            <v>0</v>
          </cell>
          <cell r="N119">
            <v>25</v>
          </cell>
          <cell r="O119" t="str">
            <v>x</v>
          </cell>
          <cell r="P119">
            <v>0</v>
          </cell>
          <cell r="Q119">
            <v>1</v>
          </cell>
          <cell r="R119"/>
          <cell r="S119">
            <v>0</v>
          </cell>
          <cell r="T119" t="e">
            <v>#REF!</v>
          </cell>
          <cell r="U119">
            <v>0</v>
          </cell>
          <cell r="V119" t="e">
            <v>#REF!</v>
          </cell>
          <cell r="W119" t="e">
            <v>#REF!</v>
          </cell>
          <cell r="X119"/>
          <cell r="Y119">
            <v>1</v>
          </cell>
          <cell r="Z119">
            <v>24</v>
          </cell>
          <cell r="AA119">
            <v>0</v>
          </cell>
          <cell r="AB119">
            <v>1</v>
          </cell>
          <cell r="AC119">
            <v>0</v>
          </cell>
          <cell r="AD119"/>
          <cell r="AE119">
            <v>2</v>
          </cell>
          <cell r="AF119">
            <v>25</v>
          </cell>
          <cell r="AG119">
            <v>0</v>
          </cell>
          <cell r="AH119">
            <v>1</v>
          </cell>
          <cell r="AI119">
            <v>1</v>
          </cell>
          <cell r="AJ119"/>
          <cell r="AK119">
            <v>2</v>
          </cell>
          <cell r="AL119">
            <v>23</v>
          </cell>
          <cell r="AM119">
            <v>0</v>
          </cell>
          <cell r="AN119">
            <v>1</v>
          </cell>
          <cell r="AO119">
            <v>0</v>
          </cell>
          <cell r="AP119"/>
          <cell r="AQ119">
            <v>3</v>
          </cell>
          <cell r="AR119">
            <v>27</v>
          </cell>
          <cell r="AS119">
            <v>0</v>
          </cell>
          <cell r="AT119">
            <v>1</v>
          </cell>
          <cell r="AU119">
            <v>0</v>
          </cell>
          <cell r="AV119"/>
          <cell r="AW119">
            <v>4</v>
          </cell>
          <cell r="AX119">
            <v>25.75</v>
          </cell>
          <cell r="AY119">
            <v>0</v>
          </cell>
          <cell r="AZ119">
            <v>1</v>
          </cell>
          <cell r="BA119">
            <v>0</v>
          </cell>
          <cell r="BB119"/>
          <cell r="BC119">
            <v>13</v>
          </cell>
          <cell r="BD119">
            <v>26</v>
          </cell>
          <cell r="BE119">
            <v>0</v>
          </cell>
          <cell r="BF119">
            <v>1</v>
          </cell>
          <cell r="BG119">
            <v>0</v>
          </cell>
          <cell r="BH119"/>
          <cell r="BI119">
            <v>6</v>
          </cell>
          <cell r="BJ119">
            <v>25.916666666666664</v>
          </cell>
          <cell r="BK119">
            <v>0</v>
          </cell>
          <cell r="BL119">
            <v>1</v>
          </cell>
          <cell r="BM119">
            <v>0</v>
          </cell>
          <cell r="BN119"/>
          <cell r="BO119">
            <v>6</v>
          </cell>
          <cell r="BP119">
            <v>25.916666666666664</v>
          </cell>
          <cell r="BQ119">
            <v>0</v>
          </cell>
          <cell r="BR119">
            <v>1</v>
          </cell>
          <cell r="BS119">
            <v>0</v>
          </cell>
          <cell r="BT119"/>
          <cell r="BU119">
            <v>7</v>
          </cell>
          <cell r="BV119">
            <v>25</v>
          </cell>
          <cell r="BW119">
            <v>0</v>
          </cell>
          <cell r="BX119">
            <v>1</v>
          </cell>
          <cell r="BY119">
            <v>1</v>
          </cell>
          <cell r="BZ119"/>
          <cell r="CA119">
            <v>7</v>
          </cell>
          <cell r="CB119">
            <v>26</v>
          </cell>
          <cell r="CC119">
            <v>0</v>
          </cell>
          <cell r="CD119">
            <v>1</v>
          </cell>
          <cell r="CE119">
            <v>0</v>
          </cell>
          <cell r="CF119"/>
          <cell r="CG119">
            <v>8</v>
          </cell>
          <cell r="CH119">
            <v>24</v>
          </cell>
          <cell r="CI119">
            <v>0</v>
          </cell>
          <cell r="CJ119">
            <v>1</v>
          </cell>
          <cell r="CK119">
            <v>0</v>
          </cell>
          <cell r="CL119"/>
          <cell r="CM119">
            <v>1</v>
          </cell>
          <cell r="CN119">
            <v>20</v>
          </cell>
          <cell r="CO119">
            <v>0</v>
          </cell>
          <cell r="CP119">
            <v>1</v>
          </cell>
          <cell r="CQ119">
            <v>2</v>
          </cell>
          <cell r="CR119"/>
          <cell r="CS119">
            <v>0</v>
          </cell>
          <cell r="CT119">
            <v>24</v>
          </cell>
          <cell r="CU119">
            <v>0</v>
          </cell>
          <cell r="CV119">
            <v>1</v>
          </cell>
          <cell r="CW119">
            <v>0</v>
          </cell>
          <cell r="CX119"/>
          <cell r="CY119">
            <v>1</v>
          </cell>
          <cell r="CZ119">
            <v>27</v>
          </cell>
          <cell r="DA119">
            <v>0</v>
          </cell>
          <cell r="DB119">
            <v>1</v>
          </cell>
          <cell r="DC119">
            <v>0</v>
          </cell>
          <cell r="DD119"/>
          <cell r="DE119">
            <v>2</v>
          </cell>
          <cell r="DF119">
            <v>24</v>
          </cell>
          <cell r="DG119">
            <v>0</v>
          </cell>
          <cell r="DH119">
            <v>1</v>
          </cell>
          <cell r="DI119">
            <v>0</v>
          </cell>
          <cell r="DJ119"/>
          <cell r="DK119">
            <v>3</v>
          </cell>
        </row>
        <row r="120">
          <cell r="B120" t="str">
            <v>CN1428</v>
          </cell>
          <cell r="C120" t="str">
            <v>Khối sản xuất</v>
          </cell>
          <cell r="D120" t="str">
            <v>Neàng Kim Sen</v>
          </cell>
          <cell r="E120" t="str">
            <v>SX</v>
          </cell>
          <cell r="F120">
            <v>45699</v>
          </cell>
          <cell r="G120"/>
          <cell r="H120">
            <v>25</v>
          </cell>
          <cell r="I120" t="str">
            <v>x</v>
          </cell>
          <cell r="J120">
            <v>0</v>
          </cell>
          <cell r="K120">
            <v>0</v>
          </cell>
          <cell r="L120"/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 t="e">
            <v>#REF!</v>
          </cell>
          <cell r="U120" t="str">
            <v>x</v>
          </cell>
          <cell r="V120">
            <v>0</v>
          </cell>
          <cell r="W120" t="e">
            <v>#REF!</v>
          </cell>
          <cell r="X120"/>
          <cell r="Y120">
            <v>0</v>
          </cell>
          <cell r="Z120">
            <v>20.166666666666664</v>
          </cell>
          <cell r="AA120">
            <v>0</v>
          </cell>
          <cell r="AB120">
            <v>1</v>
          </cell>
          <cell r="AC120">
            <v>1</v>
          </cell>
          <cell r="AD120"/>
          <cell r="AE120">
            <v>0</v>
          </cell>
          <cell r="AF120">
            <v>25</v>
          </cell>
          <cell r="AG120">
            <v>0</v>
          </cell>
          <cell r="AH120">
            <v>1</v>
          </cell>
          <cell r="AI120">
            <v>1</v>
          </cell>
          <cell r="AJ120"/>
          <cell r="AK120">
            <v>0</v>
          </cell>
          <cell r="AL120">
            <v>23</v>
          </cell>
          <cell r="AM120">
            <v>0</v>
          </cell>
          <cell r="AN120">
            <v>1</v>
          </cell>
          <cell r="AO120">
            <v>0</v>
          </cell>
          <cell r="AP120"/>
          <cell r="AQ120">
            <v>1</v>
          </cell>
          <cell r="AR120">
            <v>27</v>
          </cell>
          <cell r="AS120">
            <v>0</v>
          </cell>
          <cell r="AT120">
            <v>1</v>
          </cell>
          <cell r="AU120">
            <v>0</v>
          </cell>
          <cell r="AV120"/>
          <cell r="AW120">
            <v>2</v>
          </cell>
          <cell r="AX120">
            <v>26</v>
          </cell>
          <cell r="AY120">
            <v>0</v>
          </cell>
          <cell r="AZ120">
            <v>1</v>
          </cell>
          <cell r="BA120">
            <v>0</v>
          </cell>
          <cell r="BB120"/>
          <cell r="BC120">
            <v>10</v>
          </cell>
          <cell r="BD120">
            <v>25</v>
          </cell>
          <cell r="BE120">
            <v>0</v>
          </cell>
          <cell r="BF120">
            <v>1</v>
          </cell>
          <cell r="BG120">
            <v>1</v>
          </cell>
          <cell r="BH120"/>
          <cell r="BI120">
            <v>3</v>
          </cell>
          <cell r="BJ120">
            <v>26</v>
          </cell>
          <cell r="BK120">
            <v>0</v>
          </cell>
          <cell r="BL120">
            <v>1</v>
          </cell>
          <cell r="BM120">
            <v>0</v>
          </cell>
          <cell r="BN120"/>
          <cell r="BO120">
            <v>4</v>
          </cell>
          <cell r="BP120">
            <v>26</v>
          </cell>
          <cell r="BQ120">
            <v>0</v>
          </cell>
          <cell r="BR120">
            <v>1</v>
          </cell>
          <cell r="BS120">
            <v>0</v>
          </cell>
          <cell r="BT120"/>
          <cell r="BU120">
            <v>5</v>
          </cell>
          <cell r="BV120">
            <v>26</v>
          </cell>
          <cell r="BW120">
            <v>0</v>
          </cell>
          <cell r="BX120">
            <v>1</v>
          </cell>
          <cell r="BY120">
            <v>0</v>
          </cell>
          <cell r="BZ120"/>
          <cell r="CA120">
            <v>6</v>
          </cell>
          <cell r="CB120">
            <v>26</v>
          </cell>
          <cell r="CC120">
            <v>0</v>
          </cell>
          <cell r="CD120">
            <v>1</v>
          </cell>
          <cell r="CE120">
            <v>0</v>
          </cell>
          <cell r="CF120"/>
          <cell r="CG120">
            <v>7</v>
          </cell>
          <cell r="CH120">
            <v>25</v>
          </cell>
          <cell r="CI120">
            <v>0</v>
          </cell>
          <cell r="CJ120">
            <v>1</v>
          </cell>
          <cell r="CK120">
            <v>0</v>
          </cell>
          <cell r="CL120"/>
          <cell r="CM120">
            <v>1</v>
          </cell>
          <cell r="CN120">
            <v>21</v>
          </cell>
          <cell r="CO120">
            <v>0</v>
          </cell>
          <cell r="CP120">
            <v>1</v>
          </cell>
          <cell r="CQ120">
            <v>1</v>
          </cell>
          <cell r="CR120"/>
          <cell r="CS120">
            <v>1</v>
          </cell>
          <cell r="CT120">
            <v>24</v>
          </cell>
          <cell r="CU120">
            <v>0</v>
          </cell>
          <cell r="CV120">
            <v>1</v>
          </cell>
          <cell r="CW120">
            <v>0</v>
          </cell>
          <cell r="CX120"/>
          <cell r="CY120">
            <v>2</v>
          </cell>
          <cell r="CZ120">
            <v>27</v>
          </cell>
          <cell r="DA120">
            <v>0</v>
          </cell>
          <cell r="DB120">
            <v>1</v>
          </cell>
          <cell r="DC120">
            <v>0</v>
          </cell>
          <cell r="DD120"/>
          <cell r="DE120">
            <v>3</v>
          </cell>
          <cell r="DF120">
            <v>25</v>
          </cell>
          <cell r="DG120">
            <v>0</v>
          </cell>
          <cell r="DH120">
            <v>1</v>
          </cell>
          <cell r="DI120">
            <v>0</v>
          </cell>
          <cell r="DJ120"/>
          <cell r="DK120">
            <v>4</v>
          </cell>
        </row>
        <row r="121">
          <cell r="B121" t="str">
            <v>CN1299</v>
          </cell>
          <cell r="C121" t="str">
            <v>Khối sản xuất</v>
          </cell>
          <cell r="D121" t="str">
            <v>Cao Lâm Trung</v>
          </cell>
          <cell r="E121" t="str">
            <v>SX</v>
          </cell>
          <cell r="F121">
            <v>45701</v>
          </cell>
          <cell r="G121"/>
          <cell r="H121">
            <v>7</v>
          </cell>
          <cell r="I121" t="str">
            <v>x</v>
          </cell>
          <cell r="J121">
            <v>0</v>
          </cell>
          <cell r="K121">
            <v>0</v>
          </cell>
          <cell r="L121"/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 t="e">
            <v>#REF!</v>
          </cell>
          <cell r="U121" t="str">
            <v>x</v>
          </cell>
          <cell r="V121">
            <v>0</v>
          </cell>
          <cell r="W121" t="e">
            <v>#REF!</v>
          </cell>
          <cell r="X121"/>
          <cell r="Y121">
            <v>0</v>
          </cell>
          <cell r="Z121">
            <v>24</v>
          </cell>
          <cell r="AA121">
            <v>0</v>
          </cell>
          <cell r="AB121">
            <v>1</v>
          </cell>
          <cell r="AC121">
            <v>0</v>
          </cell>
          <cell r="AD121"/>
          <cell r="AE121">
            <v>1</v>
          </cell>
          <cell r="AF121">
            <v>26</v>
          </cell>
          <cell r="AG121">
            <v>0</v>
          </cell>
          <cell r="AH121">
            <v>1</v>
          </cell>
          <cell r="AI121">
            <v>0</v>
          </cell>
          <cell r="AJ121"/>
          <cell r="AK121">
            <v>2</v>
          </cell>
          <cell r="AL121">
            <v>21</v>
          </cell>
          <cell r="AM121">
            <v>0</v>
          </cell>
          <cell r="AN121">
            <v>1</v>
          </cell>
          <cell r="AO121">
            <v>2</v>
          </cell>
          <cell r="AP121"/>
          <cell r="AQ121">
            <v>1</v>
          </cell>
          <cell r="AR121">
            <v>27</v>
          </cell>
          <cell r="AS121">
            <v>0</v>
          </cell>
          <cell r="AT121">
            <v>1</v>
          </cell>
          <cell r="AU121">
            <v>0</v>
          </cell>
          <cell r="AV121"/>
          <cell r="AW121">
            <v>2</v>
          </cell>
          <cell r="AX121">
            <v>25</v>
          </cell>
          <cell r="AY121">
            <v>0</v>
          </cell>
          <cell r="AZ121">
            <v>1</v>
          </cell>
          <cell r="BA121">
            <v>1</v>
          </cell>
          <cell r="BB121"/>
          <cell r="BC121">
            <v>3</v>
          </cell>
          <cell r="BD121">
            <v>23</v>
          </cell>
          <cell r="BE121">
            <v>0</v>
          </cell>
          <cell r="BF121">
            <v>1</v>
          </cell>
          <cell r="BG121">
            <v>2</v>
          </cell>
          <cell r="BH121"/>
          <cell r="BI121">
            <v>1</v>
          </cell>
          <cell r="BJ121">
            <v>20.333333333333336</v>
          </cell>
          <cell r="BK121">
            <v>0</v>
          </cell>
          <cell r="BL121">
            <v>1</v>
          </cell>
          <cell r="BM121">
            <v>3</v>
          </cell>
          <cell r="BN121"/>
          <cell r="BO121">
            <v>0</v>
          </cell>
          <cell r="BP121">
            <v>20.333333333333336</v>
          </cell>
          <cell r="BQ121">
            <v>0</v>
          </cell>
          <cell r="BR121">
            <v>1</v>
          </cell>
          <cell r="BS121">
            <v>3</v>
          </cell>
          <cell r="BT121"/>
          <cell r="BU121">
            <v>1</v>
          </cell>
          <cell r="BV121">
            <v>24</v>
          </cell>
          <cell r="BW121">
            <v>0</v>
          </cell>
          <cell r="BX121">
            <v>1</v>
          </cell>
          <cell r="BY121">
            <v>2</v>
          </cell>
          <cell r="BZ121"/>
          <cell r="CA121">
            <v>0</v>
          </cell>
          <cell r="CB121">
            <v>23.833333333333336</v>
          </cell>
          <cell r="CC121">
            <v>0</v>
          </cell>
          <cell r="CD121">
            <v>1</v>
          </cell>
          <cell r="CE121">
            <v>0</v>
          </cell>
          <cell r="CF121"/>
          <cell r="CG121">
            <v>1</v>
          </cell>
          <cell r="CH121">
            <v>26</v>
          </cell>
          <cell r="CI121">
            <v>0</v>
          </cell>
          <cell r="CJ121">
            <v>1</v>
          </cell>
          <cell r="CK121">
            <v>0</v>
          </cell>
          <cell r="CL121"/>
          <cell r="CM121">
            <v>1</v>
          </cell>
          <cell r="CN121">
            <v>21</v>
          </cell>
          <cell r="CO121">
            <v>0</v>
          </cell>
          <cell r="CP121">
            <v>1</v>
          </cell>
          <cell r="CQ121">
            <v>1</v>
          </cell>
          <cell r="CR121"/>
          <cell r="CS121">
            <v>1</v>
          </cell>
          <cell r="CT121">
            <v>21</v>
          </cell>
          <cell r="CU121">
            <v>0</v>
          </cell>
          <cell r="CV121">
            <v>1</v>
          </cell>
          <cell r="CW121">
            <v>0</v>
          </cell>
          <cell r="CX121"/>
          <cell r="CY121">
            <v>2</v>
          </cell>
          <cell r="CZ121">
            <v>27</v>
          </cell>
          <cell r="DA121">
            <v>0</v>
          </cell>
          <cell r="DB121">
            <v>1</v>
          </cell>
          <cell r="DC121">
            <v>0</v>
          </cell>
          <cell r="DD121"/>
          <cell r="DE121">
            <v>3</v>
          </cell>
          <cell r="DF121">
            <v>24</v>
          </cell>
          <cell r="DG121">
            <v>0</v>
          </cell>
          <cell r="DH121">
            <v>1</v>
          </cell>
          <cell r="DI121">
            <v>0</v>
          </cell>
          <cell r="DJ121"/>
          <cell r="DK121">
            <v>4</v>
          </cell>
        </row>
        <row r="122">
          <cell r="B122" t="str">
            <v>CN1421</v>
          </cell>
          <cell r="C122" t="str">
            <v>Khối sản xuất</v>
          </cell>
          <cell r="D122" t="str">
            <v>Nguyễn Văn Bé Ba</v>
          </cell>
          <cell r="E122" t="str">
            <v>SX</v>
          </cell>
          <cell r="F122">
            <v>45694</v>
          </cell>
          <cell r="G122"/>
          <cell r="H122">
            <v>24</v>
          </cell>
          <cell r="I122" t="str">
            <v>x</v>
          </cell>
          <cell r="J122">
            <v>0</v>
          </cell>
          <cell r="K122">
            <v>1</v>
          </cell>
          <cell r="L122"/>
          <cell r="M122">
            <v>0</v>
          </cell>
          <cell r="N122">
            <v>0</v>
          </cell>
          <cell r="O122" t="str">
            <v>x</v>
          </cell>
          <cell r="P122">
            <v>0</v>
          </cell>
          <cell r="Q122">
            <v>0</v>
          </cell>
          <cell r="R122"/>
          <cell r="S122">
            <v>0</v>
          </cell>
          <cell r="T122" t="e">
            <v>#REF!</v>
          </cell>
          <cell r="U122" t="str">
            <v>x</v>
          </cell>
          <cell r="V122">
            <v>0</v>
          </cell>
          <cell r="W122" t="e">
            <v>#REF!</v>
          </cell>
          <cell r="X122"/>
          <cell r="Y122">
            <v>0</v>
          </cell>
          <cell r="Z122">
            <v>24</v>
          </cell>
          <cell r="AA122">
            <v>0</v>
          </cell>
          <cell r="AB122">
            <v>1</v>
          </cell>
          <cell r="AC122">
            <v>0</v>
          </cell>
          <cell r="AD122"/>
          <cell r="AE122">
            <v>1</v>
          </cell>
          <cell r="AF122">
            <v>26</v>
          </cell>
          <cell r="AG122">
            <v>0</v>
          </cell>
          <cell r="AH122">
            <v>1</v>
          </cell>
          <cell r="AI122">
            <v>0</v>
          </cell>
          <cell r="AJ122"/>
          <cell r="AK122">
            <v>2</v>
          </cell>
          <cell r="AL122">
            <v>23</v>
          </cell>
          <cell r="AM122">
            <v>0</v>
          </cell>
          <cell r="AN122">
            <v>1</v>
          </cell>
          <cell r="AO122">
            <v>0</v>
          </cell>
          <cell r="AP122"/>
          <cell r="AQ122">
            <v>3</v>
          </cell>
          <cell r="AR122">
            <v>27</v>
          </cell>
          <cell r="AS122">
            <v>0</v>
          </cell>
          <cell r="AT122">
            <v>1</v>
          </cell>
          <cell r="AU122">
            <v>0</v>
          </cell>
          <cell r="AV122"/>
          <cell r="AW122">
            <v>4</v>
          </cell>
          <cell r="AX122">
            <v>26</v>
          </cell>
          <cell r="AY122">
            <v>0</v>
          </cell>
          <cell r="AZ122">
            <v>1</v>
          </cell>
          <cell r="BA122">
            <v>0</v>
          </cell>
          <cell r="BB122"/>
          <cell r="BC122">
            <v>13</v>
          </cell>
          <cell r="BD122">
            <v>26</v>
          </cell>
          <cell r="BE122">
            <v>0</v>
          </cell>
          <cell r="BF122">
            <v>1</v>
          </cell>
          <cell r="BG122">
            <v>0</v>
          </cell>
          <cell r="BH122"/>
          <cell r="BI122">
            <v>6</v>
          </cell>
          <cell r="BJ122">
            <v>17</v>
          </cell>
          <cell r="BK122">
            <v>0</v>
          </cell>
          <cell r="BL122">
            <v>1</v>
          </cell>
          <cell r="BM122">
            <v>0</v>
          </cell>
          <cell r="BN122"/>
          <cell r="BO122">
            <v>6</v>
          </cell>
          <cell r="BP122">
            <v>17</v>
          </cell>
          <cell r="BQ122">
            <v>0</v>
          </cell>
          <cell r="BR122">
            <v>1</v>
          </cell>
          <cell r="BS122">
            <v>0</v>
          </cell>
          <cell r="BT122"/>
          <cell r="BU122">
            <v>7</v>
          </cell>
          <cell r="BV122">
            <v>19</v>
          </cell>
          <cell r="BW122">
            <v>0</v>
          </cell>
          <cell r="BX122">
            <v>1</v>
          </cell>
          <cell r="BY122">
            <v>1</v>
          </cell>
          <cell r="BZ122"/>
          <cell r="CA122">
            <v>7</v>
          </cell>
          <cell r="CB122">
            <v>26</v>
          </cell>
          <cell r="CC122">
            <v>0</v>
          </cell>
          <cell r="CD122">
            <v>1</v>
          </cell>
          <cell r="CE122">
            <v>0</v>
          </cell>
          <cell r="CF122"/>
          <cell r="CG122">
            <v>8</v>
          </cell>
          <cell r="CH122">
            <v>24</v>
          </cell>
          <cell r="CI122">
            <v>0</v>
          </cell>
          <cell r="CJ122">
            <v>1</v>
          </cell>
          <cell r="CK122">
            <v>1</v>
          </cell>
          <cell r="CL122"/>
          <cell r="CM122">
            <v>0</v>
          </cell>
          <cell r="CN122">
            <v>20</v>
          </cell>
          <cell r="CO122">
            <v>0</v>
          </cell>
          <cell r="CP122">
            <v>1</v>
          </cell>
          <cell r="CQ122">
            <v>1</v>
          </cell>
          <cell r="CR122"/>
          <cell r="CS122">
            <v>0</v>
          </cell>
          <cell r="CT122">
            <v>23</v>
          </cell>
          <cell r="CU122">
            <v>0</v>
          </cell>
          <cell r="CV122">
            <v>1</v>
          </cell>
          <cell r="CW122">
            <v>1</v>
          </cell>
          <cell r="CX122"/>
          <cell r="CY122">
            <v>0</v>
          </cell>
          <cell r="CZ122">
            <v>21</v>
          </cell>
          <cell r="DA122">
            <v>0</v>
          </cell>
          <cell r="DB122">
            <v>1</v>
          </cell>
          <cell r="DC122">
            <v>0</v>
          </cell>
          <cell r="DD122"/>
          <cell r="DE122">
            <v>1</v>
          </cell>
          <cell r="DF122">
            <v>25</v>
          </cell>
          <cell r="DG122">
            <v>0</v>
          </cell>
          <cell r="DH122">
            <v>1</v>
          </cell>
          <cell r="DI122">
            <v>0</v>
          </cell>
          <cell r="DJ122"/>
          <cell r="DK122">
            <v>2</v>
          </cell>
        </row>
        <row r="123">
          <cell r="B123" t="str">
            <v>CN1425</v>
          </cell>
          <cell r="C123" t="str">
            <v>Khối sản xuất</v>
          </cell>
          <cell r="D123" t="str">
            <v>Nguyễn Hoàng Nam</v>
          </cell>
          <cell r="E123" t="str">
            <v>SX</v>
          </cell>
          <cell r="F123">
            <v>45695</v>
          </cell>
          <cell r="G123"/>
          <cell r="H123">
            <v>7</v>
          </cell>
          <cell r="I123" t="str">
            <v>x</v>
          </cell>
          <cell r="J123">
            <v>0</v>
          </cell>
          <cell r="K123">
            <v>0</v>
          </cell>
          <cell r="L123"/>
          <cell r="M123">
            <v>0</v>
          </cell>
          <cell r="N123">
            <v>0</v>
          </cell>
          <cell r="O123" t="str">
            <v>x</v>
          </cell>
          <cell r="P123">
            <v>0</v>
          </cell>
          <cell r="Q123">
            <v>0</v>
          </cell>
          <cell r="R123"/>
          <cell r="S123">
            <v>0</v>
          </cell>
          <cell r="T123" t="e">
            <v>#REF!</v>
          </cell>
          <cell r="U123" t="str">
            <v>x</v>
          </cell>
          <cell r="V123">
            <v>0</v>
          </cell>
          <cell r="W123" t="e">
            <v>#REF!</v>
          </cell>
          <cell r="X123"/>
          <cell r="Y123">
            <v>0</v>
          </cell>
          <cell r="Z123">
            <v>24</v>
          </cell>
          <cell r="AA123">
            <v>0</v>
          </cell>
          <cell r="AB123">
            <v>1</v>
          </cell>
          <cell r="AC123">
            <v>0</v>
          </cell>
          <cell r="AD123"/>
          <cell r="AE123">
            <v>2</v>
          </cell>
          <cell r="AF123">
            <v>22</v>
          </cell>
          <cell r="AG123">
            <v>0</v>
          </cell>
          <cell r="AH123">
            <v>1</v>
          </cell>
          <cell r="AI123">
            <v>3</v>
          </cell>
          <cell r="AJ123"/>
          <cell r="AK123">
            <v>0</v>
          </cell>
          <cell r="AL123">
            <v>22.833333333333336</v>
          </cell>
          <cell r="AM123">
            <v>0</v>
          </cell>
          <cell r="AN123">
            <v>1</v>
          </cell>
          <cell r="AO123">
            <v>0</v>
          </cell>
          <cell r="AP123"/>
          <cell r="AQ123">
            <v>1</v>
          </cell>
          <cell r="AR123">
            <v>27</v>
          </cell>
          <cell r="AS123">
            <v>0</v>
          </cell>
          <cell r="AT123">
            <v>1</v>
          </cell>
          <cell r="AU123">
            <v>0</v>
          </cell>
          <cell r="AV123"/>
          <cell r="AW123">
            <v>2</v>
          </cell>
          <cell r="AX123">
            <v>26</v>
          </cell>
          <cell r="AY123">
            <v>0</v>
          </cell>
          <cell r="AZ123">
            <v>1</v>
          </cell>
          <cell r="BA123">
            <v>0</v>
          </cell>
          <cell r="BB123"/>
          <cell r="BC123">
            <v>9</v>
          </cell>
          <cell r="BD123">
            <v>26</v>
          </cell>
          <cell r="BE123">
            <v>0</v>
          </cell>
          <cell r="BF123">
            <v>1</v>
          </cell>
          <cell r="BG123">
            <v>0</v>
          </cell>
          <cell r="BH123"/>
          <cell r="BI123">
            <v>4</v>
          </cell>
          <cell r="BJ123">
            <v>25</v>
          </cell>
          <cell r="BK123">
            <v>0</v>
          </cell>
          <cell r="BL123">
            <v>1</v>
          </cell>
          <cell r="BM123">
            <v>1</v>
          </cell>
          <cell r="BN123"/>
          <cell r="BO123">
            <v>3</v>
          </cell>
          <cell r="BP123">
            <v>25</v>
          </cell>
          <cell r="BQ123">
            <v>0</v>
          </cell>
          <cell r="BR123">
            <v>1</v>
          </cell>
          <cell r="BS123">
            <v>1</v>
          </cell>
          <cell r="BT123"/>
          <cell r="BU123">
            <v>4</v>
          </cell>
          <cell r="BV123">
            <v>25.25</v>
          </cell>
          <cell r="BW123">
            <v>0</v>
          </cell>
          <cell r="BX123">
            <v>1</v>
          </cell>
          <cell r="BY123">
            <v>0</v>
          </cell>
          <cell r="BZ123"/>
          <cell r="CA123">
            <v>5</v>
          </cell>
          <cell r="CB123">
            <v>26</v>
          </cell>
          <cell r="CC123">
            <v>0</v>
          </cell>
          <cell r="CD123">
            <v>1</v>
          </cell>
          <cell r="CE123">
            <v>0</v>
          </cell>
          <cell r="CF123"/>
          <cell r="CG123">
            <v>6</v>
          </cell>
          <cell r="CH123">
            <v>25</v>
          </cell>
          <cell r="CI123">
            <v>0</v>
          </cell>
          <cell r="CJ123">
            <v>1</v>
          </cell>
          <cell r="CK123">
            <v>0</v>
          </cell>
          <cell r="CL123"/>
          <cell r="CM123">
            <v>1</v>
          </cell>
          <cell r="CN123">
            <v>21</v>
          </cell>
          <cell r="CO123">
            <v>0</v>
          </cell>
          <cell r="CP123">
            <v>1</v>
          </cell>
          <cell r="CQ123">
            <v>1</v>
          </cell>
          <cell r="CR123"/>
          <cell r="CS123">
            <v>1</v>
          </cell>
          <cell r="CT123">
            <v>24</v>
          </cell>
          <cell r="CU123">
            <v>0</v>
          </cell>
          <cell r="CV123">
            <v>1</v>
          </cell>
          <cell r="CW123">
            <v>0</v>
          </cell>
          <cell r="CX123"/>
          <cell r="CY123">
            <v>2</v>
          </cell>
          <cell r="CZ123">
            <v>26.833333333333336</v>
          </cell>
          <cell r="DA123">
            <v>0</v>
          </cell>
          <cell r="DB123">
            <v>1</v>
          </cell>
          <cell r="DC123">
            <v>0</v>
          </cell>
          <cell r="DD123"/>
          <cell r="DE123">
            <v>3</v>
          </cell>
          <cell r="DF123">
            <v>24.5</v>
          </cell>
          <cell r="DG123">
            <v>0</v>
          </cell>
          <cell r="DH123">
            <v>1</v>
          </cell>
          <cell r="DI123">
            <v>0</v>
          </cell>
          <cell r="DJ123"/>
          <cell r="DK123">
            <v>4</v>
          </cell>
        </row>
        <row r="124">
          <cell r="B124" t="str">
            <v>CN1429</v>
          </cell>
          <cell r="C124" t="str">
            <v>Khối sản xuất</v>
          </cell>
          <cell r="D124" t="str">
            <v>Phạm Vũ Luân</v>
          </cell>
          <cell r="E124" t="str">
            <v>SX</v>
          </cell>
          <cell r="F124">
            <v>45705</v>
          </cell>
          <cell r="G124"/>
          <cell r="H124">
            <v>7</v>
          </cell>
          <cell r="I124" t="str">
            <v>x</v>
          </cell>
          <cell r="J124">
            <v>0</v>
          </cell>
          <cell r="K124">
            <v>0</v>
          </cell>
          <cell r="L124"/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 t="e">
            <v>#REF!</v>
          </cell>
          <cell r="U124" t="str">
            <v>x</v>
          </cell>
          <cell r="V124">
            <v>0</v>
          </cell>
          <cell r="W124" t="e">
            <v>#REF!</v>
          </cell>
          <cell r="X124"/>
          <cell r="Y124">
            <v>0</v>
          </cell>
          <cell r="Z124">
            <v>24</v>
          </cell>
          <cell r="AA124">
            <v>0</v>
          </cell>
          <cell r="AB124">
            <v>1</v>
          </cell>
          <cell r="AC124">
            <v>0</v>
          </cell>
          <cell r="AD124"/>
          <cell r="AE124">
            <v>1</v>
          </cell>
          <cell r="AF124">
            <v>26</v>
          </cell>
          <cell r="AG124">
            <v>0</v>
          </cell>
          <cell r="AH124">
            <v>1</v>
          </cell>
          <cell r="AI124">
            <v>0</v>
          </cell>
          <cell r="AJ124"/>
          <cell r="AK124">
            <v>2</v>
          </cell>
          <cell r="AL124">
            <v>20.833333333333336</v>
          </cell>
          <cell r="AM124">
            <v>0</v>
          </cell>
          <cell r="AN124">
            <v>1</v>
          </cell>
          <cell r="AO124">
            <v>2</v>
          </cell>
          <cell r="AP124"/>
          <cell r="AQ124">
            <v>1</v>
          </cell>
          <cell r="AR124">
            <v>26.25</v>
          </cell>
          <cell r="AS124">
            <v>0</v>
          </cell>
          <cell r="AT124">
            <v>1</v>
          </cell>
          <cell r="AU124">
            <v>0</v>
          </cell>
          <cell r="AV124"/>
          <cell r="AW124">
            <v>2</v>
          </cell>
          <cell r="AX124">
            <v>26</v>
          </cell>
          <cell r="AY124">
            <v>0</v>
          </cell>
          <cell r="AZ124">
            <v>1</v>
          </cell>
          <cell r="BA124">
            <v>0</v>
          </cell>
          <cell r="BB124"/>
          <cell r="BC124">
            <v>9</v>
          </cell>
          <cell r="BD124">
            <v>23</v>
          </cell>
          <cell r="BE124">
            <v>0</v>
          </cell>
          <cell r="BF124">
            <v>1</v>
          </cell>
          <cell r="BG124">
            <v>1</v>
          </cell>
          <cell r="BH124"/>
          <cell r="BI124">
            <v>3</v>
          </cell>
          <cell r="BJ124">
            <v>25.916666666666664</v>
          </cell>
          <cell r="BK124">
            <v>0</v>
          </cell>
          <cell r="BL124">
            <v>1</v>
          </cell>
          <cell r="BM124">
            <v>0</v>
          </cell>
          <cell r="BN124"/>
          <cell r="BO124">
            <v>4</v>
          </cell>
          <cell r="BP124">
            <v>25.916666666666664</v>
          </cell>
          <cell r="BQ124">
            <v>0</v>
          </cell>
          <cell r="BR124">
            <v>1</v>
          </cell>
          <cell r="BS124">
            <v>0</v>
          </cell>
          <cell r="BT124"/>
          <cell r="BU124">
            <v>5</v>
          </cell>
          <cell r="BV124">
            <v>19</v>
          </cell>
          <cell r="BW124">
            <v>0</v>
          </cell>
          <cell r="BX124">
            <v>1</v>
          </cell>
          <cell r="BY124">
            <v>1</v>
          </cell>
          <cell r="BZ124"/>
          <cell r="CA124">
            <v>5</v>
          </cell>
          <cell r="CB124">
            <v>26</v>
          </cell>
          <cell r="CC124">
            <v>0</v>
          </cell>
          <cell r="CD124">
            <v>1</v>
          </cell>
          <cell r="CE124">
            <v>0</v>
          </cell>
          <cell r="CF124"/>
          <cell r="CG124">
            <v>6</v>
          </cell>
          <cell r="CH124">
            <v>24</v>
          </cell>
          <cell r="CI124">
            <v>0</v>
          </cell>
          <cell r="CJ124">
            <v>1</v>
          </cell>
          <cell r="CK124">
            <v>1</v>
          </cell>
          <cell r="CL124"/>
          <cell r="CM124">
            <v>0</v>
          </cell>
          <cell r="CN124">
            <v>19</v>
          </cell>
          <cell r="CO124">
            <v>0</v>
          </cell>
          <cell r="CP124">
            <v>1</v>
          </cell>
          <cell r="CQ124">
            <v>1</v>
          </cell>
          <cell r="CR124"/>
          <cell r="CS124">
            <v>0</v>
          </cell>
          <cell r="CT124">
            <v>23</v>
          </cell>
          <cell r="CU124">
            <v>0</v>
          </cell>
          <cell r="CV124">
            <v>1</v>
          </cell>
          <cell r="CW124">
            <v>0</v>
          </cell>
          <cell r="CX124"/>
          <cell r="CY124">
            <v>1</v>
          </cell>
          <cell r="CZ124">
            <v>27</v>
          </cell>
          <cell r="DA124">
            <v>0</v>
          </cell>
          <cell r="DB124">
            <v>1</v>
          </cell>
          <cell r="DC124">
            <v>0</v>
          </cell>
          <cell r="DD124"/>
          <cell r="DE124">
            <v>2</v>
          </cell>
          <cell r="DF124">
            <v>25</v>
          </cell>
          <cell r="DG124">
            <v>0</v>
          </cell>
          <cell r="DH124">
            <v>1</v>
          </cell>
          <cell r="DI124">
            <v>0</v>
          </cell>
          <cell r="DJ124"/>
          <cell r="DK124">
            <v>3</v>
          </cell>
        </row>
        <row r="125">
          <cell r="B125" t="str">
            <v>CN1459</v>
          </cell>
          <cell r="C125" t="str">
            <v>Khối sản xuất</v>
          </cell>
          <cell r="D125" t="str">
            <v>Nguyễn Kim Hoa</v>
          </cell>
          <cell r="E125" t="str">
            <v>SX</v>
          </cell>
          <cell r="F125" t="str">
            <v>03/03/2025</v>
          </cell>
          <cell r="G125"/>
          <cell r="H125">
            <v>7</v>
          </cell>
          <cell r="I125" t="str">
            <v>x</v>
          </cell>
          <cell r="J125">
            <v>0</v>
          </cell>
          <cell r="K125">
            <v>0</v>
          </cell>
          <cell r="L125"/>
          <cell r="M125">
            <v>0</v>
          </cell>
          <cell r="N125">
            <v>0</v>
          </cell>
          <cell r="O125" t="str">
            <v>x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/>
          <cell r="U125"/>
          <cell r="V125"/>
          <cell r="W125"/>
          <cell r="X125"/>
          <cell r="Y125"/>
          <cell r="Z125">
            <v>20</v>
          </cell>
          <cell r="AA125" t="str">
            <v>x</v>
          </cell>
          <cell r="AB125">
            <v>0</v>
          </cell>
          <cell r="AC125">
            <v>0</v>
          </cell>
          <cell r="AD125"/>
          <cell r="AE125">
            <v>0</v>
          </cell>
          <cell r="AF125">
            <v>26</v>
          </cell>
          <cell r="AG125">
            <v>0</v>
          </cell>
          <cell r="AH125">
            <v>1</v>
          </cell>
          <cell r="AI125">
            <v>0</v>
          </cell>
          <cell r="AJ125"/>
          <cell r="AK125">
            <v>1</v>
          </cell>
          <cell r="AL125">
            <v>21</v>
          </cell>
          <cell r="AM125">
            <v>0</v>
          </cell>
          <cell r="AN125">
            <v>1</v>
          </cell>
          <cell r="AO125">
            <v>2</v>
          </cell>
          <cell r="AP125"/>
          <cell r="AQ125">
            <v>0</v>
          </cell>
          <cell r="AR125">
            <v>26</v>
          </cell>
          <cell r="AS125">
            <v>0</v>
          </cell>
          <cell r="AT125">
            <v>1</v>
          </cell>
          <cell r="AU125">
            <v>1</v>
          </cell>
          <cell r="AV125"/>
          <cell r="AW125">
            <v>0</v>
          </cell>
          <cell r="AX125">
            <v>26</v>
          </cell>
          <cell r="AY125">
            <v>0</v>
          </cell>
          <cell r="AZ125">
            <v>1</v>
          </cell>
          <cell r="BA125">
            <v>0</v>
          </cell>
          <cell r="BB125"/>
          <cell r="BC125">
            <v>6</v>
          </cell>
          <cell r="BD125">
            <v>26</v>
          </cell>
          <cell r="BE125">
            <v>0</v>
          </cell>
          <cell r="BF125">
            <v>1</v>
          </cell>
          <cell r="BG125">
            <v>0</v>
          </cell>
          <cell r="BH125"/>
          <cell r="BI125">
            <v>2</v>
          </cell>
          <cell r="BJ125">
            <v>26</v>
          </cell>
          <cell r="BK125">
            <v>0</v>
          </cell>
          <cell r="BL125">
            <v>1</v>
          </cell>
          <cell r="BM125">
            <v>0</v>
          </cell>
          <cell r="BN125"/>
          <cell r="BO125">
            <v>2</v>
          </cell>
          <cell r="BP125">
            <v>26</v>
          </cell>
          <cell r="BQ125">
            <v>0</v>
          </cell>
          <cell r="BR125">
            <v>1</v>
          </cell>
          <cell r="BS125">
            <v>0</v>
          </cell>
          <cell r="BT125"/>
          <cell r="BU125">
            <v>3</v>
          </cell>
          <cell r="BV125">
            <v>26</v>
          </cell>
          <cell r="BW125">
            <v>0</v>
          </cell>
          <cell r="BX125">
            <v>1</v>
          </cell>
          <cell r="BY125">
            <v>0</v>
          </cell>
          <cell r="BZ125"/>
          <cell r="CA125">
            <v>4</v>
          </cell>
          <cell r="CB125">
            <v>26</v>
          </cell>
          <cell r="CC125">
            <v>0</v>
          </cell>
          <cell r="CD125">
            <v>1</v>
          </cell>
          <cell r="CE125">
            <v>0</v>
          </cell>
          <cell r="CF125"/>
          <cell r="CG125">
            <v>5</v>
          </cell>
          <cell r="CH125">
            <v>24</v>
          </cell>
          <cell r="CI125">
            <v>0</v>
          </cell>
          <cell r="CJ125">
            <v>1</v>
          </cell>
          <cell r="CK125">
            <v>1</v>
          </cell>
          <cell r="CL125"/>
          <cell r="CM125">
            <v>0</v>
          </cell>
          <cell r="CN125">
            <v>21</v>
          </cell>
          <cell r="CO125">
            <v>0</v>
          </cell>
          <cell r="CP125">
            <v>1</v>
          </cell>
          <cell r="CQ125">
            <v>0</v>
          </cell>
          <cell r="CR125"/>
          <cell r="CS125">
            <v>1</v>
          </cell>
          <cell r="CT125">
            <v>24</v>
          </cell>
          <cell r="CU125">
            <v>0</v>
          </cell>
          <cell r="CV125">
            <v>1</v>
          </cell>
          <cell r="CW125">
            <v>0</v>
          </cell>
          <cell r="CX125"/>
          <cell r="CY125">
            <v>2</v>
          </cell>
          <cell r="CZ125">
            <v>27</v>
          </cell>
          <cell r="DA125">
            <v>0</v>
          </cell>
          <cell r="DB125">
            <v>1</v>
          </cell>
          <cell r="DC125">
            <v>0</v>
          </cell>
          <cell r="DD125"/>
          <cell r="DE125">
            <v>3</v>
          </cell>
          <cell r="DF125">
            <v>22</v>
          </cell>
          <cell r="DG125">
            <v>0</v>
          </cell>
          <cell r="DH125">
            <v>1</v>
          </cell>
          <cell r="DI125">
            <v>0</v>
          </cell>
          <cell r="DJ125"/>
          <cell r="DK125">
            <v>4</v>
          </cell>
        </row>
        <row r="126">
          <cell r="B126" t="str">
            <v>CN1455</v>
          </cell>
          <cell r="C126" t="str">
            <v>Khối sản xuất</v>
          </cell>
          <cell r="D126" t="str">
            <v>Trần Bền</v>
          </cell>
          <cell r="E126" t="str">
            <v>SX</v>
          </cell>
          <cell r="F126">
            <v>45716</v>
          </cell>
          <cell r="G126"/>
          <cell r="H126">
            <v>25</v>
          </cell>
          <cell r="I126" t="str">
            <v>x</v>
          </cell>
          <cell r="J126">
            <v>0</v>
          </cell>
          <cell r="K126">
            <v>0</v>
          </cell>
          <cell r="L126"/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 t="e">
            <v>#REF!</v>
          </cell>
          <cell r="U126" t="str">
            <v>x</v>
          </cell>
          <cell r="V126">
            <v>0</v>
          </cell>
          <cell r="W126" t="e">
            <v>#REF!</v>
          </cell>
          <cell r="X126"/>
          <cell r="Y126">
            <v>0</v>
          </cell>
          <cell r="Z126">
            <v>22</v>
          </cell>
          <cell r="AA126">
            <v>0</v>
          </cell>
          <cell r="AB126">
            <v>1</v>
          </cell>
          <cell r="AC126">
            <v>0</v>
          </cell>
          <cell r="AD126"/>
          <cell r="AE126">
            <v>1</v>
          </cell>
          <cell r="AF126">
            <v>25</v>
          </cell>
          <cell r="AG126">
            <v>0</v>
          </cell>
          <cell r="AH126">
            <v>1</v>
          </cell>
          <cell r="AI126">
            <v>1</v>
          </cell>
          <cell r="AJ126"/>
          <cell r="AK126">
            <v>1</v>
          </cell>
          <cell r="AL126">
            <v>21</v>
          </cell>
          <cell r="AM126">
            <v>0</v>
          </cell>
          <cell r="AN126">
            <v>1</v>
          </cell>
          <cell r="AO126">
            <v>2</v>
          </cell>
          <cell r="AP126"/>
          <cell r="AQ126">
            <v>0</v>
          </cell>
          <cell r="AR126">
            <v>27</v>
          </cell>
          <cell r="AS126">
            <v>0</v>
          </cell>
          <cell r="AT126">
            <v>1</v>
          </cell>
          <cell r="AU126">
            <v>0</v>
          </cell>
          <cell r="AV126"/>
          <cell r="AW126">
            <v>1</v>
          </cell>
          <cell r="AX126">
            <v>24</v>
          </cell>
          <cell r="AY126">
            <v>0</v>
          </cell>
          <cell r="AZ126">
            <v>1</v>
          </cell>
          <cell r="BA126">
            <v>2</v>
          </cell>
          <cell r="BB126"/>
          <cell r="BC126">
            <v>0</v>
          </cell>
          <cell r="BD126">
            <v>25</v>
          </cell>
          <cell r="BE126">
            <v>0</v>
          </cell>
          <cell r="BF126">
            <v>1</v>
          </cell>
          <cell r="BG126">
            <v>0</v>
          </cell>
          <cell r="BH126"/>
          <cell r="BI126">
            <v>1</v>
          </cell>
          <cell r="BJ126">
            <v>22.333333333333336</v>
          </cell>
          <cell r="BK126">
            <v>0</v>
          </cell>
          <cell r="BL126">
            <v>1</v>
          </cell>
          <cell r="BM126">
            <v>1</v>
          </cell>
          <cell r="BN126"/>
          <cell r="BO126">
            <v>0</v>
          </cell>
          <cell r="BP126">
            <v>22.333333333333336</v>
          </cell>
          <cell r="BQ126">
            <v>0</v>
          </cell>
          <cell r="BR126">
            <v>1</v>
          </cell>
          <cell r="BS126">
            <v>2</v>
          </cell>
          <cell r="BT126"/>
          <cell r="BU126">
            <v>1</v>
          </cell>
          <cell r="BV126">
            <v>24</v>
          </cell>
          <cell r="BW126">
            <v>0</v>
          </cell>
          <cell r="BX126">
            <v>1</v>
          </cell>
          <cell r="BY126">
            <v>2</v>
          </cell>
          <cell r="BZ126"/>
          <cell r="CA126">
            <v>0</v>
          </cell>
          <cell r="CB126">
            <v>25</v>
          </cell>
          <cell r="CC126">
            <v>0</v>
          </cell>
          <cell r="CD126">
            <v>1</v>
          </cell>
          <cell r="CE126">
            <v>1</v>
          </cell>
          <cell r="CF126"/>
          <cell r="CG126">
            <v>0</v>
          </cell>
          <cell r="CH126">
            <v>21</v>
          </cell>
          <cell r="CI126">
            <v>0</v>
          </cell>
          <cell r="CJ126">
            <v>1</v>
          </cell>
          <cell r="CK126">
            <v>1</v>
          </cell>
          <cell r="CL126"/>
          <cell r="CM126">
            <v>0</v>
          </cell>
          <cell r="CN126">
            <v>19</v>
          </cell>
          <cell r="CO126">
            <v>0</v>
          </cell>
          <cell r="CP126">
            <v>1</v>
          </cell>
          <cell r="CQ126">
            <v>1</v>
          </cell>
          <cell r="CR126"/>
          <cell r="CS126">
            <v>0</v>
          </cell>
          <cell r="CT126">
            <v>22.916666666666664</v>
          </cell>
          <cell r="CU126">
            <v>0</v>
          </cell>
          <cell r="CV126">
            <v>1</v>
          </cell>
          <cell r="CW126">
            <v>0</v>
          </cell>
          <cell r="CX126"/>
          <cell r="CY126">
            <v>1</v>
          </cell>
          <cell r="CZ126">
            <v>27</v>
          </cell>
          <cell r="DA126">
            <v>0</v>
          </cell>
          <cell r="DB126">
            <v>1</v>
          </cell>
          <cell r="DC126">
            <v>0</v>
          </cell>
          <cell r="DD126"/>
          <cell r="DE126">
            <v>2</v>
          </cell>
          <cell r="DF126">
            <v>24</v>
          </cell>
          <cell r="DG126">
            <v>0</v>
          </cell>
          <cell r="DH126">
            <v>1</v>
          </cell>
          <cell r="DI126">
            <v>1</v>
          </cell>
          <cell r="DJ126"/>
          <cell r="DK126">
            <v>2</v>
          </cell>
        </row>
        <row r="127">
          <cell r="B127" t="str">
            <v>CN1467</v>
          </cell>
          <cell r="C127" t="str">
            <v>Khối sản xuất</v>
          </cell>
          <cell r="D127" t="str">
            <v>Danh Thanh Tuyền</v>
          </cell>
          <cell r="E127" t="str">
            <v>SX</v>
          </cell>
          <cell r="F127">
            <v>45727</v>
          </cell>
          <cell r="G127"/>
          <cell r="H127">
            <v>25</v>
          </cell>
          <cell r="I127" t="str">
            <v>x</v>
          </cell>
          <cell r="J127">
            <v>0</v>
          </cell>
          <cell r="K127">
            <v>0</v>
          </cell>
          <cell r="L127"/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 t="e">
            <v>#REF!</v>
          </cell>
          <cell r="U127" t="str">
            <v>x</v>
          </cell>
          <cell r="V127">
            <v>0</v>
          </cell>
          <cell r="W127" t="e">
            <v>#REF!</v>
          </cell>
          <cell r="X127"/>
          <cell r="Y127">
            <v>0</v>
          </cell>
          <cell r="Z127">
            <v>13</v>
          </cell>
          <cell r="AA127" t="str">
            <v>x</v>
          </cell>
          <cell r="AB127">
            <v>0</v>
          </cell>
          <cell r="AC127">
            <v>0</v>
          </cell>
          <cell r="AD127"/>
          <cell r="AE127">
            <v>1</v>
          </cell>
          <cell r="AF127">
            <v>25</v>
          </cell>
          <cell r="AG127">
            <v>0</v>
          </cell>
          <cell r="AH127">
            <v>1</v>
          </cell>
          <cell r="AI127">
            <v>1</v>
          </cell>
          <cell r="AJ127"/>
          <cell r="AK127">
            <v>1</v>
          </cell>
          <cell r="AL127">
            <v>22</v>
          </cell>
          <cell r="AM127">
            <v>0</v>
          </cell>
          <cell r="AN127">
            <v>1</v>
          </cell>
          <cell r="AO127">
            <v>1</v>
          </cell>
          <cell r="AP127"/>
          <cell r="AQ127">
            <v>1</v>
          </cell>
          <cell r="AR127">
            <v>26.916666666666664</v>
          </cell>
          <cell r="AS127">
            <v>0</v>
          </cell>
          <cell r="AT127">
            <v>1</v>
          </cell>
          <cell r="AU127">
            <v>0</v>
          </cell>
          <cell r="AV127"/>
          <cell r="AW127">
            <v>2</v>
          </cell>
          <cell r="AX127">
            <v>25</v>
          </cell>
          <cell r="AY127">
            <v>0</v>
          </cell>
          <cell r="AZ127">
            <v>1</v>
          </cell>
          <cell r="BA127">
            <v>1</v>
          </cell>
          <cell r="BB127"/>
          <cell r="BC127">
            <v>7</v>
          </cell>
          <cell r="BD127">
            <v>25</v>
          </cell>
          <cell r="BE127">
            <v>0</v>
          </cell>
          <cell r="BF127">
            <v>1</v>
          </cell>
          <cell r="BG127">
            <v>1</v>
          </cell>
          <cell r="BH127"/>
          <cell r="BI127">
            <v>2</v>
          </cell>
          <cell r="BJ127">
            <v>26</v>
          </cell>
          <cell r="BK127">
            <v>0</v>
          </cell>
          <cell r="BL127">
            <v>1</v>
          </cell>
          <cell r="BM127">
            <v>0</v>
          </cell>
          <cell r="BN127"/>
          <cell r="BO127">
            <v>3</v>
          </cell>
          <cell r="BP127">
            <v>26</v>
          </cell>
          <cell r="BQ127">
            <v>0</v>
          </cell>
          <cell r="BR127">
            <v>1</v>
          </cell>
          <cell r="BS127">
            <v>0</v>
          </cell>
          <cell r="BT127"/>
          <cell r="BU127">
            <v>4</v>
          </cell>
          <cell r="BV127">
            <v>25</v>
          </cell>
          <cell r="BW127">
            <v>0</v>
          </cell>
          <cell r="BX127">
            <v>1</v>
          </cell>
          <cell r="BY127">
            <v>1</v>
          </cell>
          <cell r="BZ127"/>
          <cell r="CA127">
            <v>4</v>
          </cell>
          <cell r="CB127">
            <v>26</v>
          </cell>
          <cell r="CC127">
            <v>0</v>
          </cell>
          <cell r="CD127">
            <v>1</v>
          </cell>
          <cell r="CE127">
            <v>0</v>
          </cell>
          <cell r="CF127"/>
          <cell r="CG127">
            <v>5</v>
          </cell>
          <cell r="CH127">
            <v>25</v>
          </cell>
          <cell r="CI127">
            <v>0</v>
          </cell>
          <cell r="CJ127">
            <v>1</v>
          </cell>
          <cell r="CK127">
            <v>0</v>
          </cell>
          <cell r="CL127"/>
          <cell r="CM127">
            <v>1</v>
          </cell>
          <cell r="CN127">
            <v>21</v>
          </cell>
          <cell r="CO127">
            <v>0</v>
          </cell>
          <cell r="CP127">
            <v>1</v>
          </cell>
          <cell r="CQ127">
            <v>1</v>
          </cell>
          <cell r="CR127"/>
          <cell r="CS127">
            <v>1</v>
          </cell>
          <cell r="CT127">
            <v>24</v>
          </cell>
          <cell r="CU127">
            <v>0</v>
          </cell>
          <cell r="CV127">
            <v>1</v>
          </cell>
          <cell r="CW127">
            <v>0</v>
          </cell>
          <cell r="CX127"/>
          <cell r="CY127">
            <v>2</v>
          </cell>
          <cell r="CZ127">
            <v>27</v>
          </cell>
          <cell r="DA127">
            <v>0</v>
          </cell>
          <cell r="DB127">
            <v>1</v>
          </cell>
          <cell r="DC127">
            <v>0</v>
          </cell>
          <cell r="DD127"/>
          <cell r="DE127">
            <v>3</v>
          </cell>
          <cell r="DF127">
            <v>23</v>
          </cell>
          <cell r="DG127">
            <v>0</v>
          </cell>
          <cell r="DH127">
            <v>1</v>
          </cell>
          <cell r="DI127">
            <v>0</v>
          </cell>
          <cell r="DJ127"/>
          <cell r="DK127">
            <v>4</v>
          </cell>
        </row>
        <row r="128">
          <cell r="B128" t="str">
            <v>CN0908</v>
          </cell>
          <cell r="C128" t="str">
            <v>Khối sản xuất</v>
          </cell>
          <cell r="D128" t="str">
            <v>Thái Văn Phúc</v>
          </cell>
          <cell r="E128" t="str">
            <v>SX</v>
          </cell>
          <cell r="F128">
            <v>45723</v>
          </cell>
          <cell r="G128"/>
          <cell r="H128">
            <v>7</v>
          </cell>
          <cell r="I128" t="str">
            <v>x</v>
          </cell>
          <cell r="J128">
            <v>0</v>
          </cell>
          <cell r="K128">
            <v>0</v>
          </cell>
          <cell r="L128"/>
          <cell r="M128">
            <v>0</v>
          </cell>
          <cell r="N128">
            <v>0</v>
          </cell>
          <cell r="O128" t="str">
            <v>x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/>
          <cell r="U128"/>
          <cell r="V128"/>
          <cell r="W128"/>
          <cell r="X128"/>
          <cell r="Y128">
            <v>0</v>
          </cell>
          <cell r="Z128">
            <v>15.583333333333334</v>
          </cell>
          <cell r="AA128" t="str">
            <v>x</v>
          </cell>
          <cell r="AB128">
            <v>0</v>
          </cell>
          <cell r="AC128">
            <v>0</v>
          </cell>
          <cell r="AD128"/>
          <cell r="AE128">
            <v>1</v>
          </cell>
          <cell r="AF128">
            <v>24.666666666666668</v>
          </cell>
          <cell r="AG128">
            <v>0</v>
          </cell>
          <cell r="AH128">
            <v>1</v>
          </cell>
          <cell r="AI128">
            <v>1</v>
          </cell>
          <cell r="AJ128"/>
          <cell r="AK128">
            <v>1</v>
          </cell>
          <cell r="AL128">
            <v>20.916666666666664</v>
          </cell>
          <cell r="AM128">
            <v>0</v>
          </cell>
          <cell r="AN128">
            <v>1</v>
          </cell>
          <cell r="AO128">
            <v>1</v>
          </cell>
          <cell r="AP128"/>
          <cell r="AQ128">
            <v>1</v>
          </cell>
          <cell r="AR128">
            <v>25</v>
          </cell>
          <cell r="AS128">
            <v>0</v>
          </cell>
          <cell r="AT128">
            <v>1</v>
          </cell>
          <cell r="AU128">
            <v>1</v>
          </cell>
          <cell r="AV128"/>
          <cell r="AW128">
            <v>1</v>
          </cell>
          <cell r="AX128">
            <v>23.083333333333336</v>
          </cell>
          <cell r="AY128">
            <v>0</v>
          </cell>
          <cell r="AZ128">
            <v>1</v>
          </cell>
          <cell r="BA128">
            <v>2</v>
          </cell>
          <cell r="BB128"/>
          <cell r="BC128">
            <v>-1</v>
          </cell>
          <cell r="BD128">
            <v>19.833333333333336</v>
          </cell>
          <cell r="BE128">
            <v>0</v>
          </cell>
          <cell r="BF128">
            <v>1</v>
          </cell>
          <cell r="BG128">
            <v>1</v>
          </cell>
          <cell r="BH128"/>
          <cell r="BI128">
            <v>0</v>
          </cell>
          <cell r="BJ128">
            <v>21.583333333333332</v>
          </cell>
          <cell r="BK128">
            <v>0</v>
          </cell>
          <cell r="BL128">
            <v>1</v>
          </cell>
          <cell r="BM128">
            <v>2</v>
          </cell>
          <cell r="BN128"/>
          <cell r="BO128">
            <v>-1</v>
          </cell>
          <cell r="BP128">
            <v>21.583333333333332</v>
          </cell>
          <cell r="BQ128">
            <v>0</v>
          </cell>
          <cell r="BR128">
            <v>1</v>
          </cell>
          <cell r="BS128">
            <v>3</v>
          </cell>
          <cell r="BT128"/>
          <cell r="BU128">
            <v>0</v>
          </cell>
          <cell r="BV128">
            <v>22.833333333333332</v>
          </cell>
          <cell r="BW128">
            <v>0</v>
          </cell>
          <cell r="BX128">
            <v>1</v>
          </cell>
          <cell r="BY128">
            <v>3</v>
          </cell>
          <cell r="BZ128"/>
          <cell r="CA128">
            <v>-2</v>
          </cell>
          <cell r="CB128">
            <v>20.666666666666668</v>
          </cell>
          <cell r="CC128">
            <v>0</v>
          </cell>
          <cell r="CD128">
            <v>1</v>
          </cell>
          <cell r="CE128">
            <v>0</v>
          </cell>
          <cell r="CF128"/>
          <cell r="CG128">
            <v>-1</v>
          </cell>
          <cell r="CH128">
            <v>19.083333333333336</v>
          </cell>
          <cell r="CI128">
            <v>0</v>
          </cell>
          <cell r="CJ128">
            <v>1</v>
          </cell>
          <cell r="CK128">
            <v>0</v>
          </cell>
          <cell r="CL128"/>
          <cell r="CM128">
            <v>1</v>
          </cell>
          <cell r="CN128">
            <v>10</v>
          </cell>
          <cell r="CO128">
            <v>0</v>
          </cell>
          <cell r="CP128">
            <v>0</v>
          </cell>
          <cell r="CQ128">
            <v>1</v>
          </cell>
          <cell r="CR128"/>
          <cell r="CS128">
            <v>0</v>
          </cell>
          <cell r="CT128">
            <v>21.833333333333332</v>
          </cell>
          <cell r="CU128">
            <v>0</v>
          </cell>
          <cell r="CV128">
            <v>1</v>
          </cell>
          <cell r="CW128">
            <v>1</v>
          </cell>
          <cell r="CX128"/>
          <cell r="CY128">
            <v>0</v>
          </cell>
          <cell r="CZ128">
            <v>25.833333333333332</v>
          </cell>
          <cell r="DA128">
            <v>0</v>
          </cell>
          <cell r="DB128">
            <v>1</v>
          </cell>
          <cell r="DC128">
            <v>1</v>
          </cell>
          <cell r="DD128"/>
          <cell r="DE128">
            <v>0</v>
          </cell>
          <cell r="DF128">
            <v>22.5</v>
          </cell>
          <cell r="DG128">
            <v>0</v>
          </cell>
          <cell r="DH128">
            <v>1</v>
          </cell>
          <cell r="DI128">
            <v>0</v>
          </cell>
          <cell r="DJ128"/>
          <cell r="DK128">
            <v>1</v>
          </cell>
        </row>
        <row r="129">
          <cell r="B129" t="str">
            <v>CN1469</v>
          </cell>
          <cell r="C129" t="str">
            <v>Khối sản xuất</v>
          </cell>
          <cell r="D129" t="str">
            <v>Thạch Chane Bô Rết</v>
          </cell>
          <cell r="E129" t="str">
            <v>SX</v>
          </cell>
          <cell r="F129">
            <v>45733</v>
          </cell>
          <cell r="G129"/>
          <cell r="H129">
            <v>7</v>
          </cell>
          <cell r="I129" t="str">
            <v>x</v>
          </cell>
          <cell r="J129">
            <v>0</v>
          </cell>
          <cell r="K129">
            <v>0</v>
          </cell>
          <cell r="L129"/>
          <cell r="M129">
            <v>0</v>
          </cell>
          <cell r="N129">
            <v>0</v>
          </cell>
          <cell r="O129" t="str">
            <v>x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/>
          <cell r="U129"/>
          <cell r="V129"/>
          <cell r="W129"/>
          <cell r="X129"/>
          <cell r="Y129">
            <v>0</v>
          </cell>
          <cell r="Z129">
            <v>8</v>
          </cell>
          <cell r="AA129" t="str">
            <v>x</v>
          </cell>
          <cell r="AB129">
            <v>0</v>
          </cell>
          <cell r="AC129">
            <v>0</v>
          </cell>
          <cell r="AD129"/>
          <cell r="AE129">
            <v>0</v>
          </cell>
          <cell r="AF129">
            <v>26</v>
          </cell>
          <cell r="AG129">
            <v>0</v>
          </cell>
          <cell r="AH129">
            <v>1</v>
          </cell>
          <cell r="AI129">
            <v>0</v>
          </cell>
          <cell r="AJ129"/>
          <cell r="AK129">
            <v>1</v>
          </cell>
          <cell r="AL129">
            <v>22</v>
          </cell>
          <cell r="AM129">
            <v>0</v>
          </cell>
          <cell r="AN129">
            <v>1</v>
          </cell>
          <cell r="AO129">
            <v>1</v>
          </cell>
          <cell r="AP129"/>
          <cell r="AQ129">
            <v>1</v>
          </cell>
          <cell r="AR129">
            <v>27</v>
          </cell>
          <cell r="AS129">
            <v>0</v>
          </cell>
          <cell r="AT129">
            <v>1</v>
          </cell>
          <cell r="AU129">
            <v>0</v>
          </cell>
          <cell r="AV129"/>
          <cell r="AW129">
            <v>2</v>
          </cell>
          <cell r="AX129">
            <v>26</v>
          </cell>
          <cell r="AY129">
            <v>0</v>
          </cell>
          <cell r="AZ129">
            <v>1</v>
          </cell>
          <cell r="BA129">
            <v>0</v>
          </cell>
          <cell r="BB129"/>
          <cell r="BC129">
            <v>10</v>
          </cell>
          <cell r="BD129">
            <v>26</v>
          </cell>
          <cell r="BE129">
            <v>0</v>
          </cell>
          <cell r="BF129">
            <v>1</v>
          </cell>
          <cell r="BG129">
            <v>0</v>
          </cell>
          <cell r="BH129"/>
          <cell r="BI129">
            <v>4</v>
          </cell>
          <cell r="BJ129">
            <v>26</v>
          </cell>
          <cell r="BK129">
            <v>0</v>
          </cell>
          <cell r="BL129">
            <v>1</v>
          </cell>
          <cell r="BM129">
            <v>0</v>
          </cell>
          <cell r="BN129"/>
          <cell r="BO129">
            <v>4</v>
          </cell>
          <cell r="BP129">
            <v>26</v>
          </cell>
          <cell r="BQ129">
            <v>0</v>
          </cell>
          <cell r="BR129">
            <v>1</v>
          </cell>
          <cell r="BS129">
            <v>0</v>
          </cell>
          <cell r="BT129"/>
          <cell r="BU129">
            <v>5</v>
          </cell>
          <cell r="BV129">
            <v>26</v>
          </cell>
          <cell r="BW129">
            <v>0</v>
          </cell>
          <cell r="BX129">
            <v>1</v>
          </cell>
          <cell r="BY129">
            <v>0</v>
          </cell>
          <cell r="BZ129"/>
          <cell r="CA129">
            <v>6</v>
          </cell>
          <cell r="CB129">
            <v>26</v>
          </cell>
          <cell r="CC129">
            <v>0</v>
          </cell>
          <cell r="CD129">
            <v>1</v>
          </cell>
          <cell r="CE129">
            <v>0</v>
          </cell>
          <cell r="CF129"/>
          <cell r="CG129">
            <v>7</v>
          </cell>
          <cell r="CH129">
            <v>25</v>
          </cell>
          <cell r="CI129">
            <v>0</v>
          </cell>
          <cell r="CJ129">
            <v>1</v>
          </cell>
          <cell r="CK129">
            <v>0</v>
          </cell>
          <cell r="CL129"/>
          <cell r="CM129">
            <v>1</v>
          </cell>
          <cell r="CN129">
            <v>18</v>
          </cell>
          <cell r="CO129">
            <v>0</v>
          </cell>
          <cell r="CP129">
            <v>1</v>
          </cell>
          <cell r="CQ129">
            <v>1</v>
          </cell>
          <cell r="CR129"/>
          <cell r="CS129">
            <v>1</v>
          </cell>
          <cell r="CT129">
            <v>22.5</v>
          </cell>
          <cell r="CU129">
            <v>0</v>
          </cell>
          <cell r="CV129">
            <v>1</v>
          </cell>
          <cell r="CW129">
            <v>1</v>
          </cell>
          <cell r="CX129"/>
          <cell r="CY129">
            <v>1</v>
          </cell>
          <cell r="CZ129">
            <v>27</v>
          </cell>
          <cell r="DA129">
            <v>0</v>
          </cell>
          <cell r="DB129">
            <v>1</v>
          </cell>
          <cell r="DC129">
            <v>0</v>
          </cell>
          <cell r="DD129"/>
          <cell r="DE129">
            <v>2</v>
          </cell>
          <cell r="DF129">
            <v>25</v>
          </cell>
          <cell r="DG129">
            <v>0</v>
          </cell>
          <cell r="DH129">
            <v>1</v>
          </cell>
          <cell r="DI129">
            <v>0</v>
          </cell>
          <cell r="DJ129"/>
          <cell r="DK129">
            <v>3</v>
          </cell>
        </row>
        <row r="130">
          <cell r="B130" t="str">
            <v>CN1477</v>
          </cell>
          <cell r="C130" t="str">
            <v>Khối sản xuất</v>
          </cell>
          <cell r="D130" t="str">
            <v>Nguyễn Thị Thanh Tuyết</v>
          </cell>
          <cell r="E130" t="str">
            <v>SX</v>
          </cell>
          <cell r="F130">
            <v>45743</v>
          </cell>
          <cell r="G130"/>
          <cell r="H130">
            <v>25</v>
          </cell>
          <cell r="I130" t="str">
            <v>x</v>
          </cell>
          <cell r="J130">
            <v>0</v>
          </cell>
          <cell r="K130">
            <v>0</v>
          </cell>
          <cell r="L130"/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 t="e">
            <v>#REF!</v>
          </cell>
          <cell r="U130" t="str">
            <v>x</v>
          </cell>
          <cell r="V130">
            <v>0</v>
          </cell>
          <cell r="W130" t="e">
            <v>#REF!</v>
          </cell>
          <cell r="X130"/>
          <cell r="Y130">
            <v>0</v>
          </cell>
          <cell r="Z130">
            <v>13</v>
          </cell>
          <cell r="AA130" t="str">
            <v>x</v>
          </cell>
          <cell r="AB130">
            <v>0</v>
          </cell>
          <cell r="AC130">
            <v>0</v>
          </cell>
          <cell r="AD130"/>
          <cell r="AE130">
            <v>0</v>
          </cell>
          <cell r="AF130">
            <v>25</v>
          </cell>
          <cell r="AG130">
            <v>0</v>
          </cell>
          <cell r="AH130">
            <v>1</v>
          </cell>
          <cell r="AI130">
            <v>0</v>
          </cell>
          <cell r="AJ130"/>
          <cell r="AK130">
            <v>1</v>
          </cell>
          <cell r="AL130">
            <v>23</v>
          </cell>
          <cell r="AM130">
            <v>0</v>
          </cell>
          <cell r="AN130">
            <v>1</v>
          </cell>
          <cell r="AO130">
            <v>0</v>
          </cell>
          <cell r="AP130"/>
          <cell r="AQ130">
            <v>2</v>
          </cell>
          <cell r="AR130">
            <v>25.833333333333336</v>
          </cell>
          <cell r="AS130">
            <v>0</v>
          </cell>
          <cell r="AT130">
            <v>1</v>
          </cell>
          <cell r="AU130">
            <v>1</v>
          </cell>
          <cell r="AV130"/>
          <cell r="AW130">
            <v>2</v>
          </cell>
          <cell r="AX130">
            <v>26</v>
          </cell>
          <cell r="AY130">
            <v>0</v>
          </cell>
          <cell r="AZ130">
            <v>1</v>
          </cell>
          <cell r="BA130">
            <v>0</v>
          </cell>
          <cell r="BB130"/>
          <cell r="BC130">
            <v>8</v>
          </cell>
          <cell r="BD130">
            <v>26</v>
          </cell>
          <cell r="BE130">
            <v>0</v>
          </cell>
          <cell r="BF130">
            <v>1</v>
          </cell>
          <cell r="BG130">
            <v>0</v>
          </cell>
          <cell r="BH130"/>
          <cell r="BI130">
            <v>4</v>
          </cell>
          <cell r="BJ130">
            <v>25</v>
          </cell>
          <cell r="BK130">
            <v>0</v>
          </cell>
          <cell r="BL130">
            <v>1</v>
          </cell>
          <cell r="BM130">
            <v>1</v>
          </cell>
          <cell r="BN130"/>
          <cell r="BO130">
            <v>3</v>
          </cell>
          <cell r="BP130">
            <v>25</v>
          </cell>
          <cell r="BQ130">
            <v>0</v>
          </cell>
          <cell r="BR130">
            <v>1</v>
          </cell>
          <cell r="BS130">
            <v>1</v>
          </cell>
          <cell r="BT130"/>
          <cell r="BU130">
            <v>4</v>
          </cell>
          <cell r="BV130">
            <v>25</v>
          </cell>
          <cell r="BW130">
            <v>0</v>
          </cell>
          <cell r="BX130">
            <v>1</v>
          </cell>
          <cell r="BY130">
            <v>1</v>
          </cell>
          <cell r="BZ130"/>
          <cell r="CA130">
            <v>4</v>
          </cell>
          <cell r="CB130">
            <v>26</v>
          </cell>
          <cell r="CC130">
            <v>0</v>
          </cell>
          <cell r="CD130">
            <v>1</v>
          </cell>
          <cell r="CE130">
            <v>0</v>
          </cell>
          <cell r="CF130"/>
          <cell r="CG130">
            <v>5</v>
          </cell>
          <cell r="CH130">
            <v>24</v>
          </cell>
          <cell r="CI130">
            <v>0</v>
          </cell>
          <cell r="CJ130">
            <v>1</v>
          </cell>
          <cell r="CK130">
            <v>1</v>
          </cell>
          <cell r="CL130"/>
          <cell r="CM130">
            <v>0</v>
          </cell>
          <cell r="CN130">
            <v>20</v>
          </cell>
          <cell r="CO130">
            <v>0</v>
          </cell>
          <cell r="CP130">
            <v>1</v>
          </cell>
          <cell r="CQ130">
            <v>1</v>
          </cell>
          <cell r="CR130"/>
          <cell r="CS130">
            <v>0</v>
          </cell>
          <cell r="CT130">
            <v>23</v>
          </cell>
          <cell r="CU130">
            <v>0</v>
          </cell>
          <cell r="CV130">
            <v>1</v>
          </cell>
          <cell r="CW130">
            <v>1</v>
          </cell>
          <cell r="CX130"/>
          <cell r="CY130">
            <v>0</v>
          </cell>
          <cell r="CZ130">
            <v>27</v>
          </cell>
          <cell r="DA130">
            <v>0</v>
          </cell>
          <cell r="DB130">
            <v>1</v>
          </cell>
          <cell r="DC130">
            <v>0</v>
          </cell>
          <cell r="DD130"/>
          <cell r="DE130">
            <v>1</v>
          </cell>
          <cell r="DF130">
            <v>25</v>
          </cell>
          <cell r="DG130">
            <v>0</v>
          </cell>
          <cell r="DH130">
            <v>1</v>
          </cell>
          <cell r="DI130">
            <v>0</v>
          </cell>
          <cell r="DJ130"/>
          <cell r="DK130">
            <v>2</v>
          </cell>
        </row>
        <row r="131">
          <cell r="B131" t="str">
            <v>CN1495</v>
          </cell>
          <cell r="C131" t="str">
            <v>Khối sản xuất</v>
          </cell>
          <cell r="D131" t="str">
            <v>Trần Bé Trai</v>
          </cell>
          <cell r="E131" t="str">
            <v>SX</v>
          </cell>
          <cell r="F131">
            <v>45762</v>
          </cell>
          <cell r="G131"/>
          <cell r="H131">
            <v>7</v>
          </cell>
          <cell r="I131" t="str">
            <v>x</v>
          </cell>
          <cell r="J131">
            <v>0</v>
          </cell>
          <cell r="K131">
            <v>0</v>
          </cell>
          <cell r="L131"/>
          <cell r="M131">
            <v>0</v>
          </cell>
          <cell r="N131">
            <v>0</v>
          </cell>
          <cell r="O131" t="str">
            <v>x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/>
          <cell r="U131"/>
          <cell r="V131"/>
          <cell r="W131"/>
          <cell r="X131"/>
          <cell r="Y131">
            <v>0</v>
          </cell>
          <cell r="Z131">
            <v>2</v>
          </cell>
          <cell r="AA131" t="str">
            <v>x</v>
          </cell>
          <cell r="AB131">
            <v>0</v>
          </cell>
          <cell r="AC131">
            <v>0</v>
          </cell>
          <cell r="AD131"/>
          <cell r="AE131">
            <v>0</v>
          </cell>
          <cell r="AF131">
            <v>10</v>
          </cell>
          <cell r="AG131" t="str">
            <v>x</v>
          </cell>
          <cell r="AH131">
            <v>0</v>
          </cell>
          <cell r="AI131">
            <v>0</v>
          </cell>
          <cell r="AJ131"/>
          <cell r="AK131">
            <v>0</v>
          </cell>
          <cell r="AL131">
            <v>23</v>
          </cell>
          <cell r="AM131" t="str">
            <v>x</v>
          </cell>
          <cell r="AN131">
            <v>0</v>
          </cell>
          <cell r="AO131">
            <v>0</v>
          </cell>
          <cell r="AP131"/>
          <cell r="AQ131">
            <v>0</v>
          </cell>
          <cell r="AR131">
            <v>24</v>
          </cell>
          <cell r="AS131">
            <v>0</v>
          </cell>
          <cell r="AT131">
            <v>1</v>
          </cell>
          <cell r="AU131">
            <v>1</v>
          </cell>
          <cell r="AV131"/>
          <cell r="AW131">
            <v>0</v>
          </cell>
          <cell r="AX131">
            <v>26</v>
          </cell>
          <cell r="AY131">
            <v>0</v>
          </cell>
          <cell r="AZ131">
            <v>1</v>
          </cell>
          <cell r="BA131">
            <v>0</v>
          </cell>
          <cell r="BB131"/>
          <cell r="BC131">
            <v>6</v>
          </cell>
          <cell r="BD131">
            <v>26</v>
          </cell>
          <cell r="BE131">
            <v>0</v>
          </cell>
          <cell r="BF131">
            <v>1</v>
          </cell>
          <cell r="BG131">
            <v>0</v>
          </cell>
          <cell r="BH131"/>
          <cell r="BI131">
            <v>2</v>
          </cell>
          <cell r="BJ131">
            <v>26</v>
          </cell>
          <cell r="BK131">
            <v>0</v>
          </cell>
          <cell r="BL131">
            <v>1</v>
          </cell>
          <cell r="BM131">
            <v>0</v>
          </cell>
          <cell r="BN131"/>
          <cell r="BO131">
            <v>2</v>
          </cell>
          <cell r="BP131">
            <v>26</v>
          </cell>
          <cell r="BQ131">
            <v>0</v>
          </cell>
          <cell r="BR131">
            <v>1</v>
          </cell>
          <cell r="BS131">
            <v>0</v>
          </cell>
          <cell r="BT131"/>
          <cell r="BU131">
            <v>3</v>
          </cell>
          <cell r="BV131">
            <v>26</v>
          </cell>
          <cell r="BW131">
            <v>0</v>
          </cell>
          <cell r="BX131">
            <v>1</v>
          </cell>
          <cell r="BY131">
            <v>0</v>
          </cell>
          <cell r="BZ131"/>
          <cell r="CA131">
            <v>4</v>
          </cell>
          <cell r="CB131">
            <v>23</v>
          </cell>
          <cell r="CC131">
            <v>0</v>
          </cell>
          <cell r="CD131">
            <v>1</v>
          </cell>
          <cell r="CE131">
            <v>0</v>
          </cell>
          <cell r="CF131"/>
          <cell r="CG131">
            <v>5</v>
          </cell>
          <cell r="CH131">
            <v>24</v>
          </cell>
          <cell r="CI131">
            <v>0</v>
          </cell>
          <cell r="CJ131">
            <v>1</v>
          </cell>
          <cell r="CK131">
            <v>1</v>
          </cell>
          <cell r="CL131"/>
          <cell r="CM131">
            <v>0</v>
          </cell>
          <cell r="CN131">
            <v>21</v>
          </cell>
          <cell r="CO131">
            <v>0</v>
          </cell>
          <cell r="CP131">
            <v>1</v>
          </cell>
          <cell r="CQ131">
            <v>1</v>
          </cell>
          <cell r="CR131"/>
          <cell r="CS131">
            <v>0</v>
          </cell>
          <cell r="CT131">
            <v>24</v>
          </cell>
          <cell r="CU131">
            <v>0</v>
          </cell>
          <cell r="CV131">
            <v>1</v>
          </cell>
          <cell r="CW131">
            <v>0</v>
          </cell>
          <cell r="CX131"/>
          <cell r="CY131">
            <v>1</v>
          </cell>
          <cell r="CZ131">
            <v>27</v>
          </cell>
          <cell r="DA131">
            <v>0</v>
          </cell>
          <cell r="DB131">
            <v>1</v>
          </cell>
          <cell r="DC131">
            <v>0</v>
          </cell>
          <cell r="DD131"/>
          <cell r="DE131">
            <v>2</v>
          </cell>
          <cell r="DF131">
            <v>25</v>
          </cell>
          <cell r="DG131">
            <v>0</v>
          </cell>
          <cell r="DH131">
            <v>1</v>
          </cell>
          <cell r="DI131">
            <v>0</v>
          </cell>
          <cell r="DJ131"/>
          <cell r="DK131">
            <v>3</v>
          </cell>
        </row>
        <row r="132">
          <cell r="B132" t="str">
            <v>CN1498</v>
          </cell>
          <cell r="C132" t="str">
            <v>Khối sản xuất</v>
          </cell>
          <cell r="D132" t="str">
            <v>Điền Thanh Tiền</v>
          </cell>
          <cell r="E132" t="str">
            <v>SX</v>
          </cell>
          <cell r="F132">
            <v>45762</v>
          </cell>
          <cell r="G132"/>
          <cell r="H132">
            <v>7</v>
          </cell>
          <cell r="I132" t="str">
            <v>x</v>
          </cell>
          <cell r="J132">
            <v>0</v>
          </cell>
          <cell r="K132">
            <v>0</v>
          </cell>
          <cell r="L132"/>
          <cell r="M132">
            <v>0</v>
          </cell>
          <cell r="N132">
            <v>0</v>
          </cell>
          <cell r="O132" t="str">
            <v>x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/>
          <cell r="U132"/>
          <cell r="V132"/>
          <cell r="W132"/>
          <cell r="X132"/>
          <cell r="Y132">
            <v>0</v>
          </cell>
          <cell r="Z132">
            <v>8</v>
          </cell>
          <cell r="AA132" t="str">
            <v>x</v>
          </cell>
          <cell r="AB132">
            <v>0</v>
          </cell>
          <cell r="AC132">
            <v>0</v>
          </cell>
          <cell r="AD132"/>
          <cell r="AE132">
            <v>0</v>
          </cell>
          <cell r="AF132">
            <v>10</v>
          </cell>
          <cell r="AG132" t="str">
            <v>x</v>
          </cell>
          <cell r="AH132">
            <v>0</v>
          </cell>
          <cell r="AI132">
            <v>0</v>
          </cell>
          <cell r="AJ132"/>
          <cell r="AK132">
            <v>1</v>
          </cell>
          <cell r="AL132">
            <v>22</v>
          </cell>
          <cell r="AM132" t="str">
            <v>x</v>
          </cell>
          <cell r="AN132">
            <v>0</v>
          </cell>
          <cell r="AO132">
            <v>1</v>
          </cell>
          <cell r="AP132"/>
          <cell r="AQ132">
            <v>0</v>
          </cell>
          <cell r="AR132">
            <v>27</v>
          </cell>
          <cell r="AS132">
            <v>0</v>
          </cell>
          <cell r="AT132">
            <v>1</v>
          </cell>
          <cell r="AU132">
            <v>0</v>
          </cell>
          <cell r="AV132"/>
          <cell r="AW132">
            <v>1</v>
          </cell>
          <cell r="AX132">
            <v>26</v>
          </cell>
          <cell r="AY132">
            <v>0</v>
          </cell>
          <cell r="AZ132">
            <v>1</v>
          </cell>
          <cell r="BA132">
            <v>0</v>
          </cell>
          <cell r="BB132"/>
          <cell r="BC132">
            <v>7</v>
          </cell>
          <cell r="BD132">
            <v>25</v>
          </cell>
          <cell r="BE132">
            <v>0</v>
          </cell>
          <cell r="BF132">
            <v>1</v>
          </cell>
          <cell r="BG132">
            <v>1</v>
          </cell>
          <cell r="BH132"/>
          <cell r="BI132">
            <v>2</v>
          </cell>
          <cell r="BJ132">
            <v>26</v>
          </cell>
          <cell r="BK132">
            <v>0</v>
          </cell>
          <cell r="BL132">
            <v>1</v>
          </cell>
          <cell r="BM132">
            <v>0</v>
          </cell>
          <cell r="BN132"/>
          <cell r="BO132">
            <v>3</v>
          </cell>
          <cell r="BP132">
            <v>26</v>
          </cell>
          <cell r="BQ132">
            <v>0</v>
          </cell>
          <cell r="BR132">
            <v>1</v>
          </cell>
          <cell r="BS132">
            <v>0</v>
          </cell>
          <cell r="BT132"/>
          <cell r="BU132">
            <v>4</v>
          </cell>
          <cell r="BV132">
            <v>25</v>
          </cell>
          <cell r="BW132">
            <v>0</v>
          </cell>
          <cell r="BX132">
            <v>1</v>
          </cell>
          <cell r="BY132">
            <v>1</v>
          </cell>
          <cell r="BZ132"/>
          <cell r="CA132">
            <v>4</v>
          </cell>
          <cell r="CB132">
            <v>26</v>
          </cell>
          <cell r="CC132">
            <v>0</v>
          </cell>
          <cell r="CD132">
            <v>1</v>
          </cell>
          <cell r="CE132">
            <v>0</v>
          </cell>
          <cell r="CF132"/>
          <cell r="CG132">
            <v>5</v>
          </cell>
          <cell r="CH132">
            <v>24</v>
          </cell>
          <cell r="CI132">
            <v>0</v>
          </cell>
          <cell r="CJ132">
            <v>1</v>
          </cell>
          <cell r="CK132">
            <v>0</v>
          </cell>
          <cell r="CL132"/>
          <cell r="CM132">
            <v>1</v>
          </cell>
          <cell r="CN132">
            <v>20</v>
          </cell>
          <cell r="CO132">
            <v>0</v>
          </cell>
          <cell r="CP132">
            <v>1</v>
          </cell>
          <cell r="CQ132">
            <v>1</v>
          </cell>
          <cell r="CR132"/>
          <cell r="CS132">
            <v>1</v>
          </cell>
          <cell r="CT132">
            <v>24</v>
          </cell>
          <cell r="CU132">
            <v>0</v>
          </cell>
          <cell r="CV132">
            <v>1</v>
          </cell>
          <cell r="CW132">
            <v>0</v>
          </cell>
          <cell r="CX132"/>
          <cell r="CY132">
            <v>2</v>
          </cell>
          <cell r="CZ132">
            <v>26.833333333333336</v>
          </cell>
          <cell r="DA132">
            <v>0</v>
          </cell>
          <cell r="DB132">
            <v>1</v>
          </cell>
          <cell r="DC132">
            <v>0</v>
          </cell>
          <cell r="DD132"/>
          <cell r="DE132">
            <v>3</v>
          </cell>
          <cell r="DF132">
            <v>7</v>
          </cell>
          <cell r="DG132">
            <v>0</v>
          </cell>
          <cell r="DH132">
            <v>0</v>
          </cell>
          <cell r="DI132">
            <v>2</v>
          </cell>
          <cell r="DJ132"/>
          <cell r="DK132">
            <v>1</v>
          </cell>
        </row>
        <row r="133">
          <cell r="B133" t="str">
            <v>CN0764</v>
          </cell>
          <cell r="C133" t="str">
            <v>Khối sản xuất</v>
          </cell>
          <cell r="D133" t="str">
            <v>Lâm Luân</v>
          </cell>
          <cell r="E133" t="str">
            <v>SX</v>
          </cell>
          <cell r="F133">
            <v>45790</v>
          </cell>
          <cell r="G133"/>
          <cell r="H133">
            <v>7</v>
          </cell>
          <cell r="I133" t="str">
            <v>x</v>
          </cell>
          <cell r="J133">
            <v>0</v>
          </cell>
          <cell r="K133">
            <v>0</v>
          </cell>
          <cell r="L133"/>
          <cell r="M133">
            <v>0</v>
          </cell>
          <cell r="N133">
            <v>0</v>
          </cell>
          <cell r="O133" t="str">
            <v>x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/>
          <cell r="U133"/>
          <cell r="V133"/>
          <cell r="W133"/>
          <cell r="X133"/>
          <cell r="Y133">
            <v>0</v>
          </cell>
          <cell r="Z133">
            <v>8</v>
          </cell>
          <cell r="AA133" t="str">
            <v>x</v>
          </cell>
          <cell r="AB133">
            <v>0</v>
          </cell>
          <cell r="AC133">
            <v>0</v>
          </cell>
          <cell r="AD133"/>
          <cell r="AE133">
            <v>0</v>
          </cell>
          <cell r="AF133">
            <v>22</v>
          </cell>
          <cell r="AG133" t="str">
            <v>x</v>
          </cell>
          <cell r="AH133">
            <v>0</v>
          </cell>
          <cell r="AI133">
            <v>0</v>
          </cell>
          <cell r="AJ133"/>
          <cell r="AK133">
            <v>0</v>
          </cell>
          <cell r="AL133">
            <v>11</v>
          </cell>
          <cell r="AM133" t="str">
            <v>x</v>
          </cell>
          <cell r="AN133">
            <v>0</v>
          </cell>
          <cell r="AO133">
            <v>0</v>
          </cell>
          <cell r="AP133"/>
          <cell r="AQ133">
            <v>0</v>
          </cell>
          <cell r="AR133">
            <v>26.166666666666664</v>
          </cell>
          <cell r="AS133" t="str">
            <v>x</v>
          </cell>
          <cell r="AT133">
            <v>0</v>
          </cell>
          <cell r="AU133">
            <v>0</v>
          </cell>
          <cell r="AV133"/>
          <cell r="AW133">
            <v>0</v>
          </cell>
          <cell r="AX133">
            <v>25</v>
          </cell>
          <cell r="AY133">
            <v>0</v>
          </cell>
          <cell r="AZ133">
            <v>1</v>
          </cell>
          <cell r="BA133">
            <v>0</v>
          </cell>
          <cell r="BB133"/>
          <cell r="BC133">
            <v>1</v>
          </cell>
          <cell r="BD133">
            <v>23.833333333333332</v>
          </cell>
          <cell r="BE133">
            <v>0</v>
          </cell>
          <cell r="BF133">
            <v>1</v>
          </cell>
          <cell r="BG133">
            <v>1</v>
          </cell>
          <cell r="BH133"/>
          <cell r="BI133">
            <v>1</v>
          </cell>
          <cell r="BJ133">
            <v>24.583333333333336</v>
          </cell>
          <cell r="BK133">
            <v>0</v>
          </cell>
          <cell r="BL133">
            <v>1</v>
          </cell>
          <cell r="BM133">
            <v>0</v>
          </cell>
          <cell r="BN133"/>
          <cell r="BO133">
            <v>2</v>
          </cell>
          <cell r="BP133">
            <v>24.583333333333336</v>
          </cell>
          <cell r="BQ133">
            <v>0</v>
          </cell>
          <cell r="BR133">
            <v>1</v>
          </cell>
          <cell r="BS133">
            <v>0</v>
          </cell>
          <cell r="BT133"/>
          <cell r="BU133">
            <v>3</v>
          </cell>
          <cell r="BV133">
            <v>24.083333333333332</v>
          </cell>
          <cell r="BW133">
            <v>0</v>
          </cell>
          <cell r="BX133">
            <v>1</v>
          </cell>
          <cell r="BY133">
            <v>1</v>
          </cell>
          <cell r="BZ133"/>
          <cell r="CA133">
            <v>3</v>
          </cell>
          <cell r="CB133">
            <v>20.583333333333332</v>
          </cell>
          <cell r="CC133">
            <v>0</v>
          </cell>
          <cell r="CD133">
            <v>1</v>
          </cell>
          <cell r="CE133">
            <v>4</v>
          </cell>
          <cell r="CF133"/>
          <cell r="CG133">
            <v>0</v>
          </cell>
          <cell r="CH133">
            <v>20.916666666666664</v>
          </cell>
          <cell r="CI133">
            <v>0</v>
          </cell>
          <cell r="CJ133">
            <v>1</v>
          </cell>
          <cell r="CK133">
            <v>0</v>
          </cell>
          <cell r="CL133"/>
          <cell r="CM133">
            <v>1</v>
          </cell>
          <cell r="CN133">
            <v>17.666666666666668</v>
          </cell>
          <cell r="CO133">
            <v>0</v>
          </cell>
          <cell r="CP133">
            <v>1</v>
          </cell>
          <cell r="CQ133">
            <v>1</v>
          </cell>
          <cell r="CR133"/>
          <cell r="CS133">
            <v>1</v>
          </cell>
          <cell r="CT133">
            <v>22</v>
          </cell>
          <cell r="CU133">
            <v>0</v>
          </cell>
          <cell r="CV133">
            <v>1</v>
          </cell>
          <cell r="CW133">
            <v>0</v>
          </cell>
          <cell r="CX133"/>
          <cell r="CY133">
            <v>2</v>
          </cell>
          <cell r="CZ133">
            <v>25.666666666666668</v>
          </cell>
          <cell r="DA133">
            <v>0</v>
          </cell>
          <cell r="DB133">
            <v>1</v>
          </cell>
          <cell r="DC133">
            <v>0</v>
          </cell>
          <cell r="DD133"/>
          <cell r="DE133">
            <v>3</v>
          </cell>
          <cell r="DF133">
            <v>23</v>
          </cell>
          <cell r="DG133">
            <v>0</v>
          </cell>
          <cell r="DH133">
            <v>1</v>
          </cell>
          <cell r="DI133">
            <v>1</v>
          </cell>
          <cell r="DJ133"/>
          <cell r="DK133">
            <v>3</v>
          </cell>
        </row>
        <row r="134">
          <cell r="B134" t="str">
            <v>CN1509</v>
          </cell>
          <cell r="C134" t="str">
            <v>Khối sản xuất</v>
          </cell>
          <cell r="D134" t="str">
            <v>Trương Tuấn Thanh</v>
          </cell>
          <cell r="E134" t="str">
            <v>SX</v>
          </cell>
          <cell r="F134">
            <v>45782</v>
          </cell>
          <cell r="G134"/>
          <cell r="H134">
            <v>7</v>
          </cell>
          <cell r="I134" t="str">
            <v>x</v>
          </cell>
          <cell r="J134">
            <v>0</v>
          </cell>
          <cell r="K134">
            <v>0</v>
          </cell>
          <cell r="L134"/>
          <cell r="M134">
            <v>0</v>
          </cell>
          <cell r="N134">
            <v>0</v>
          </cell>
          <cell r="O134" t="str">
            <v>x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/>
          <cell r="U134"/>
          <cell r="V134"/>
          <cell r="W134"/>
          <cell r="X134"/>
          <cell r="Y134">
            <v>0</v>
          </cell>
          <cell r="Z134">
            <v>7</v>
          </cell>
          <cell r="AA134" t="str">
            <v>x</v>
          </cell>
          <cell r="AB134">
            <v>0</v>
          </cell>
          <cell r="AC134">
            <v>0</v>
          </cell>
          <cell r="AD134"/>
          <cell r="AE134">
            <v>0</v>
          </cell>
          <cell r="AF134">
            <v>19</v>
          </cell>
          <cell r="AG134" t="str">
            <v>x</v>
          </cell>
          <cell r="AH134">
            <v>0</v>
          </cell>
          <cell r="AI134">
            <v>0</v>
          </cell>
          <cell r="AJ134"/>
          <cell r="AK134">
            <v>0</v>
          </cell>
          <cell r="AL134">
            <v>18</v>
          </cell>
          <cell r="AM134" t="str">
            <v>x</v>
          </cell>
          <cell r="AN134">
            <v>0</v>
          </cell>
          <cell r="AO134">
            <v>0</v>
          </cell>
          <cell r="AP134"/>
          <cell r="AQ134">
            <v>0</v>
          </cell>
          <cell r="AR134">
            <v>27</v>
          </cell>
          <cell r="AS134" t="str">
            <v>x</v>
          </cell>
          <cell r="AT134">
            <v>0</v>
          </cell>
          <cell r="AU134">
            <v>0</v>
          </cell>
          <cell r="AV134"/>
          <cell r="AW134">
            <v>0</v>
          </cell>
          <cell r="AX134">
            <v>27</v>
          </cell>
          <cell r="AY134">
            <v>0</v>
          </cell>
          <cell r="AZ134">
            <v>1</v>
          </cell>
          <cell r="BA134">
            <v>0</v>
          </cell>
          <cell r="BB134"/>
          <cell r="BC134">
            <v>2</v>
          </cell>
          <cell r="BD134">
            <v>26</v>
          </cell>
          <cell r="BE134">
            <v>0</v>
          </cell>
          <cell r="BF134">
            <v>1</v>
          </cell>
          <cell r="BG134">
            <v>0</v>
          </cell>
          <cell r="BH134"/>
          <cell r="BI134">
            <v>2</v>
          </cell>
          <cell r="BJ134">
            <v>25</v>
          </cell>
          <cell r="BK134">
            <v>0</v>
          </cell>
          <cell r="BL134">
            <v>1</v>
          </cell>
          <cell r="BM134">
            <v>1</v>
          </cell>
          <cell r="BN134"/>
          <cell r="BO134">
            <v>1</v>
          </cell>
          <cell r="BP134">
            <v>25</v>
          </cell>
          <cell r="BQ134">
            <v>0</v>
          </cell>
          <cell r="BR134">
            <v>1</v>
          </cell>
          <cell r="BS134">
            <v>1</v>
          </cell>
          <cell r="BT134"/>
          <cell r="BU134">
            <v>2</v>
          </cell>
          <cell r="BV134">
            <v>25</v>
          </cell>
          <cell r="BW134">
            <v>0</v>
          </cell>
          <cell r="BX134">
            <v>1</v>
          </cell>
          <cell r="BY134">
            <v>1</v>
          </cell>
          <cell r="BZ134"/>
          <cell r="CA134">
            <v>2</v>
          </cell>
          <cell r="CB134">
            <v>24</v>
          </cell>
          <cell r="CC134">
            <v>0</v>
          </cell>
          <cell r="CD134">
            <v>1</v>
          </cell>
          <cell r="CE134">
            <v>2</v>
          </cell>
          <cell r="CF134"/>
          <cell r="CG134">
            <v>1</v>
          </cell>
          <cell r="CH134">
            <v>24.833333333333336</v>
          </cell>
          <cell r="CI134">
            <v>0</v>
          </cell>
          <cell r="CJ134">
            <v>1</v>
          </cell>
          <cell r="CK134">
            <v>1</v>
          </cell>
          <cell r="CL134"/>
          <cell r="CM134">
            <v>0</v>
          </cell>
          <cell r="CN134">
            <v>20</v>
          </cell>
          <cell r="CO134">
            <v>0</v>
          </cell>
          <cell r="CP134">
            <v>1</v>
          </cell>
          <cell r="CQ134">
            <v>1</v>
          </cell>
          <cell r="CR134"/>
          <cell r="CS134">
            <v>0</v>
          </cell>
          <cell r="CT134">
            <v>24</v>
          </cell>
          <cell r="CU134">
            <v>0</v>
          </cell>
          <cell r="CV134">
            <v>1</v>
          </cell>
          <cell r="CW134">
            <v>0</v>
          </cell>
          <cell r="CX134"/>
          <cell r="CY134">
            <v>1</v>
          </cell>
          <cell r="CZ134">
            <v>27</v>
          </cell>
          <cell r="DA134">
            <v>0</v>
          </cell>
          <cell r="DB134">
            <v>1</v>
          </cell>
          <cell r="DC134">
            <v>0</v>
          </cell>
          <cell r="DD134"/>
          <cell r="DE134">
            <v>2</v>
          </cell>
          <cell r="DF134">
            <v>25</v>
          </cell>
          <cell r="DG134">
            <v>0</v>
          </cell>
          <cell r="DH134">
            <v>1</v>
          </cell>
          <cell r="DI134">
            <v>0</v>
          </cell>
          <cell r="DJ134"/>
          <cell r="DK134">
            <v>3</v>
          </cell>
        </row>
        <row r="135">
          <cell r="B135" t="str">
            <v>CN1512</v>
          </cell>
          <cell r="C135" t="str">
            <v>Khối sản xuất</v>
          </cell>
          <cell r="D135" t="str">
            <v>Nguyễn Đăng Tính</v>
          </cell>
          <cell r="E135" t="str">
            <v>SX</v>
          </cell>
          <cell r="F135">
            <v>45783</v>
          </cell>
          <cell r="G135"/>
          <cell r="H135">
            <v>7</v>
          </cell>
          <cell r="I135" t="str">
            <v>x</v>
          </cell>
          <cell r="J135">
            <v>0</v>
          </cell>
          <cell r="K135">
            <v>0</v>
          </cell>
          <cell r="L135"/>
          <cell r="M135">
            <v>0</v>
          </cell>
          <cell r="N135">
            <v>0</v>
          </cell>
          <cell r="O135" t="str">
            <v>x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/>
          <cell r="U135"/>
          <cell r="V135"/>
          <cell r="W135"/>
          <cell r="X135"/>
          <cell r="Y135">
            <v>0</v>
          </cell>
          <cell r="Z135">
            <v>3</v>
          </cell>
          <cell r="AA135" t="str">
            <v>x</v>
          </cell>
          <cell r="AB135">
            <v>0</v>
          </cell>
          <cell r="AC135">
            <v>0</v>
          </cell>
          <cell r="AD135"/>
          <cell r="AE135">
            <v>0</v>
          </cell>
          <cell r="AF135">
            <v>12</v>
          </cell>
          <cell r="AG135" t="str">
            <v>x</v>
          </cell>
          <cell r="AH135">
            <v>0</v>
          </cell>
          <cell r="AI135">
            <v>0</v>
          </cell>
          <cell r="AJ135"/>
          <cell r="AK135">
            <v>0</v>
          </cell>
          <cell r="AL135">
            <v>16</v>
          </cell>
          <cell r="AM135" t="str">
            <v>x</v>
          </cell>
          <cell r="AN135">
            <v>0</v>
          </cell>
          <cell r="AO135">
            <v>0</v>
          </cell>
          <cell r="AP135"/>
          <cell r="AQ135">
            <v>0</v>
          </cell>
          <cell r="AR135">
            <v>27</v>
          </cell>
          <cell r="AS135" t="str">
            <v>x</v>
          </cell>
          <cell r="AT135">
            <v>0</v>
          </cell>
          <cell r="AU135">
            <v>0</v>
          </cell>
          <cell r="AV135"/>
          <cell r="AW135">
            <v>0</v>
          </cell>
          <cell r="AX135">
            <v>24.75</v>
          </cell>
          <cell r="AY135">
            <v>0</v>
          </cell>
          <cell r="AZ135">
            <v>1</v>
          </cell>
          <cell r="BA135">
            <v>1</v>
          </cell>
          <cell r="BB135"/>
          <cell r="BC135">
            <v>3</v>
          </cell>
          <cell r="BD135">
            <v>26</v>
          </cell>
          <cell r="BE135">
            <v>0</v>
          </cell>
          <cell r="BF135">
            <v>1</v>
          </cell>
          <cell r="BG135">
            <v>0</v>
          </cell>
          <cell r="BH135"/>
          <cell r="BI135">
            <v>1</v>
          </cell>
          <cell r="BJ135">
            <v>25</v>
          </cell>
          <cell r="BK135">
            <v>0</v>
          </cell>
          <cell r="BL135">
            <v>1</v>
          </cell>
          <cell r="BM135">
            <v>0</v>
          </cell>
          <cell r="BN135"/>
          <cell r="BO135">
            <v>1</v>
          </cell>
          <cell r="BP135">
            <v>25</v>
          </cell>
          <cell r="BQ135">
            <v>0</v>
          </cell>
          <cell r="BR135">
            <v>1</v>
          </cell>
          <cell r="BS135">
            <v>0</v>
          </cell>
          <cell r="BT135"/>
          <cell r="BU135">
            <v>2</v>
          </cell>
          <cell r="BV135">
            <v>25</v>
          </cell>
          <cell r="BW135">
            <v>0</v>
          </cell>
          <cell r="BX135">
            <v>1</v>
          </cell>
          <cell r="BY135">
            <v>1</v>
          </cell>
          <cell r="BZ135"/>
          <cell r="CA135">
            <v>2</v>
          </cell>
          <cell r="CB135">
            <v>26</v>
          </cell>
          <cell r="CC135">
            <v>0</v>
          </cell>
          <cell r="CD135">
            <v>1</v>
          </cell>
          <cell r="CE135">
            <v>0</v>
          </cell>
          <cell r="CF135"/>
          <cell r="CG135">
            <v>3</v>
          </cell>
          <cell r="CH135">
            <v>24.666666666666664</v>
          </cell>
          <cell r="CI135">
            <v>0</v>
          </cell>
          <cell r="CJ135">
            <v>1</v>
          </cell>
          <cell r="CK135">
            <v>0</v>
          </cell>
          <cell r="CL135"/>
          <cell r="CM135">
            <v>1</v>
          </cell>
          <cell r="CN135">
            <v>20</v>
          </cell>
          <cell r="CO135">
            <v>0</v>
          </cell>
          <cell r="CP135">
            <v>1</v>
          </cell>
          <cell r="CQ135">
            <v>1</v>
          </cell>
          <cell r="CR135"/>
          <cell r="CS135">
            <v>1</v>
          </cell>
          <cell r="CT135">
            <v>24</v>
          </cell>
          <cell r="CU135">
            <v>0</v>
          </cell>
          <cell r="CV135">
            <v>1</v>
          </cell>
          <cell r="CW135">
            <v>0</v>
          </cell>
          <cell r="CX135"/>
          <cell r="CY135">
            <v>2</v>
          </cell>
          <cell r="CZ135">
            <v>25</v>
          </cell>
          <cell r="DA135">
            <v>0</v>
          </cell>
          <cell r="DB135">
            <v>1</v>
          </cell>
          <cell r="DC135">
            <v>2</v>
          </cell>
          <cell r="DD135"/>
          <cell r="DE135">
            <v>1</v>
          </cell>
          <cell r="DF135">
            <v>24</v>
          </cell>
          <cell r="DG135">
            <v>0</v>
          </cell>
          <cell r="DH135">
            <v>1</v>
          </cell>
          <cell r="DI135">
            <v>1</v>
          </cell>
          <cell r="DJ135"/>
          <cell r="DK135">
            <v>1</v>
          </cell>
        </row>
        <row r="136">
          <cell r="B136" t="str">
            <v>CN1519</v>
          </cell>
          <cell r="C136" t="str">
            <v>Khối sản xuất</v>
          </cell>
          <cell r="D136" t="str">
            <v>Phan Văn Nhiều</v>
          </cell>
          <cell r="E136" t="str">
            <v>SX</v>
          </cell>
          <cell r="F136">
            <v>45786</v>
          </cell>
          <cell r="G136"/>
          <cell r="H136">
            <v>7</v>
          </cell>
          <cell r="I136" t="str">
            <v>x</v>
          </cell>
          <cell r="J136">
            <v>0</v>
          </cell>
          <cell r="K136">
            <v>0</v>
          </cell>
          <cell r="L136"/>
          <cell r="M136">
            <v>0</v>
          </cell>
          <cell r="N136">
            <v>0</v>
          </cell>
          <cell r="O136" t="str">
            <v>x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/>
          <cell r="U136"/>
          <cell r="V136"/>
          <cell r="W136"/>
          <cell r="X136"/>
          <cell r="Y136">
            <v>0</v>
          </cell>
          <cell r="Z136">
            <v>7</v>
          </cell>
          <cell r="AA136" t="str">
            <v>x</v>
          </cell>
          <cell r="AB136">
            <v>0</v>
          </cell>
          <cell r="AC136">
            <v>0</v>
          </cell>
          <cell r="AD136"/>
          <cell r="AE136">
            <v>0</v>
          </cell>
          <cell r="AF136">
            <v>8</v>
          </cell>
          <cell r="AG136" t="str">
            <v>x</v>
          </cell>
          <cell r="AH136">
            <v>0</v>
          </cell>
          <cell r="AI136">
            <v>0</v>
          </cell>
          <cell r="AJ136"/>
          <cell r="AK136">
            <v>0</v>
          </cell>
          <cell r="AL136">
            <v>13</v>
          </cell>
          <cell r="AM136" t="str">
            <v>x</v>
          </cell>
          <cell r="AN136">
            <v>0</v>
          </cell>
          <cell r="AO136">
            <v>0</v>
          </cell>
          <cell r="AP136"/>
          <cell r="AQ136">
            <v>0</v>
          </cell>
          <cell r="AR136">
            <v>25</v>
          </cell>
          <cell r="AS136" t="str">
            <v>x</v>
          </cell>
          <cell r="AT136">
            <v>0</v>
          </cell>
          <cell r="AU136">
            <v>0</v>
          </cell>
          <cell r="AV136"/>
          <cell r="AW136">
            <v>0</v>
          </cell>
          <cell r="AX136">
            <v>23</v>
          </cell>
          <cell r="AY136">
            <v>0</v>
          </cell>
          <cell r="AZ136">
            <v>1</v>
          </cell>
          <cell r="BA136">
            <v>1</v>
          </cell>
          <cell r="BB136"/>
          <cell r="BC136">
            <v>-1</v>
          </cell>
          <cell r="BD136">
            <v>21</v>
          </cell>
          <cell r="BE136">
            <v>0</v>
          </cell>
          <cell r="BF136">
            <v>1</v>
          </cell>
          <cell r="BG136">
            <v>1</v>
          </cell>
          <cell r="BH136"/>
          <cell r="BI136">
            <v>0</v>
          </cell>
          <cell r="BJ136">
            <v>12</v>
          </cell>
          <cell r="BK136">
            <v>0</v>
          </cell>
          <cell r="BL136">
            <v>0</v>
          </cell>
          <cell r="BM136">
            <v>1</v>
          </cell>
          <cell r="BN136"/>
          <cell r="BO136">
            <v>-1</v>
          </cell>
          <cell r="BP136">
            <v>12</v>
          </cell>
          <cell r="BQ136">
            <v>0</v>
          </cell>
          <cell r="BR136">
            <v>0</v>
          </cell>
          <cell r="BS136">
            <v>1</v>
          </cell>
          <cell r="BT136"/>
          <cell r="BU136">
            <v>-1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/>
          <cell r="CA136">
            <v>-1</v>
          </cell>
          <cell r="CB136">
            <v>6</v>
          </cell>
          <cell r="CC136">
            <v>0</v>
          </cell>
          <cell r="CD136">
            <v>0</v>
          </cell>
          <cell r="CE136">
            <v>0</v>
          </cell>
          <cell r="CF136"/>
          <cell r="CG136">
            <v>-1</v>
          </cell>
          <cell r="CH136">
            <v>23</v>
          </cell>
          <cell r="CI136">
            <v>0</v>
          </cell>
          <cell r="CJ136">
            <v>1</v>
          </cell>
          <cell r="CK136">
            <v>1</v>
          </cell>
          <cell r="CL136"/>
          <cell r="CM136">
            <v>0</v>
          </cell>
          <cell r="CN136">
            <v>18</v>
          </cell>
          <cell r="CO136">
            <v>0</v>
          </cell>
          <cell r="CP136">
            <v>1</v>
          </cell>
          <cell r="CQ136">
            <v>1</v>
          </cell>
          <cell r="CR136"/>
          <cell r="CS136">
            <v>0</v>
          </cell>
          <cell r="CT136">
            <v>22.416666666666664</v>
          </cell>
          <cell r="CU136">
            <v>0</v>
          </cell>
          <cell r="CV136">
            <v>1</v>
          </cell>
          <cell r="CW136">
            <v>1</v>
          </cell>
          <cell r="CX136"/>
          <cell r="CY136">
            <v>0</v>
          </cell>
          <cell r="CZ136">
            <v>24</v>
          </cell>
          <cell r="DA136">
            <v>0</v>
          </cell>
          <cell r="DB136">
            <v>1</v>
          </cell>
          <cell r="DC136">
            <v>1</v>
          </cell>
          <cell r="DD136"/>
          <cell r="DE136">
            <v>0</v>
          </cell>
          <cell r="DF136">
            <v>20.916666666666664</v>
          </cell>
          <cell r="DG136">
            <v>0</v>
          </cell>
          <cell r="DH136">
            <v>1</v>
          </cell>
          <cell r="DI136">
            <v>0</v>
          </cell>
          <cell r="DJ136"/>
          <cell r="DK136">
            <v>1</v>
          </cell>
        </row>
        <row r="137">
          <cell r="B137" t="str">
            <v>CN1506</v>
          </cell>
          <cell r="C137" t="str">
            <v>Khối sản xuất</v>
          </cell>
          <cell r="D137" t="str">
            <v>Trần Tuấn Kiệt</v>
          </cell>
          <cell r="E137" t="str">
            <v>SX</v>
          </cell>
          <cell r="F137">
            <v>45772</v>
          </cell>
          <cell r="G137"/>
          <cell r="H137">
            <v>7</v>
          </cell>
          <cell r="I137" t="str">
            <v>x</v>
          </cell>
          <cell r="J137">
            <v>0</v>
          </cell>
          <cell r="K137">
            <v>0</v>
          </cell>
          <cell r="L137"/>
          <cell r="M137">
            <v>0</v>
          </cell>
          <cell r="N137">
            <v>0</v>
          </cell>
          <cell r="O137" t="str">
            <v>x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/>
          <cell r="U137"/>
          <cell r="V137"/>
          <cell r="W137"/>
          <cell r="X137"/>
          <cell r="Y137">
            <v>0</v>
          </cell>
          <cell r="Z137">
            <v>8</v>
          </cell>
          <cell r="AA137" t="str">
            <v>x</v>
          </cell>
          <cell r="AB137">
            <v>0</v>
          </cell>
          <cell r="AC137">
            <v>0</v>
          </cell>
          <cell r="AD137"/>
          <cell r="AE137">
            <v>0</v>
          </cell>
          <cell r="AF137">
            <v>10</v>
          </cell>
          <cell r="AG137" t="str">
            <v>x</v>
          </cell>
          <cell r="AH137">
            <v>0</v>
          </cell>
          <cell r="AI137">
            <v>0</v>
          </cell>
          <cell r="AJ137"/>
          <cell r="AK137">
            <v>0</v>
          </cell>
          <cell r="AL137">
            <v>21.75</v>
          </cell>
          <cell r="AM137" t="str">
            <v>x</v>
          </cell>
          <cell r="AN137">
            <v>0</v>
          </cell>
          <cell r="AO137">
            <v>0</v>
          </cell>
          <cell r="AP137"/>
          <cell r="AQ137">
            <v>0</v>
          </cell>
          <cell r="AR137">
            <v>26</v>
          </cell>
          <cell r="AS137">
            <v>0</v>
          </cell>
          <cell r="AT137">
            <v>1</v>
          </cell>
          <cell r="AU137">
            <v>0</v>
          </cell>
          <cell r="AV137"/>
          <cell r="AW137">
            <v>1</v>
          </cell>
          <cell r="AX137">
            <v>24</v>
          </cell>
          <cell r="AY137">
            <v>0</v>
          </cell>
          <cell r="AZ137">
            <v>1</v>
          </cell>
          <cell r="BA137">
            <v>2</v>
          </cell>
          <cell r="BB137"/>
          <cell r="BC137">
            <v>2</v>
          </cell>
          <cell r="BD137">
            <v>26</v>
          </cell>
          <cell r="BE137">
            <v>0</v>
          </cell>
          <cell r="BF137">
            <v>1</v>
          </cell>
          <cell r="BG137">
            <v>0</v>
          </cell>
          <cell r="BH137"/>
          <cell r="BI137">
            <v>1</v>
          </cell>
          <cell r="BJ137">
            <v>25.75</v>
          </cell>
          <cell r="BK137">
            <v>0</v>
          </cell>
          <cell r="BL137">
            <v>1</v>
          </cell>
          <cell r="BM137">
            <v>0</v>
          </cell>
          <cell r="BN137"/>
          <cell r="BO137">
            <v>1</v>
          </cell>
          <cell r="BP137">
            <v>25.75</v>
          </cell>
          <cell r="BQ137">
            <v>0</v>
          </cell>
          <cell r="BR137">
            <v>1</v>
          </cell>
          <cell r="BS137">
            <v>0</v>
          </cell>
          <cell r="BT137"/>
          <cell r="BU137">
            <v>2</v>
          </cell>
          <cell r="BV137">
            <v>24.833333333333332</v>
          </cell>
          <cell r="BW137">
            <v>0</v>
          </cell>
          <cell r="BX137">
            <v>1</v>
          </cell>
          <cell r="BY137">
            <v>1</v>
          </cell>
          <cell r="BZ137"/>
          <cell r="CA137">
            <v>2</v>
          </cell>
          <cell r="CB137">
            <v>25</v>
          </cell>
          <cell r="CC137">
            <v>0</v>
          </cell>
          <cell r="CD137">
            <v>1</v>
          </cell>
          <cell r="CE137">
            <v>1</v>
          </cell>
          <cell r="CF137"/>
          <cell r="CG137">
            <v>2</v>
          </cell>
          <cell r="CH137">
            <v>23</v>
          </cell>
          <cell r="CI137">
            <v>0</v>
          </cell>
          <cell r="CJ137">
            <v>1</v>
          </cell>
          <cell r="CK137">
            <v>1</v>
          </cell>
          <cell r="CL137"/>
          <cell r="CM137">
            <v>0</v>
          </cell>
          <cell r="CN137">
            <v>21</v>
          </cell>
          <cell r="CO137">
            <v>0</v>
          </cell>
          <cell r="CP137">
            <v>1</v>
          </cell>
          <cell r="CQ137">
            <v>1</v>
          </cell>
          <cell r="CR137"/>
          <cell r="CS137">
            <v>0</v>
          </cell>
          <cell r="CT137">
            <v>23</v>
          </cell>
          <cell r="CU137">
            <v>0</v>
          </cell>
          <cell r="CV137">
            <v>1</v>
          </cell>
          <cell r="CW137">
            <v>1</v>
          </cell>
          <cell r="CX137"/>
          <cell r="CY137">
            <v>0</v>
          </cell>
          <cell r="CZ137">
            <v>27</v>
          </cell>
          <cell r="DA137">
            <v>0</v>
          </cell>
          <cell r="DB137">
            <v>1</v>
          </cell>
          <cell r="DC137">
            <v>0</v>
          </cell>
          <cell r="DD137"/>
          <cell r="DE137">
            <v>1</v>
          </cell>
          <cell r="DF137">
            <v>21</v>
          </cell>
          <cell r="DG137">
            <v>0</v>
          </cell>
          <cell r="DH137">
            <v>1</v>
          </cell>
          <cell r="DI137">
            <v>1</v>
          </cell>
          <cell r="DJ137"/>
          <cell r="DK137">
            <v>1</v>
          </cell>
        </row>
        <row r="138">
          <cell r="B138" t="str">
            <v>CN1517</v>
          </cell>
          <cell r="C138" t="str">
            <v>Khối sản xuất</v>
          </cell>
          <cell r="D138" t="str">
            <v>Danh Thị Phượng</v>
          </cell>
          <cell r="E138" t="str">
            <v>SX</v>
          </cell>
          <cell r="F138">
            <v>45784</v>
          </cell>
          <cell r="G138"/>
          <cell r="H138">
            <v>7</v>
          </cell>
          <cell r="I138" t="str">
            <v>x</v>
          </cell>
          <cell r="J138">
            <v>0</v>
          </cell>
          <cell r="K138">
            <v>0</v>
          </cell>
          <cell r="L138"/>
          <cell r="M138">
            <v>0</v>
          </cell>
          <cell r="N138">
            <v>0</v>
          </cell>
          <cell r="O138" t="str">
            <v>x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/>
          <cell r="U138"/>
          <cell r="V138"/>
          <cell r="W138"/>
          <cell r="X138"/>
          <cell r="Y138">
            <v>0</v>
          </cell>
          <cell r="Z138">
            <v>2</v>
          </cell>
          <cell r="AA138" t="str">
            <v>x</v>
          </cell>
          <cell r="AB138">
            <v>0</v>
          </cell>
          <cell r="AC138">
            <v>0</v>
          </cell>
          <cell r="AD138"/>
          <cell r="AE138">
            <v>0</v>
          </cell>
          <cell r="AF138">
            <v>4</v>
          </cell>
          <cell r="AG138" t="str">
            <v>x</v>
          </cell>
          <cell r="AH138">
            <v>0</v>
          </cell>
          <cell r="AI138">
            <v>0</v>
          </cell>
          <cell r="AJ138"/>
          <cell r="AK138">
            <v>0</v>
          </cell>
          <cell r="AL138">
            <v>16</v>
          </cell>
          <cell r="AM138" t="str">
            <v>x</v>
          </cell>
          <cell r="AN138">
            <v>0</v>
          </cell>
          <cell r="AO138">
            <v>0</v>
          </cell>
          <cell r="AP138"/>
          <cell r="AQ138">
            <v>0</v>
          </cell>
          <cell r="AR138">
            <v>26</v>
          </cell>
          <cell r="AS138" t="str">
            <v>x</v>
          </cell>
          <cell r="AT138">
            <v>0</v>
          </cell>
          <cell r="AU138">
            <v>0</v>
          </cell>
          <cell r="AV138"/>
          <cell r="AW138">
            <v>0</v>
          </cell>
          <cell r="AX138">
            <v>23</v>
          </cell>
          <cell r="AY138">
            <v>0</v>
          </cell>
          <cell r="AZ138">
            <v>1</v>
          </cell>
          <cell r="BA138">
            <v>1</v>
          </cell>
          <cell r="BB138"/>
          <cell r="BC138">
            <v>0</v>
          </cell>
          <cell r="BD138">
            <v>23.333333333333332</v>
          </cell>
          <cell r="BE138">
            <v>0</v>
          </cell>
          <cell r="BF138">
            <v>1</v>
          </cell>
          <cell r="BG138">
            <v>1</v>
          </cell>
          <cell r="BH138"/>
          <cell r="BI138">
            <v>0</v>
          </cell>
          <cell r="BJ138">
            <v>26</v>
          </cell>
          <cell r="BK138">
            <v>0</v>
          </cell>
          <cell r="BL138">
            <v>1</v>
          </cell>
          <cell r="BM138">
            <v>0</v>
          </cell>
          <cell r="BN138"/>
          <cell r="BO138">
            <v>1</v>
          </cell>
          <cell r="BP138">
            <v>26</v>
          </cell>
          <cell r="BQ138">
            <v>0</v>
          </cell>
          <cell r="BR138">
            <v>1</v>
          </cell>
          <cell r="BS138">
            <v>0</v>
          </cell>
          <cell r="BT138"/>
          <cell r="BU138">
            <v>2</v>
          </cell>
          <cell r="BV138">
            <v>26</v>
          </cell>
          <cell r="BW138">
            <v>0</v>
          </cell>
          <cell r="BX138">
            <v>1</v>
          </cell>
          <cell r="BY138">
            <v>0</v>
          </cell>
          <cell r="BZ138"/>
          <cell r="CA138">
            <v>3</v>
          </cell>
          <cell r="CB138">
            <v>21.166666666666668</v>
          </cell>
          <cell r="CC138">
            <v>0</v>
          </cell>
          <cell r="CD138">
            <v>1</v>
          </cell>
          <cell r="CE138">
            <v>4</v>
          </cell>
          <cell r="CF138"/>
          <cell r="CG138">
            <v>0</v>
          </cell>
          <cell r="CH138">
            <v>25</v>
          </cell>
          <cell r="CI138">
            <v>0</v>
          </cell>
          <cell r="CJ138">
            <v>1</v>
          </cell>
          <cell r="CK138">
            <v>0</v>
          </cell>
          <cell r="CL138"/>
          <cell r="CM138">
            <v>1</v>
          </cell>
          <cell r="CN138">
            <v>21</v>
          </cell>
          <cell r="CO138">
            <v>0</v>
          </cell>
          <cell r="CP138">
            <v>1</v>
          </cell>
          <cell r="CQ138">
            <v>1</v>
          </cell>
          <cell r="CR138"/>
          <cell r="CS138">
            <v>1</v>
          </cell>
          <cell r="CT138">
            <v>24</v>
          </cell>
          <cell r="CU138">
            <v>0</v>
          </cell>
          <cell r="CV138">
            <v>1</v>
          </cell>
          <cell r="CW138">
            <v>0</v>
          </cell>
          <cell r="CX138"/>
          <cell r="CY138">
            <v>2</v>
          </cell>
          <cell r="CZ138">
            <v>25</v>
          </cell>
          <cell r="DA138">
            <v>0</v>
          </cell>
          <cell r="DB138">
            <v>1</v>
          </cell>
          <cell r="DC138">
            <v>1</v>
          </cell>
          <cell r="DD138"/>
          <cell r="DE138">
            <v>2</v>
          </cell>
          <cell r="DF138">
            <v>24</v>
          </cell>
          <cell r="DG138">
            <v>0</v>
          </cell>
          <cell r="DH138">
            <v>1</v>
          </cell>
          <cell r="DI138">
            <v>0</v>
          </cell>
          <cell r="DJ138"/>
          <cell r="DK138">
            <v>3</v>
          </cell>
        </row>
        <row r="139">
          <cell r="B139" t="str">
            <v>CN1530</v>
          </cell>
          <cell r="C139" t="str">
            <v>Khối sản xuất</v>
          </cell>
          <cell r="D139" t="str">
            <v>Lý Đức Thuận</v>
          </cell>
          <cell r="E139" t="str">
            <v>SX</v>
          </cell>
          <cell r="F139">
            <v>45796</v>
          </cell>
          <cell r="G139"/>
          <cell r="H139">
            <v>7</v>
          </cell>
          <cell r="I139" t="str">
            <v>x</v>
          </cell>
          <cell r="J139">
            <v>0</v>
          </cell>
          <cell r="K139">
            <v>0</v>
          </cell>
          <cell r="L139"/>
          <cell r="M139">
            <v>0</v>
          </cell>
          <cell r="N139">
            <v>0</v>
          </cell>
          <cell r="O139" t="str">
            <v>x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/>
          <cell r="U139"/>
          <cell r="V139"/>
          <cell r="W139"/>
          <cell r="X139"/>
          <cell r="Y139">
            <v>0</v>
          </cell>
          <cell r="Z139">
            <v>7</v>
          </cell>
          <cell r="AA139" t="str">
            <v>x</v>
          </cell>
          <cell r="AB139">
            <v>0</v>
          </cell>
          <cell r="AC139">
            <v>0</v>
          </cell>
          <cell r="AD139"/>
          <cell r="AE139">
            <v>0</v>
          </cell>
          <cell r="AF139">
            <v>8</v>
          </cell>
          <cell r="AG139" t="str">
            <v>x</v>
          </cell>
          <cell r="AH139">
            <v>0</v>
          </cell>
          <cell r="AI139">
            <v>0</v>
          </cell>
          <cell r="AJ139"/>
          <cell r="AK139">
            <v>0</v>
          </cell>
          <cell r="AL139">
            <v>6</v>
          </cell>
          <cell r="AM139" t="str">
            <v>x</v>
          </cell>
          <cell r="AN139">
            <v>0</v>
          </cell>
          <cell r="AO139">
            <v>0</v>
          </cell>
          <cell r="AP139"/>
          <cell r="AQ139">
            <v>0</v>
          </cell>
          <cell r="AR139">
            <v>26.416666666666668</v>
          </cell>
          <cell r="AS139" t="str">
            <v>x</v>
          </cell>
          <cell r="AT139">
            <v>0</v>
          </cell>
          <cell r="AU139">
            <v>0</v>
          </cell>
          <cell r="AV139"/>
          <cell r="AW139">
            <v>0</v>
          </cell>
          <cell r="AX139">
            <v>26</v>
          </cell>
          <cell r="AY139">
            <v>0</v>
          </cell>
          <cell r="AZ139">
            <v>1</v>
          </cell>
          <cell r="BA139">
            <v>0</v>
          </cell>
          <cell r="BB139"/>
          <cell r="BC139">
            <v>4</v>
          </cell>
          <cell r="BD139">
            <v>26</v>
          </cell>
          <cell r="BE139">
            <v>0</v>
          </cell>
          <cell r="BF139">
            <v>1</v>
          </cell>
          <cell r="BG139">
            <v>0</v>
          </cell>
          <cell r="BH139"/>
          <cell r="BI139">
            <v>2</v>
          </cell>
          <cell r="BJ139">
            <v>24</v>
          </cell>
          <cell r="BK139">
            <v>0</v>
          </cell>
          <cell r="BL139">
            <v>1</v>
          </cell>
          <cell r="BM139">
            <v>2</v>
          </cell>
          <cell r="BN139"/>
          <cell r="BO139">
            <v>0</v>
          </cell>
          <cell r="BP139">
            <v>24</v>
          </cell>
          <cell r="BQ139">
            <v>0</v>
          </cell>
          <cell r="BR139">
            <v>1</v>
          </cell>
          <cell r="BS139">
            <v>2</v>
          </cell>
          <cell r="BT139"/>
          <cell r="BU139">
            <v>1</v>
          </cell>
          <cell r="BV139">
            <v>26</v>
          </cell>
          <cell r="BW139">
            <v>0</v>
          </cell>
          <cell r="BX139">
            <v>1</v>
          </cell>
          <cell r="BY139">
            <v>0</v>
          </cell>
          <cell r="BZ139"/>
          <cell r="CA139">
            <v>2</v>
          </cell>
          <cell r="CB139">
            <v>26</v>
          </cell>
          <cell r="CC139">
            <v>0</v>
          </cell>
          <cell r="CD139">
            <v>1</v>
          </cell>
          <cell r="CE139">
            <v>0</v>
          </cell>
          <cell r="CF139"/>
          <cell r="CG139">
            <v>3</v>
          </cell>
          <cell r="CH139">
            <v>18</v>
          </cell>
          <cell r="CI139">
            <v>0</v>
          </cell>
          <cell r="CJ139">
            <v>1</v>
          </cell>
          <cell r="CK139">
            <v>1</v>
          </cell>
          <cell r="CL139"/>
          <cell r="CM139">
            <v>0</v>
          </cell>
          <cell r="CN139">
            <v>20.5</v>
          </cell>
          <cell r="CO139">
            <v>0</v>
          </cell>
          <cell r="CP139">
            <v>1</v>
          </cell>
          <cell r="CQ139">
            <v>1</v>
          </cell>
          <cell r="CR139"/>
          <cell r="CS139">
            <v>0</v>
          </cell>
          <cell r="CT139">
            <v>24</v>
          </cell>
          <cell r="CU139">
            <v>0</v>
          </cell>
          <cell r="CV139">
            <v>1</v>
          </cell>
          <cell r="CW139">
            <v>0</v>
          </cell>
          <cell r="CX139"/>
          <cell r="CY139">
            <v>1</v>
          </cell>
          <cell r="CZ139">
            <v>22</v>
          </cell>
          <cell r="DA139">
            <v>0</v>
          </cell>
          <cell r="DB139">
            <v>1</v>
          </cell>
          <cell r="DC139">
            <v>1</v>
          </cell>
          <cell r="DD139"/>
          <cell r="DE139">
            <v>1</v>
          </cell>
          <cell r="DF139">
            <v>21</v>
          </cell>
          <cell r="DG139">
            <v>0</v>
          </cell>
          <cell r="DH139">
            <v>1</v>
          </cell>
          <cell r="DI139">
            <v>1</v>
          </cell>
          <cell r="DJ139"/>
          <cell r="DK139">
            <v>1</v>
          </cell>
        </row>
        <row r="140">
          <cell r="B140" t="str">
            <v>CN1545</v>
          </cell>
          <cell r="C140" t="str">
            <v>Khối sản xuất</v>
          </cell>
          <cell r="D140" t="str">
            <v>Cao Minh Thư</v>
          </cell>
          <cell r="E140" t="str">
            <v>SX</v>
          </cell>
          <cell r="F140">
            <v>45804</v>
          </cell>
          <cell r="G140"/>
          <cell r="H140">
            <v>7</v>
          </cell>
          <cell r="I140" t="str">
            <v>x</v>
          </cell>
          <cell r="J140">
            <v>0</v>
          </cell>
          <cell r="K140">
            <v>0</v>
          </cell>
          <cell r="L140"/>
          <cell r="M140">
            <v>0</v>
          </cell>
          <cell r="N140">
            <v>0</v>
          </cell>
          <cell r="O140" t="str">
            <v>x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/>
          <cell r="U140"/>
          <cell r="V140"/>
          <cell r="W140"/>
          <cell r="X140"/>
          <cell r="Y140">
            <v>0</v>
          </cell>
          <cell r="Z140">
            <v>2</v>
          </cell>
          <cell r="AA140" t="str">
            <v>x</v>
          </cell>
          <cell r="AB140">
            <v>0</v>
          </cell>
          <cell r="AC140">
            <v>0</v>
          </cell>
          <cell r="AD140"/>
          <cell r="AE140">
            <v>0</v>
          </cell>
          <cell r="AF140">
            <v>4</v>
          </cell>
          <cell r="AG140" t="str">
            <v>x</v>
          </cell>
          <cell r="AH140">
            <v>0</v>
          </cell>
          <cell r="AI140">
            <v>0</v>
          </cell>
          <cell r="AJ140"/>
          <cell r="AK140">
            <v>0</v>
          </cell>
          <cell r="AL140" t="e">
            <v>#N/A</v>
          </cell>
          <cell r="AM140" t="str">
            <v>x</v>
          </cell>
          <cell r="AN140">
            <v>0</v>
          </cell>
          <cell r="AO140" t="e">
            <v>#N/A</v>
          </cell>
          <cell r="AP140"/>
          <cell r="AQ140">
            <v>0</v>
          </cell>
          <cell r="AR140">
            <v>25.666666666666664</v>
          </cell>
          <cell r="AS140" t="str">
            <v>x</v>
          </cell>
          <cell r="AT140">
            <v>0</v>
          </cell>
          <cell r="AU140">
            <v>0</v>
          </cell>
          <cell r="AV140"/>
          <cell r="AW140">
            <v>0</v>
          </cell>
          <cell r="AX140">
            <v>25</v>
          </cell>
          <cell r="AY140">
            <v>0</v>
          </cell>
          <cell r="AZ140">
            <v>1</v>
          </cell>
          <cell r="BA140">
            <v>0</v>
          </cell>
          <cell r="BB140"/>
          <cell r="BC140">
            <v>4</v>
          </cell>
          <cell r="BD140">
            <v>26</v>
          </cell>
          <cell r="BE140">
            <v>0</v>
          </cell>
          <cell r="BF140">
            <v>1</v>
          </cell>
          <cell r="BG140">
            <v>0</v>
          </cell>
          <cell r="BH140"/>
          <cell r="BI140">
            <v>2</v>
          </cell>
          <cell r="BJ140">
            <v>26</v>
          </cell>
          <cell r="BK140">
            <v>0</v>
          </cell>
          <cell r="BL140">
            <v>1</v>
          </cell>
          <cell r="BM140">
            <v>0</v>
          </cell>
          <cell r="BN140"/>
          <cell r="BO140">
            <v>2</v>
          </cell>
          <cell r="BP140">
            <v>26</v>
          </cell>
          <cell r="BQ140">
            <v>0</v>
          </cell>
          <cell r="BR140">
            <v>1</v>
          </cell>
          <cell r="BS140">
            <v>0</v>
          </cell>
          <cell r="BT140"/>
          <cell r="BU140">
            <v>3</v>
          </cell>
          <cell r="BV140">
            <v>25</v>
          </cell>
          <cell r="BW140">
            <v>0</v>
          </cell>
          <cell r="BX140">
            <v>1</v>
          </cell>
          <cell r="BY140">
            <v>1</v>
          </cell>
          <cell r="BZ140"/>
          <cell r="CA140">
            <v>3</v>
          </cell>
          <cell r="CB140">
            <v>25</v>
          </cell>
          <cell r="CC140">
            <v>0</v>
          </cell>
          <cell r="CD140">
            <v>1</v>
          </cell>
          <cell r="CE140">
            <v>1</v>
          </cell>
          <cell r="CF140"/>
          <cell r="CG140">
            <v>3</v>
          </cell>
          <cell r="CH140">
            <v>23</v>
          </cell>
          <cell r="CI140">
            <v>0</v>
          </cell>
          <cell r="CJ140">
            <v>1</v>
          </cell>
          <cell r="CK140">
            <v>1</v>
          </cell>
          <cell r="CL140"/>
          <cell r="CM140">
            <v>0</v>
          </cell>
          <cell r="CN140">
            <v>20</v>
          </cell>
          <cell r="CO140">
            <v>0</v>
          </cell>
          <cell r="CP140">
            <v>1</v>
          </cell>
          <cell r="CQ140">
            <v>1</v>
          </cell>
          <cell r="CR140"/>
          <cell r="CS140">
            <v>0</v>
          </cell>
          <cell r="CT140">
            <v>23</v>
          </cell>
          <cell r="CU140">
            <v>0</v>
          </cell>
          <cell r="CV140">
            <v>1</v>
          </cell>
          <cell r="CW140">
            <v>1</v>
          </cell>
          <cell r="CX140"/>
          <cell r="CY140">
            <v>0</v>
          </cell>
          <cell r="CZ140">
            <v>27</v>
          </cell>
          <cell r="DA140">
            <v>0</v>
          </cell>
          <cell r="DB140">
            <v>1</v>
          </cell>
          <cell r="DC140">
            <v>0</v>
          </cell>
          <cell r="DD140"/>
          <cell r="DE140">
            <v>1</v>
          </cell>
          <cell r="DF140">
            <v>25</v>
          </cell>
          <cell r="DG140">
            <v>0</v>
          </cell>
          <cell r="DH140">
            <v>1</v>
          </cell>
          <cell r="DI140">
            <v>0</v>
          </cell>
          <cell r="DJ140"/>
          <cell r="DK140">
            <v>2</v>
          </cell>
        </row>
        <row r="141">
          <cell r="B141" t="str">
            <v>CN1555</v>
          </cell>
          <cell r="C141" t="str">
            <v>Khối sản xuất</v>
          </cell>
          <cell r="D141" t="str">
            <v>Nguyễn Hoàng Bảo Luật</v>
          </cell>
          <cell r="E141" t="str">
            <v>SX</v>
          </cell>
          <cell r="F141">
            <v>45813</v>
          </cell>
          <cell r="G141"/>
          <cell r="H141">
            <v>7</v>
          </cell>
          <cell r="I141" t="str">
            <v>x</v>
          </cell>
          <cell r="J141">
            <v>0</v>
          </cell>
          <cell r="K141">
            <v>0</v>
          </cell>
          <cell r="L141"/>
          <cell r="M141">
            <v>0</v>
          </cell>
          <cell r="N141">
            <v>0</v>
          </cell>
          <cell r="O141" t="str">
            <v>x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/>
          <cell r="U141"/>
          <cell r="V141"/>
          <cell r="W141"/>
          <cell r="X141"/>
          <cell r="Y141">
            <v>0</v>
          </cell>
          <cell r="Z141">
            <v>2</v>
          </cell>
          <cell r="AA141" t="str">
            <v>x</v>
          </cell>
          <cell r="AB141">
            <v>0</v>
          </cell>
          <cell r="AC141">
            <v>0</v>
          </cell>
          <cell r="AD141"/>
          <cell r="AE141">
            <v>0</v>
          </cell>
          <cell r="AF141">
            <v>4</v>
          </cell>
          <cell r="AG141" t="str">
            <v>x</v>
          </cell>
          <cell r="AH141">
            <v>0</v>
          </cell>
          <cell r="AI141">
            <v>0</v>
          </cell>
          <cell r="AJ141"/>
          <cell r="AK141">
            <v>0</v>
          </cell>
          <cell r="AL141" t="e">
            <v>#N/A</v>
          </cell>
          <cell r="AM141" t="str">
            <v>x</v>
          </cell>
          <cell r="AN141">
            <v>0</v>
          </cell>
          <cell r="AO141" t="e">
            <v>#N/A</v>
          </cell>
          <cell r="AP141"/>
          <cell r="AQ141">
            <v>0</v>
          </cell>
          <cell r="AR141">
            <v>18</v>
          </cell>
          <cell r="AS141" t="str">
            <v>x</v>
          </cell>
          <cell r="AT141">
            <v>0</v>
          </cell>
          <cell r="AU141">
            <v>0</v>
          </cell>
          <cell r="AV141"/>
          <cell r="AW141">
            <v>0</v>
          </cell>
          <cell r="AX141">
            <v>26</v>
          </cell>
          <cell r="AY141" t="str">
            <v>x</v>
          </cell>
          <cell r="AZ141">
            <v>0</v>
          </cell>
          <cell r="BA141">
            <v>0</v>
          </cell>
          <cell r="BB141"/>
          <cell r="BC141">
            <v>4</v>
          </cell>
          <cell r="BD141">
            <v>26</v>
          </cell>
          <cell r="BE141">
            <v>0</v>
          </cell>
          <cell r="BF141">
            <v>1</v>
          </cell>
          <cell r="BG141">
            <v>0</v>
          </cell>
          <cell r="BH141"/>
          <cell r="BI141">
            <v>1</v>
          </cell>
          <cell r="BJ141">
            <v>26</v>
          </cell>
          <cell r="BK141">
            <v>0</v>
          </cell>
          <cell r="BL141">
            <v>1</v>
          </cell>
          <cell r="BM141">
            <v>0</v>
          </cell>
          <cell r="BN141"/>
          <cell r="BO141">
            <v>1</v>
          </cell>
          <cell r="BP141">
            <v>26</v>
          </cell>
          <cell r="BQ141">
            <v>0</v>
          </cell>
          <cell r="BR141">
            <v>1</v>
          </cell>
          <cell r="BS141">
            <v>0</v>
          </cell>
          <cell r="BT141"/>
          <cell r="BU141">
            <v>2</v>
          </cell>
          <cell r="BV141">
            <v>26</v>
          </cell>
          <cell r="BW141">
            <v>0</v>
          </cell>
          <cell r="BX141">
            <v>1</v>
          </cell>
          <cell r="BY141">
            <v>0</v>
          </cell>
          <cell r="BZ141"/>
          <cell r="CA141">
            <v>3</v>
          </cell>
          <cell r="CB141">
            <v>26</v>
          </cell>
          <cell r="CC141">
            <v>0</v>
          </cell>
          <cell r="CD141">
            <v>1</v>
          </cell>
          <cell r="CE141">
            <v>0</v>
          </cell>
          <cell r="CF141"/>
          <cell r="CG141">
            <v>4</v>
          </cell>
          <cell r="CH141">
            <v>24</v>
          </cell>
          <cell r="CI141">
            <v>0</v>
          </cell>
          <cell r="CJ141">
            <v>1</v>
          </cell>
          <cell r="CK141">
            <v>1</v>
          </cell>
          <cell r="CL141"/>
          <cell r="CM141">
            <v>0</v>
          </cell>
          <cell r="CN141">
            <v>20</v>
          </cell>
          <cell r="CO141">
            <v>0</v>
          </cell>
          <cell r="CP141">
            <v>1</v>
          </cell>
          <cell r="CQ141">
            <v>1</v>
          </cell>
          <cell r="CR141"/>
          <cell r="CS141">
            <v>0</v>
          </cell>
          <cell r="CT141">
            <v>24</v>
          </cell>
          <cell r="CU141">
            <v>0</v>
          </cell>
          <cell r="CV141">
            <v>1</v>
          </cell>
          <cell r="CW141">
            <v>0</v>
          </cell>
          <cell r="CX141"/>
          <cell r="CY141">
            <v>1</v>
          </cell>
          <cell r="CZ141">
            <v>27</v>
          </cell>
          <cell r="DA141">
            <v>0</v>
          </cell>
          <cell r="DB141">
            <v>1</v>
          </cell>
          <cell r="DC141">
            <v>0</v>
          </cell>
          <cell r="DD141"/>
          <cell r="DE141">
            <v>2</v>
          </cell>
          <cell r="DF141">
            <v>22</v>
          </cell>
          <cell r="DG141">
            <v>0</v>
          </cell>
          <cell r="DH141">
            <v>1</v>
          </cell>
          <cell r="DI141">
            <v>0</v>
          </cell>
          <cell r="DJ141"/>
          <cell r="DK141">
            <v>3</v>
          </cell>
        </row>
        <row r="142">
          <cell r="B142" t="str">
            <v>CN1557</v>
          </cell>
          <cell r="C142" t="str">
            <v>Khối sản xuất</v>
          </cell>
          <cell r="D142" t="str">
            <v>Giang Đình Nhất</v>
          </cell>
          <cell r="E142" t="str">
            <v>SX</v>
          </cell>
          <cell r="F142">
            <v>45814</v>
          </cell>
          <cell r="G142"/>
          <cell r="H142">
            <v>7</v>
          </cell>
          <cell r="I142" t="str">
            <v>x</v>
          </cell>
          <cell r="J142">
            <v>0</v>
          </cell>
          <cell r="K142">
            <v>0</v>
          </cell>
          <cell r="L142"/>
          <cell r="M142">
            <v>0</v>
          </cell>
          <cell r="N142">
            <v>0</v>
          </cell>
          <cell r="O142" t="str">
            <v>x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/>
          <cell r="U142"/>
          <cell r="V142"/>
          <cell r="W142"/>
          <cell r="X142"/>
          <cell r="Y142">
            <v>0</v>
          </cell>
          <cell r="Z142">
            <v>2</v>
          </cell>
          <cell r="AA142" t="str">
            <v>x</v>
          </cell>
          <cell r="AB142">
            <v>0</v>
          </cell>
          <cell r="AC142">
            <v>0</v>
          </cell>
          <cell r="AD142"/>
          <cell r="AE142">
            <v>0</v>
          </cell>
          <cell r="AF142">
            <v>4</v>
          </cell>
          <cell r="AG142" t="str">
            <v>x</v>
          </cell>
          <cell r="AH142">
            <v>0</v>
          </cell>
          <cell r="AI142">
            <v>0</v>
          </cell>
          <cell r="AJ142"/>
          <cell r="AK142">
            <v>0</v>
          </cell>
          <cell r="AL142" t="e">
            <v>#N/A</v>
          </cell>
          <cell r="AM142" t="str">
            <v>x</v>
          </cell>
          <cell r="AN142">
            <v>0</v>
          </cell>
          <cell r="AO142" t="e">
            <v>#N/A</v>
          </cell>
          <cell r="AP142"/>
          <cell r="AQ142">
            <v>0</v>
          </cell>
          <cell r="AR142">
            <v>17</v>
          </cell>
          <cell r="AS142" t="str">
            <v>x</v>
          </cell>
          <cell r="AT142">
            <v>0</v>
          </cell>
          <cell r="AU142">
            <v>0</v>
          </cell>
          <cell r="AV142"/>
          <cell r="AW142">
            <v>0</v>
          </cell>
          <cell r="AX142">
            <v>26</v>
          </cell>
          <cell r="AY142" t="str">
            <v>x</v>
          </cell>
          <cell r="AZ142">
            <v>0</v>
          </cell>
          <cell r="BA142">
            <v>0</v>
          </cell>
          <cell r="BB142"/>
          <cell r="BC142">
            <v>3</v>
          </cell>
          <cell r="BD142">
            <v>26</v>
          </cell>
          <cell r="BE142">
            <v>0</v>
          </cell>
          <cell r="BF142">
            <v>1</v>
          </cell>
          <cell r="BG142">
            <v>0</v>
          </cell>
          <cell r="BH142"/>
          <cell r="BI142">
            <v>1</v>
          </cell>
          <cell r="BJ142">
            <v>26</v>
          </cell>
          <cell r="BK142">
            <v>0</v>
          </cell>
          <cell r="BL142">
            <v>1</v>
          </cell>
          <cell r="BM142">
            <v>0</v>
          </cell>
          <cell r="BN142"/>
          <cell r="BO142">
            <v>1</v>
          </cell>
          <cell r="BP142">
            <v>26</v>
          </cell>
          <cell r="BQ142">
            <v>0</v>
          </cell>
          <cell r="BR142">
            <v>1</v>
          </cell>
          <cell r="BS142">
            <v>0</v>
          </cell>
          <cell r="BT142"/>
          <cell r="BU142">
            <v>2</v>
          </cell>
          <cell r="BV142">
            <v>25</v>
          </cell>
          <cell r="BW142">
            <v>0</v>
          </cell>
          <cell r="BX142">
            <v>1</v>
          </cell>
          <cell r="BY142">
            <v>1</v>
          </cell>
          <cell r="BZ142"/>
          <cell r="CA142">
            <v>2</v>
          </cell>
          <cell r="CB142">
            <v>26</v>
          </cell>
          <cell r="CC142">
            <v>0</v>
          </cell>
          <cell r="CD142">
            <v>1</v>
          </cell>
          <cell r="CE142">
            <v>0</v>
          </cell>
          <cell r="CF142"/>
          <cell r="CG142">
            <v>3</v>
          </cell>
          <cell r="CH142">
            <v>24</v>
          </cell>
          <cell r="CI142">
            <v>0</v>
          </cell>
          <cell r="CJ142">
            <v>1</v>
          </cell>
          <cell r="CK142">
            <v>1</v>
          </cell>
          <cell r="CL142"/>
          <cell r="CM142">
            <v>0</v>
          </cell>
          <cell r="CN142">
            <v>20</v>
          </cell>
          <cell r="CO142">
            <v>0</v>
          </cell>
          <cell r="CP142">
            <v>1</v>
          </cell>
          <cell r="CQ142">
            <v>1</v>
          </cell>
          <cell r="CR142"/>
          <cell r="CS142">
            <v>0</v>
          </cell>
          <cell r="CT142">
            <v>24</v>
          </cell>
          <cell r="CU142">
            <v>0</v>
          </cell>
          <cell r="CV142">
            <v>1</v>
          </cell>
          <cell r="CW142">
            <v>0</v>
          </cell>
          <cell r="CX142"/>
          <cell r="CY142">
            <v>1</v>
          </cell>
          <cell r="CZ142">
            <v>27</v>
          </cell>
          <cell r="DA142">
            <v>0</v>
          </cell>
          <cell r="DB142">
            <v>1</v>
          </cell>
          <cell r="DC142">
            <v>0</v>
          </cell>
          <cell r="DD142"/>
          <cell r="DE142">
            <v>2</v>
          </cell>
          <cell r="DF142">
            <v>25</v>
          </cell>
          <cell r="DG142">
            <v>0</v>
          </cell>
          <cell r="DH142">
            <v>1</v>
          </cell>
          <cell r="DI142">
            <v>0</v>
          </cell>
          <cell r="DJ142"/>
          <cell r="DK142">
            <v>3</v>
          </cell>
        </row>
        <row r="143">
          <cell r="B143" t="str">
            <v>CN1560</v>
          </cell>
          <cell r="C143" t="str">
            <v>Khối sản xuất</v>
          </cell>
          <cell r="D143" t="str">
            <v>Kim Thị Ngọc Huyền</v>
          </cell>
          <cell r="E143" t="str">
            <v>SX</v>
          </cell>
          <cell r="F143">
            <v>45819</v>
          </cell>
          <cell r="G143"/>
          <cell r="H143">
            <v>7</v>
          </cell>
          <cell r="I143" t="str">
            <v>x</v>
          </cell>
          <cell r="J143">
            <v>0</v>
          </cell>
          <cell r="K143">
            <v>0</v>
          </cell>
          <cell r="L143"/>
          <cell r="M143">
            <v>0</v>
          </cell>
          <cell r="N143">
            <v>0</v>
          </cell>
          <cell r="O143" t="str">
            <v>x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/>
          <cell r="U143"/>
          <cell r="V143"/>
          <cell r="W143"/>
          <cell r="X143"/>
          <cell r="Y143">
            <v>0</v>
          </cell>
          <cell r="Z143">
            <v>2</v>
          </cell>
          <cell r="AA143" t="str">
            <v>x</v>
          </cell>
          <cell r="AB143">
            <v>0</v>
          </cell>
          <cell r="AC143">
            <v>0</v>
          </cell>
          <cell r="AD143"/>
          <cell r="AE143">
            <v>0</v>
          </cell>
          <cell r="AF143">
            <v>4</v>
          </cell>
          <cell r="AG143" t="str">
            <v>x</v>
          </cell>
          <cell r="AH143">
            <v>0</v>
          </cell>
          <cell r="AI143">
            <v>0</v>
          </cell>
          <cell r="AJ143"/>
          <cell r="AK143">
            <v>0</v>
          </cell>
          <cell r="AL143" t="e">
            <v>#N/A</v>
          </cell>
          <cell r="AM143" t="str">
            <v>x</v>
          </cell>
          <cell r="AN143">
            <v>0</v>
          </cell>
          <cell r="AO143" t="e">
            <v>#N/A</v>
          </cell>
          <cell r="AP143"/>
          <cell r="AQ143">
            <v>0</v>
          </cell>
          <cell r="AR143">
            <v>13</v>
          </cell>
          <cell r="AS143" t="str">
            <v>x</v>
          </cell>
          <cell r="AT143">
            <v>0</v>
          </cell>
          <cell r="AU143">
            <v>0</v>
          </cell>
          <cell r="AV143"/>
          <cell r="AW143">
            <v>0</v>
          </cell>
          <cell r="AX143">
            <v>26</v>
          </cell>
          <cell r="AY143" t="str">
            <v>x</v>
          </cell>
          <cell r="AZ143">
            <v>0</v>
          </cell>
          <cell r="BA143">
            <v>0</v>
          </cell>
          <cell r="BB143"/>
          <cell r="BC143">
            <v>4</v>
          </cell>
          <cell r="BD143">
            <v>25</v>
          </cell>
          <cell r="BE143">
            <v>0</v>
          </cell>
          <cell r="BF143">
            <v>1</v>
          </cell>
          <cell r="BG143">
            <v>1</v>
          </cell>
          <cell r="BH143"/>
          <cell r="BI143">
            <v>0</v>
          </cell>
          <cell r="BJ143">
            <v>26</v>
          </cell>
          <cell r="BK143">
            <v>0</v>
          </cell>
          <cell r="BL143">
            <v>1</v>
          </cell>
          <cell r="BM143">
            <v>0</v>
          </cell>
          <cell r="BN143"/>
          <cell r="BO143">
            <v>1</v>
          </cell>
          <cell r="BP143">
            <v>26</v>
          </cell>
          <cell r="BQ143">
            <v>0</v>
          </cell>
          <cell r="BR143">
            <v>1</v>
          </cell>
          <cell r="BS143">
            <v>0</v>
          </cell>
          <cell r="BT143"/>
          <cell r="BU143">
            <v>2</v>
          </cell>
          <cell r="BV143">
            <v>25.25</v>
          </cell>
          <cell r="BW143">
            <v>0</v>
          </cell>
          <cell r="BX143">
            <v>1</v>
          </cell>
          <cell r="BY143">
            <v>0</v>
          </cell>
          <cell r="BZ143"/>
          <cell r="CA143">
            <v>3</v>
          </cell>
          <cell r="CB143">
            <v>26</v>
          </cell>
          <cell r="CC143">
            <v>0</v>
          </cell>
          <cell r="CD143">
            <v>1</v>
          </cell>
          <cell r="CE143">
            <v>0</v>
          </cell>
          <cell r="CF143"/>
          <cell r="CG143">
            <v>4</v>
          </cell>
          <cell r="CH143">
            <v>25</v>
          </cell>
          <cell r="CI143">
            <v>0</v>
          </cell>
          <cell r="CJ143">
            <v>1</v>
          </cell>
          <cell r="CK143">
            <v>0</v>
          </cell>
          <cell r="CL143"/>
          <cell r="CM143">
            <v>1</v>
          </cell>
          <cell r="CN143">
            <v>18</v>
          </cell>
          <cell r="CO143">
            <v>0</v>
          </cell>
          <cell r="CP143">
            <v>1</v>
          </cell>
          <cell r="CQ143">
            <v>2</v>
          </cell>
          <cell r="CR143"/>
          <cell r="CS143">
            <v>0</v>
          </cell>
          <cell r="CT143">
            <v>22</v>
          </cell>
          <cell r="CU143">
            <v>0</v>
          </cell>
          <cell r="CV143">
            <v>1</v>
          </cell>
          <cell r="CW143">
            <v>1</v>
          </cell>
          <cell r="CX143"/>
          <cell r="CY143">
            <v>0</v>
          </cell>
          <cell r="CZ143">
            <v>26</v>
          </cell>
          <cell r="DA143">
            <v>0</v>
          </cell>
          <cell r="DB143">
            <v>1</v>
          </cell>
          <cell r="DC143">
            <v>1</v>
          </cell>
          <cell r="DD143"/>
          <cell r="DE143">
            <v>0</v>
          </cell>
          <cell r="DF143">
            <v>24</v>
          </cell>
          <cell r="DG143">
            <v>0</v>
          </cell>
          <cell r="DH143">
            <v>1</v>
          </cell>
          <cell r="DI143">
            <v>1</v>
          </cell>
          <cell r="DJ143"/>
          <cell r="DK143">
            <v>0</v>
          </cell>
        </row>
        <row r="144">
          <cell r="B144" t="str">
            <v>CN1568</v>
          </cell>
          <cell r="C144" t="str">
            <v>Khối sản xuất</v>
          </cell>
          <cell r="D144" t="str">
            <v>Phạm Nhựt Tuấn</v>
          </cell>
          <cell r="E144" t="str">
            <v>SX</v>
          </cell>
          <cell r="F144">
            <v>45825</v>
          </cell>
          <cell r="G144"/>
          <cell r="H144">
            <v>7</v>
          </cell>
          <cell r="I144" t="str">
            <v>x</v>
          </cell>
          <cell r="J144">
            <v>0</v>
          </cell>
          <cell r="K144">
            <v>0</v>
          </cell>
          <cell r="L144"/>
          <cell r="M144">
            <v>0</v>
          </cell>
          <cell r="N144">
            <v>0</v>
          </cell>
          <cell r="O144" t="str">
            <v>x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/>
          <cell r="U144"/>
          <cell r="V144"/>
          <cell r="W144"/>
          <cell r="X144"/>
          <cell r="Y144">
            <v>0</v>
          </cell>
          <cell r="Z144">
            <v>2</v>
          </cell>
          <cell r="AA144" t="str">
            <v>x</v>
          </cell>
          <cell r="AB144">
            <v>0</v>
          </cell>
          <cell r="AC144">
            <v>0</v>
          </cell>
          <cell r="AD144"/>
          <cell r="AE144">
            <v>0</v>
          </cell>
          <cell r="AF144">
            <v>4</v>
          </cell>
          <cell r="AG144" t="str">
            <v>x</v>
          </cell>
          <cell r="AH144">
            <v>0</v>
          </cell>
          <cell r="AI144">
            <v>0</v>
          </cell>
          <cell r="AJ144"/>
          <cell r="AK144">
            <v>0</v>
          </cell>
          <cell r="AL144" t="e">
            <v>#N/A</v>
          </cell>
          <cell r="AM144" t="str">
            <v>x</v>
          </cell>
          <cell r="AN144">
            <v>0</v>
          </cell>
          <cell r="AO144" t="e">
            <v>#N/A</v>
          </cell>
          <cell r="AP144"/>
          <cell r="AQ144">
            <v>0</v>
          </cell>
          <cell r="AR144">
            <v>5.666666666666667</v>
          </cell>
          <cell r="AS144" t="str">
            <v>x</v>
          </cell>
          <cell r="AT144">
            <v>0</v>
          </cell>
          <cell r="AU144">
            <v>0</v>
          </cell>
          <cell r="AV144"/>
          <cell r="AW144">
            <v>0</v>
          </cell>
          <cell r="AX144">
            <v>26</v>
          </cell>
          <cell r="AY144" t="str">
            <v>x</v>
          </cell>
          <cell r="AZ144">
            <v>0</v>
          </cell>
          <cell r="BA144">
            <v>0</v>
          </cell>
          <cell r="BB144"/>
          <cell r="BC144">
            <v>0</v>
          </cell>
          <cell r="BD144">
            <v>23</v>
          </cell>
          <cell r="BE144">
            <v>0</v>
          </cell>
          <cell r="BF144">
            <v>1</v>
          </cell>
          <cell r="BG144">
            <v>0</v>
          </cell>
          <cell r="BH144"/>
          <cell r="BI144">
            <v>1</v>
          </cell>
          <cell r="BJ144">
            <v>24</v>
          </cell>
          <cell r="BK144">
            <v>0</v>
          </cell>
          <cell r="BL144">
            <v>1</v>
          </cell>
          <cell r="BM144">
            <v>2</v>
          </cell>
          <cell r="BN144"/>
          <cell r="BO144">
            <v>-1</v>
          </cell>
          <cell r="BP144">
            <v>24</v>
          </cell>
          <cell r="BQ144">
            <v>0</v>
          </cell>
          <cell r="BR144">
            <v>1</v>
          </cell>
          <cell r="BS144">
            <v>2</v>
          </cell>
          <cell r="BT144"/>
          <cell r="BU144">
            <v>0</v>
          </cell>
          <cell r="BV144">
            <v>23</v>
          </cell>
          <cell r="BW144">
            <v>0</v>
          </cell>
          <cell r="BX144">
            <v>1</v>
          </cell>
          <cell r="BY144">
            <v>2</v>
          </cell>
          <cell r="BZ144"/>
          <cell r="CA144">
            <v>-1</v>
          </cell>
          <cell r="CB144">
            <v>26</v>
          </cell>
          <cell r="CC144">
            <v>0</v>
          </cell>
          <cell r="CD144">
            <v>1</v>
          </cell>
          <cell r="CE144">
            <v>0</v>
          </cell>
          <cell r="CF144"/>
          <cell r="CG144">
            <v>0</v>
          </cell>
          <cell r="CH144">
            <v>22</v>
          </cell>
          <cell r="CI144">
            <v>0</v>
          </cell>
          <cell r="CJ144">
            <v>1</v>
          </cell>
          <cell r="CK144">
            <v>1</v>
          </cell>
          <cell r="CL144"/>
          <cell r="CM144">
            <v>0</v>
          </cell>
          <cell r="CN144">
            <v>21</v>
          </cell>
          <cell r="CO144">
            <v>0</v>
          </cell>
          <cell r="CP144">
            <v>1</v>
          </cell>
          <cell r="CQ144">
            <v>1</v>
          </cell>
          <cell r="CR144"/>
          <cell r="CS144">
            <v>0</v>
          </cell>
          <cell r="CT144">
            <v>23</v>
          </cell>
          <cell r="CU144">
            <v>0</v>
          </cell>
          <cell r="CV144">
            <v>1</v>
          </cell>
          <cell r="CW144">
            <v>1</v>
          </cell>
          <cell r="CX144"/>
          <cell r="CY144">
            <v>0</v>
          </cell>
          <cell r="CZ144">
            <v>26</v>
          </cell>
          <cell r="DA144">
            <v>0</v>
          </cell>
          <cell r="DB144">
            <v>1</v>
          </cell>
          <cell r="DC144">
            <v>1</v>
          </cell>
          <cell r="DD144"/>
          <cell r="DE144">
            <v>0</v>
          </cell>
          <cell r="DF144">
            <v>21</v>
          </cell>
          <cell r="DG144">
            <v>0</v>
          </cell>
          <cell r="DH144">
            <v>1</v>
          </cell>
          <cell r="DI144">
            <v>0</v>
          </cell>
          <cell r="DJ144"/>
          <cell r="DK144">
            <v>1</v>
          </cell>
        </row>
        <row r="145">
          <cell r="B145" t="str">
            <v>CN1576</v>
          </cell>
          <cell r="C145" t="str">
            <v>Khối sản xuất</v>
          </cell>
          <cell r="D145" t="str">
            <v>Nguyễn Thị Điệp</v>
          </cell>
          <cell r="E145" t="str">
            <v>SX</v>
          </cell>
          <cell r="F145">
            <v>45828</v>
          </cell>
          <cell r="G145"/>
          <cell r="H145">
            <v>7</v>
          </cell>
          <cell r="I145" t="str">
            <v>x</v>
          </cell>
          <cell r="J145">
            <v>0</v>
          </cell>
          <cell r="K145">
            <v>0</v>
          </cell>
          <cell r="L145"/>
          <cell r="M145">
            <v>0</v>
          </cell>
          <cell r="N145">
            <v>0</v>
          </cell>
          <cell r="O145" t="str">
            <v>x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/>
          <cell r="U145"/>
          <cell r="V145"/>
          <cell r="W145"/>
          <cell r="X145"/>
          <cell r="Y145">
            <v>0</v>
          </cell>
          <cell r="Z145">
            <v>2</v>
          </cell>
          <cell r="AA145" t="str">
            <v>x</v>
          </cell>
          <cell r="AB145">
            <v>0</v>
          </cell>
          <cell r="AC145">
            <v>0</v>
          </cell>
          <cell r="AD145"/>
          <cell r="AE145">
            <v>0</v>
          </cell>
          <cell r="AF145">
            <v>4</v>
          </cell>
          <cell r="AG145" t="str">
            <v>x</v>
          </cell>
          <cell r="AH145">
            <v>0</v>
          </cell>
          <cell r="AI145">
            <v>0</v>
          </cell>
          <cell r="AJ145"/>
          <cell r="AK145">
            <v>0</v>
          </cell>
          <cell r="AL145" t="e">
            <v>#N/A</v>
          </cell>
          <cell r="AM145" t="str">
            <v>x</v>
          </cell>
          <cell r="AN145">
            <v>0</v>
          </cell>
          <cell r="AO145" t="e">
            <v>#N/A</v>
          </cell>
          <cell r="AP145"/>
          <cell r="AQ145">
            <v>0</v>
          </cell>
          <cell r="AR145">
            <v>5</v>
          </cell>
          <cell r="AS145" t="str">
            <v>x</v>
          </cell>
          <cell r="AT145">
            <v>0</v>
          </cell>
          <cell r="AU145">
            <v>0</v>
          </cell>
          <cell r="AV145"/>
          <cell r="AW145">
            <v>0</v>
          </cell>
          <cell r="AX145">
            <v>26</v>
          </cell>
          <cell r="AY145" t="str">
            <v>x</v>
          </cell>
          <cell r="AZ145">
            <v>0</v>
          </cell>
          <cell r="BA145">
            <v>0</v>
          </cell>
          <cell r="BB145"/>
          <cell r="BC145">
            <v>3</v>
          </cell>
          <cell r="BD145">
            <v>26</v>
          </cell>
          <cell r="BE145">
            <v>0</v>
          </cell>
          <cell r="BF145">
            <v>1</v>
          </cell>
          <cell r="BG145">
            <v>0</v>
          </cell>
          <cell r="BH145"/>
          <cell r="BI145">
            <v>1</v>
          </cell>
          <cell r="BJ145">
            <v>26</v>
          </cell>
          <cell r="BK145">
            <v>0</v>
          </cell>
          <cell r="BL145">
            <v>1</v>
          </cell>
          <cell r="BM145">
            <v>0</v>
          </cell>
          <cell r="BN145"/>
          <cell r="BO145">
            <v>1</v>
          </cell>
          <cell r="BP145">
            <v>26</v>
          </cell>
          <cell r="BQ145">
            <v>0</v>
          </cell>
          <cell r="BR145">
            <v>1</v>
          </cell>
          <cell r="BS145">
            <v>0</v>
          </cell>
          <cell r="BT145"/>
          <cell r="BU145">
            <v>2</v>
          </cell>
          <cell r="BV145">
            <v>26</v>
          </cell>
          <cell r="BW145">
            <v>0</v>
          </cell>
          <cell r="BX145">
            <v>1</v>
          </cell>
          <cell r="BY145">
            <v>0</v>
          </cell>
          <cell r="BZ145"/>
          <cell r="CA145">
            <v>3</v>
          </cell>
          <cell r="CB145">
            <v>25</v>
          </cell>
          <cell r="CC145">
            <v>0</v>
          </cell>
          <cell r="CD145">
            <v>1</v>
          </cell>
          <cell r="CE145">
            <v>1</v>
          </cell>
          <cell r="CF145"/>
          <cell r="CG145">
            <v>3</v>
          </cell>
          <cell r="CH145">
            <v>24</v>
          </cell>
          <cell r="CI145">
            <v>0</v>
          </cell>
          <cell r="CJ145">
            <v>1</v>
          </cell>
          <cell r="CK145">
            <v>1</v>
          </cell>
          <cell r="CL145"/>
          <cell r="CM145">
            <v>0</v>
          </cell>
          <cell r="CN145">
            <v>21</v>
          </cell>
          <cell r="CO145">
            <v>0</v>
          </cell>
          <cell r="CP145">
            <v>1</v>
          </cell>
          <cell r="CQ145">
            <v>0</v>
          </cell>
          <cell r="CR145"/>
          <cell r="CS145">
            <v>1</v>
          </cell>
          <cell r="CT145">
            <v>24</v>
          </cell>
          <cell r="CU145">
            <v>0</v>
          </cell>
          <cell r="CV145">
            <v>1</v>
          </cell>
          <cell r="CW145">
            <v>0</v>
          </cell>
          <cell r="CX145"/>
          <cell r="CY145">
            <v>2</v>
          </cell>
          <cell r="CZ145">
            <v>25.5</v>
          </cell>
          <cell r="DA145">
            <v>0</v>
          </cell>
          <cell r="DB145">
            <v>1</v>
          </cell>
          <cell r="DC145">
            <v>1.5</v>
          </cell>
          <cell r="DD145"/>
          <cell r="DE145">
            <v>1.5</v>
          </cell>
          <cell r="DF145">
            <v>21</v>
          </cell>
          <cell r="DG145">
            <v>0</v>
          </cell>
          <cell r="DH145">
            <v>1</v>
          </cell>
          <cell r="DI145">
            <v>1</v>
          </cell>
          <cell r="DJ145"/>
          <cell r="DK145">
            <v>1.5</v>
          </cell>
        </row>
        <row r="146">
          <cell r="B146" t="str">
            <v>CN1584</v>
          </cell>
          <cell r="C146" t="str">
            <v>Khối sản xuất</v>
          </cell>
          <cell r="D146" t="str">
            <v>Huỳnh Thị Linh</v>
          </cell>
          <cell r="E146" t="str">
            <v>SX</v>
          </cell>
          <cell r="F146">
            <v>45841</v>
          </cell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>
            <v>20</v>
          </cell>
          <cell r="AY146" t="str">
            <v>x</v>
          </cell>
          <cell r="AZ146">
            <v>0</v>
          </cell>
          <cell r="BA146">
            <v>0</v>
          </cell>
          <cell r="BB146"/>
          <cell r="BC146">
            <v>4</v>
          </cell>
          <cell r="BD146">
            <v>26</v>
          </cell>
          <cell r="BE146"/>
          <cell r="BF146">
            <v>1</v>
          </cell>
          <cell r="BG146">
            <v>0</v>
          </cell>
          <cell r="BH146"/>
          <cell r="BI146">
            <v>1</v>
          </cell>
          <cell r="BJ146">
            <v>26</v>
          </cell>
          <cell r="BK146"/>
          <cell r="BL146">
            <v>1</v>
          </cell>
          <cell r="BM146">
            <v>0</v>
          </cell>
          <cell r="BN146"/>
          <cell r="BO146">
            <v>1</v>
          </cell>
          <cell r="BP146">
            <v>26</v>
          </cell>
          <cell r="BQ146">
            <v>0</v>
          </cell>
          <cell r="BR146">
            <v>1</v>
          </cell>
          <cell r="BS146">
            <v>0</v>
          </cell>
          <cell r="BT146"/>
          <cell r="BU146">
            <v>2</v>
          </cell>
          <cell r="BV146">
            <v>26</v>
          </cell>
          <cell r="BW146">
            <v>0</v>
          </cell>
          <cell r="BX146">
            <v>1</v>
          </cell>
          <cell r="BY146">
            <v>0</v>
          </cell>
          <cell r="BZ146"/>
          <cell r="CA146">
            <v>3</v>
          </cell>
          <cell r="CB146">
            <v>26</v>
          </cell>
          <cell r="CC146">
            <v>0</v>
          </cell>
          <cell r="CD146">
            <v>1</v>
          </cell>
          <cell r="CE146">
            <v>0</v>
          </cell>
          <cell r="CF146"/>
          <cell r="CG146">
            <v>4</v>
          </cell>
          <cell r="CH146">
            <v>24</v>
          </cell>
          <cell r="CI146">
            <v>0</v>
          </cell>
          <cell r="CJ146">
            <v>1</v>
          </cell>
          <cell r="CK146">
            <v>1</v>
          </cell>
          <cell r="CL146"/>
          <cell r="CM146">
            <v>0</v>
          </cell>
          <cell r="CN146">
            <v>21</v>
          </cell>
          <cell r="CO146">
            <v>0</v>
          </cell>
          <cell r="CP146">
            <v>1</v>
          </cell>
          <cell r="CQ146">
            <v>0</v>
          </cell>
          <cell r="CR146"/>
          <cell r="CS146">
            <v>1</v>
          </cell>
          <cell r="CT146">
            <v>24</v>
          </cell>
          <cell r="CU146">
            <v>0</v>
          </cell>
          <cell r="CV146">
            <v>1</v>
          </cell>
          <cell r="CW146">
            <v>0</v>
          </cell>
          <cell r="CX146"/>
          <cell r="CY146">
            <v>2</v>
          </cell>
          <cell r="CZ146">
            <v>26</v>
          </cell>
          <cell r="DA146">
            <v>0</v>
          </cell>
          <cell r="DB146">
            <v>1</v>
          </cell>
          <cell r="DC146">
            <v>1</v>
          </cell>
          <cell r="DD146"/>
          <cell r="DE146">
            <v>2</v>
          </cell>
          <cell r="DF146">
            <v>22</v>
          </cell>
          <cell r="DG146">
            <v>0</v>
          </cell>
          <cell r="DH146">
            <v>1</v>
          </cell>
          <cell r="DI146">
            <v>0</v>
          </cell>
          <cell r="DJ146"/>
          <cell r="DK146">
            <v>3</v>
          </cell>
        </row>
        <row r="147">
          <cell r="B147" t="str">
            <v>CN1577</v>
          </cell>
          <cell r="C147" t="str">
            <v>Khối sản xuất</v>
          </cell>
          <cell r="D147" t="str">
            <v>Trượng Thị Tạm</v>
          </cell>
          <cell r="E147" t="str">
            <v>SX</v>
          </cell>
          <cell r="F147">
            <v>45828</v>
          </cell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 t="e">
            <v>#N/A</v>
          </cell>
          <cell r="AY147" t="str">
            <v>x</v>
          </cell>
          <cell r="AZ147">
            <v>0</v>
          </cell>
          <cell r="BA147" t="e">
            <v>#N/A</v>
          </cell>
          <cell r="BB147"/>
          <cell r="BC147"/>
          <cell r="BD147">
            <v>25</v>
          </cell>
          <cell r="BE147">
            <v>0</v>
          </cell>
          <cell r="BF147">
            <v>1</v>
          </cell>
          <cell r="BG147">
            <v>1</v>
          </cell>
          <cell r="BH147"/>
          <cell r="BI147">
            <v>0</v>
          </cell>
          <cell r="BJ147">
            <v>26</v>
          </cell>
          <cell r="BK147">
            <v>0</v>
          </cell>
          <cell r="BL147">
            <v>1</v>
          </cell>
          <cell r="BM147">
            <v>0</v>
          </cell>
          <cell r="BN147"/>
          <cell r="BO147">
            <v>1</v>
          </cell>
          <cell r="BP147">
            <v>26</v>
          </cell>
          <cell r="BQ147">
            <v>0</v>
          </cell>
          <cell r="BR147">
            <v>1</v>
          </cell>
          <cell r="BS147">
            <v>0</v>
          </cell>
          <cell r="BT147"/>
          <cell r="BU147">
            <v>2</v>
          </cell>
          <cell r="BV147">
            <v>24</v>
          </cell>
          <cell r="BW147">
            <v>0</v>
          </cell>
          <cell r="BX147">
            <v>1</v>
          </cell>
          <cell r="BY147">
            <v>2</v>
          </cell>
          <cell r="BZ147"/>
          <cell r="CA147">
            <v>1</v>
          </cell>
          <cell r="CB147">
            <v>26</v>
          </cell>
          <cell r="CC147">
            <v>0</v>
          </cell>
          <cell r="CD147">
            <v>1</v>
          </cell>
          <cell r="CE147">
            <v>0</v>
          </cell>
          <cell r="CF147"/>
          <cell r="CG147">
            <v>2</v>
          </cell>
          <cell r="CH147">
            <v>24</v>
          </cell>
          <cell r="CI147">
            <v>0</v>
          </cell>
          <cell r="CJ147">
            <v>1</v>
          </cell>
          <cell r="CK147">
            <v>1</v>
          </cell>
          <cell r="CL147"/>
          <cell r="CM147">
            <v>0</v>
          </cell>
          <cell r="CN147">
            <v>21</v>
          </cell>
          <cell r="CO147">
            <v>0</v>
          </cell>
          <cell r="CP147">
            <v>1</v>
          </cell>
          <cell r="CQ147">
            <v>0</v>
          </cell>
          <cell r="CR147"/>
          <cell r="CS147">
            <v>1</v>
          </cell>
          <cell r="CT147">
            <v>23</v>
          </cell>
          <cell r="CU147">
            <v>0</v>
          </cell>
          <cell r="CV147">
            <v>1</v>
          </cell>
          <cell r="CW147">
            <v>1</v>
          </cell>
          <cell r="CX147"/>
          <cell r="CY147">
            <v>1</v>
          </cell>
          <cell r="CZ147">
            <v>27</v>
          </cell>
          <cell r="DA147">
            <v>0</v>
          </cell>
          <cell r="DB147">
            <v>1</v>
          </cell>
          <cell r="DC147">
            <v>0</v>
          </cell>
          <cell r="DD147"/>
          <cell r="DE147">
            <v>2</v>
          </cell>
          <cell r="DF147">
            <v>21</v>
          </cell>
          <cell r="DG147">
            <v>0</v>
          </cell>
          <cell r="DH147">
            <v>1</v>
          </cell>
          <cell r="DI147">
            <v>1</v>
          </cell>
          <cell r="DJ147"/>
          <cell r="DK147">
            <v>2</v>
          </cell>
        </row>
        <row r="148">
          <cell r="B148" t="str">
            <v>CN1588</v>
          </cell>
          <cell r="C148" t="str">
            <v>Khối sản xuất</v>
          </cell>
          <cell r="D148" t="str">
            <v>Trịnh Thị Hiền</v>
          </cell>
          <cell r="E148" t="str">
            <v>SX</v>
          </cell>
          <cell r="F148">
            <v>45846</v>
          </cell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>
            <v>16</v>
          </cell>
          <cell r="AY148" t="str">
            <v>x</v>
          </cell>
          <cell r="AZ148">
            <v>0</v>
          </cell>
          <cell r="BA148">
            <v>0</v>
          </cell>
          <cell r="BB148"/>
          <cell r="BC148">
            <v>2</v>
          </cell>
          <cell r="BD148">
            <v>25.166666666666664</v>
          </cell>
          <cell r="BE148" t="str">
            <v>x</v>
          </cell>
          <cell r="BF148">
            <v>0</v>
          </cell>
          <cell r="BG148">
            <v>0</v>
          </cell>
          <cell r="BH148"/>
          <cell r="BI148">
            <v>0</v>
          </cell>
          <cell r="BJ148">
            <v>25</v>
          </cell>
          <cell r="BK148">
            <v>0</v>
          </cell>
          <cell r="BL148">
            <v>1</v>
          </cell>
          <cell r="BM148">
            <v>0</v>
          </cell>
          <cell r="BN148"/>
          <cell r="BO148">
            <v>1</v>
          </cell>
          <cell r="BP148">
            <v>25</v>
          </cell>
          <cell r="BQ148">
            <v>0</v>
          </cell>
          <cell r="BR148">
            <v>1</v>
          </cell>
          <cell r="BS148">
            <v>0</v>
          </cell>
          <cell r="BT148"/>
          <cell r="BU148">
            <v>2</v>
          </cell>
          <cell r="BV148">
            <v>23.166666666666668</v>
          </cell>
          <cell r="BW148">
            <v>0</v>
          </cell>
          <cell r="BX148">
            <v>1</v>
          </cell>
          <cell r="BY148">
            <v>2</v>
          </cell>
          <cell r="BZ148"/>
          <cell r="CA148">
            <v>1</v>
          </cell>
          <cell r="CB148">
            <v>25.833333333333336</v>
          </cell>
          <cell r="CC148">
            <v>0</v>
          </cell>
          <cell r="CD148">
            <v>1</v>
          </cell>
          <cell r="CE148">
            <v>0</v>
          </cell>
          <cell r="CF148"/>
          <cell r="CG148">
            <v>2</v>
          </cell>
          <cell r="CH148">
            <v>24</v>
          </cell>
          <cell r="CI148">
            <v>0</v>
          </cell>
          <cell r="CJ148">
            <v>1</v>
          </cell>
          <cell r="CK148">
            <v>0</v>
          </cell>
          <cell r="CL148"/>
          <cell r="CM148">
            <v>1</v>
          </cell>
          <cell r="CN148">
            <v>16.5</v>
          </cell>
          <cell r="CO148">
            <v>0</v>
          </cell>
          <cell r="CP148">
            <v>1</v>
          </cell>
          <cell r="CQ148">
            <v>1</v>
          </cell>
          <cell r="CR148"/>
          <cell r="CS148">
            <v>1</v>
          </cell>
          <cell r="CT148">
            <v>24</v>
          </cell>
          <cell r="CU148">
            <v>0</v>
          </cell>
          <cell r="CV148">
            <v>1</v>
          </cell>
          <cell r="CW148">
            <v>0</v>
          </cell>
          <cell r="CX148"/>
          <cell r="CY148">
            <v>2</v>
          </cell>
          <cell r="CZ148">
            <v>26</v>
          </cell>
          <cell r="DA148">
            <v>0</v>
          </cell>
          <cell r="DB148">
            <v>1</v>
          </cell>
          <cell r="DC148">
            <v>1</v>
          </cell>
          <cell r="DD148"/>
          <cell r="DE148">
            <v>2</v>
          </cell>
          <cell r="DF148">
            <v>24</v>
          </cell>
          <cell r="DG148">
            <v>0</v>
          </cell>
          <cell r="DH148">
            <v>1</v>
          </cell>
          <cell r="DI148">
            <v>0</v>
          </cell>
          <cell r="DJ148"/>
          <cell r="DK148">
            <v>3</v>
          </cell>
        </row>
        <row r="149">
          <cell r="B149" t="str">
            <v>CN1605</v>
          </cell>
          <cell r="C149" t="str">
            <v>Khối sản xuất</v>
          </cell>
          <cell r="D149" t="str">
            <v>Từ Chí Hảo</v>
          </cell>
          <cell r="E149" t="str">
            <v>SX</v>
          </cell>
          <cell r="F149">
            <v>45867</v>
          </cell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>
            <v>23.666666666666664</v>
          </cell>
          <cell r="BE149" t="str">
            <v>x</v>
          </cell>
          <cell r="BF149">
            <v>0</v>
          </cell>
          <cell r="BG149">
            <v>0</v>
          </cell>
          <cell r="BH149"/>
          <cell r="BI149">
            <v>0</v>
          </cell>
          <cell r="BJ149">
            <v>26</v>
          </cell>
          <cell r="BK149">
            <v>0</v>
          </cell>
          <cell r="BL149">
            <v>1</v>
          </cell>
          <cell r="BM149">
            <v>0</v>
          </cell>
          <cell r="BN149"/>
          <cell r="BO149">
            <v>1</v>
          </cell>
          <cell r="BP149">
            <v>26</v>
          </cell>
          <cell r="BQ149">
            <v>0</v>
          </cell>
          <cell r="BR149">
            <v>1</v>
          </cell>
          <cell r="BS149">
            <v>0</v>
          </cell>
          <cell r="BT149"/>
          <cell r="BU149">
            <v>2</v>
          </cell>
          <cell r="BV149">
            <v>26</v>
          </cell>
          <cell r="BW149">
            <v>0</v>
          </cell>
          <cell r="BX149">
            <v>1</v>
          </cell>
          <cell r="BY149">
            <v>0</v>
          </cell>
          <cell r="BZ149"/>
          <cell r="CA149">
            <v>3</v>
          </cell>
          <cell r="CB149">
            <v>25</v>
          </cell>
          <cell r="CC149">
            <v>0</v>
          </cell>
          <cell r="CD149">
            <v>1</v>
          </cell>
          <cell r="CE149">
            <v>0</v>
          </cell>
          <cell r="CF149"/>
          <cell r="CG149">
            <v>4</v>
          </cell>
          <cell r="CH149">
            <v>24.5</v>
          </cell>
          <cell r="CI149">
            <v>0</v>
          </cell>
          <cell r="CJ149">
            <v>1</v>
          </cell>
          <cell r="CK149">
            <v>0</v>
          </cell>
          <cell r="CL149"/>
          <cell r="CM149">
            <v>1</v>
          </cell>
          <cell r="CN149">
            <v>21</v>
          </cell>
          <cell r="CO149">
            <v>0</v>
          </cell>
          <cell r="CP149">
            <v>1</v>
          </cell>
          <cell r="CQ149">
            <v>1</v>
          </cell>
          <cell r="CR149"/>
          <cell r="CS149">
            <v>1</v>
          </cell>
          <cell r="CT149">
            <v>24</v>
          </cell>
          <cell r="CU149">
            <v>0</v>
          </cell>
          <cell r="CV149">
            <v>1</v>
          </cell>
          <cell r="CW149">
            <v>0</v>
          </cell>
          <cell r="CX149"/>
          <cell r="CY149">
            <v>2</v>
          </cell>
          <cell r="CZ149">
            <v>25</v>
          </cell>
          <cell r="DA149">
            <v>0</v>
          </cell>
          <cell r="DB149">
            <v>1</v>
          </cell>
          <cell r="DC149">
            <v>1</v>
          </cell>
          <cell r="DD149"/>
          <cell r="DE149">
            <v>2</v>
          </cell>
          <cell r="DF149">
            <v>25</v>
          </cell>
          <cell r="DG149">
            <v>0</v>
          </cell>
          <cell r="DH149">
            <v>1</v>
          </cell>
          <cell r="DI149">
            <v>0</v>
          </cell>
          <cell r="DJ149"/>
          <cell r="DK149">
            <v>3</v>
          </cell>
        </row>
        <row r="150">
          <cell r="B150" t="str">
            <v>CN1612</v>
          </cell>
          <cell r="C150" t="str">
            <v>Khối sản xuất</v>
          </cell>
          <cell r="D150" t="str">
            <v>Đinh Hoàng Thái</v>
          </cell>
          <cell r="E150" t="str">
            <v>SX</v>
          </cell>
          <cell r="F150">
            <v>45871</v>
          </cell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>
            <v>19.666666666666664</v>
          </cell>
          <cell r="BE150" t="str">
            <v>x</v>
          </cell>
          <cell r="BF150">
            <v>0</v>
          </cell>
          <cell r="BG150">
            <v>0</v>
          </cell>
          <cell r="BH150"/>
          <cell r="BI150">
            <v>0</v>
          </cell>
          <cell r="BJ150">
            <v>26</v>
          </cell>
          <cell r="BK150" t="str">
            <v>x</v>
          </cell>
          <cell r="BL150">
            <v>0</v>
          </cell>
          <cell r="BM150">
            <v>0</v>
          </cell>
          <cell r="BN150"/>
          <cell r="BO150">
            <v>0</v>
          </cell>
          <cell r="BP150">
            <v>26</v>
          </cell>
          <cell r="BQ150">
            <v>0</v>
          </cell>
          <cell r="BR150">
            <v>1</v>
          </cell>
          <cell r="BS150">
            <v>0</v>
          </cell>
          <cell r="BT150"/>
          <cell r="BU150">
            <v>1</v>
          </cell>
          <cell r="BV150">
            <v>25</v>
          </cell>
          <cell r="BW150">
            <v>0</v>
          </cell>
          <cell r="BX150">
            <v>1</v>
          </cell>
          <cell r="BY150">
            <v>1</v>
          </cell>
          <cell r="BZ150"/>
          <cell r="CA150">
            <v>1</v>
          </cell>
          <cell r="CB150">
            <v>26</v>
          </cell>
          <cell r="CC150">
            <v>0</v>
          </cell>
          <cell r="CD150">
            <v>1</v>
          </cell>
          <cell r="CE150">
            <v>0</v>
          </cell>
          <cell r="CF150"/>
          <cell r="CG150">
            <v>2</v>
          </cell>
          <cell r="CH150">
            <v>24</v>
          </cell>
          <cell r="CI150">
            <v>0</v>
          </cell>
          <cell r="CJ150">
            <v>1</v>
          </cell>
          <cell r="CK150">
            <v>1</v>
          </cell>
          <cell r="CL150"/>
          <cell r="CM150">
            <v>0</v>
          </cell>
          <cell r="CN150">
            <v>20</v>
          </cell>
          <cell r="CO150">
            <v>0</v>
          </cell>
          <cell r="CP150">
            <v>1</v>
          </cell>
          <cell r="CQ150">
            <v>1</v>
          </cell>
          <cell r="CR150"/>
          <cell r="CS150">
            <v>0</v>
          </cell>
          <cell r="CT150">
            <v>24</v>
          </cell>
          <cell r="CU150">
            <v>0</v>
          </cell>
          <cell r="CV150">
            <v>1</v>
          </cell>
          <cell r="CW150">
            <v>0</v>
          </cell>
          <cell r="CX150"/>
          <cell r="CY150">
            <v>1</v>
          </cell>
          <cell r="CZ150">
            <v>27</v>
          </cell>
          <cell r="DA150">
            <v>0</v>
          </cell>
          <cell r="DB150">
            <v>1</v>
          </cell>
          <cell r="DC150">
            <v>0</v>
          </cell>
          <cell r="DD150"/>
          <cell r="DE150">
            <v>2</v>
          </cell>
          <cell r="DF150">
            <v>25</v>
          </cell>
          <cell r="DG150">
            <v>0</v>
          </cell>
          <cell r="DH150">
            <v>1</v>
          </cell>
          <cell r="DI150">
            <v>0</v>
          </cell>
          <cell r="DJ150"/>
          <cell r="DK150">
            <v>3</v>
          </cell>
        </row>
        <row r="151">
          <cell r="B151" t="str">
            <v>CN1643</v>
          </cell>
          <cell r="C151" t="str">
            <v>Khối sản xuất</v>
          </cell>
          <cell r="D151" t="str">
            <v>Phạm Thị Tặng</v>
          </cell>
          <cell r="E151" t="str">
            <v>SX</v>
          </cell>
          <cell r="F151">
            <v>45931</v>
          </cell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>
            <v>22</v>
          </cell>
          <cell r="BQ151" t="str">
            <v>x</v>
          </cell>
          <cell r="BR151">
            <v>0</v>
          </cell>
          <cell r="BS151">
            <v>0</v>
          </cell>
          <cell r="BT151"/>
          <cell r="BU151">
            <v>0</v>
          </cell>
          <cell r="BV151">
            <v>26</v>
          </cell>
          <cell r="BW151" t="str">
            <v>x</v>
          </cell>
          <cell r="BX151">
            <v>0</v>
          </cell>
          <cell r="BY151">
            <v>0</v>
          </cell>
          <cell r="BZ151"/>
          <cell r="CA151">
            <v>0</v>
          </cell>
          <cell r="CB151">
            <v>26</v>
          </cell>
          <cell r="CC151">
            <v>0</v>
          </cell>
          <cell r="CD151">
            <v>1</v>
          </cell>
          <cell r="CE151">
            <v>0</v>
          </cell>
          <cell r="CF151"/>
          <cell r="CG151">
            <v>1</v>
          </cell>
          <cell r="CH151">
            <v>24</v>
          </cell>
          <cell r="CI151">
            <v>0</v>
          </cell>
          <cell r="CJ151">
            <v>1</v>
          </cell>
          <cell r="CK151">
            <v>1</v>
          </cell>
          <cell r="CL151"/>
          <cell r="CM151">
            <v>0</v>
          </cell>
          <cell r="CN151">
            <v>21</v>
          </cell>
          <cell r="CO151">
            <v>0</v>
          </cell>
          <cell r="CP151">
            <v>1</v>
          </cell>
          <cell r="CQ151">
            <v>0</v>
          </cell>
          <cell r="CR151"/>
          <cell r="CS151">
            <v>1</v>
          </cell>
          <cell r="CT151">
            <v>24</v>
          </cell>
          <cell r="CU151">
            <v>0</v>
          </cell>
          <cell r="CV151">
            <v>1</v>
          </cell>
          <cell r="CW151">
            <v>0</v>
          </cell>
          <cell r="CX151"/>
          <cell r="CY151">
            <v>2</v>
          </cell>
          <cell r="CZ151">
            <v>26</v>
          </cell>
          <cell r="DA151">
            <v>0</v>
          </cell>
          <cell r="DB151">
            <v>1</v>
          </cell>
          <cell r="DC151">
            <v>1</v>
          </cell>
          <cell r="DD151"/>
          <cell r="DE151">
            <v>2</v>
          </cell>
          <cell r="DF151">
            <v>22</v>
          </cell>
          <cell r="DG151">
            <v>0</v>
          </cell>
          <cell r="DH151">
            <v>1</v>
          </cell>
          <cell r="DI151">
            <v>0</v>
          </cell>
          <cell r="DJ151"/>
          <cell r="DK151">
            <v>3</v>
          </cell>
        </row>
        <row r="152">
          <cell r="B152" t="str">
            <v>CN1630</v>
          </cell>
          <cell r="C152" t="str">
            <v>Khối sản xuất</v>
          </cell>
          <cell r="D152" t="str">
            <v>Đặng Thanh Chiến</v>
          </cell>
          <cell r="E152" t="str">
            <v>SX</v>
          </cell>
          <cell r="F152">
            <v>45909</v>
          </cell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>
            <v>23.416666666666664</v>
          </cell>
          <cell r="BQ152" t="str">
            <v>x</v>
          </cell>
          <cell r="BR152">
            <v>0</v>
          </cell>
          <cell r="BS152">
            <v>2</v>
          </cell>
          <cell r="BT152"/>
          <cell r="BU152">
            <v>0</v>
          </cell>
          <cell r="BV152">
            <v>24</v>
          </cell>
          <cell r="BW152">
            <v>0</v>
          </cell>
          <cell r="BX152">
            <v>1</v>
          </cell>
          <cell r="BY152">
            <v>2</v>
          </cell>
          <cell r="BZ152"/>
          <cell r="CA152">
            <v>-1</v>
          </cell>
          <cell r="CB152">
            <v>24.416666666666664</v>
          </cell>
          <cell r="CC152">
            <v>0</v>
          </cell>
          <cell r="CD152">
            <v>1</v>
          </cell>
          <cell r="CE152">
            <v>0</v>
          </cell>
          <cell r="CF152"/>
          <cell r="CG152">
            <v>0</v>
          </cell>
          <cell r="CH152">
            <v>15</v>
          </cell>
          <cell r="CI152">
            <v>0</v>
          </cell>
          <cell r="CJ152">
            <v>1</v>
          </cell>
          <cell r="CK152">
            <v>1</v>
          </cell>
          <cell r="CL152"/>
          <cell r="CM152">
            <v>0</v>
          </cell>
          <cell r="CN152">
            <v>19</v>
          </cell>
          <cell r="CO152">
            <v>0</v>
          </cell>
          <cell r="CP152">
            <v>1</v>
          </cell>
          <cell r="CQ152">
            <v>1</v>
          </cell>
          <cell r="CR152"/>
          <cell r="CS152">
            <v>0</v>
          </cell>
          <cell r="CT152">
            <v>24</v>
          </cell>
          <cell r="CU152">
            <v>0</v>
          </cell>
          <cell r="CV152">
            <v>1</v>
          </cell>
          <cell r="CW152">
            <v>0</v>
          </cell>
          <cell r="CX152"/>
          <cell r="CY152">
            <v>1</v>
          </cell>
          <cell r="CZ152">
            <v>25</v>
          </cell>
          <cell r="DA152">
            <v>0</v>
          </cell>
          <cell r="DB152">
            <v>1</v>
          </cell>
          <cell r="DC152">
            <v>1</v>
          </cell>
          <cell r="DD152"/>
          <cell r="DE152">
            <v>1</v>
          </cell>
          <cell r="DF152">
            <v>22</v>
          </cell>
          <cell r="DG152">
            <v>0</v>
          </cell>
          <cell r="DH152">
            <v>1</v>
          </cell>
          <cell r="DI152">
            <v>1</v>
          </cell>
          <cell r="DJ152"/>
          <cell r="DK152">
            <v>1</v>
          </cell>
        </row>
        <row r="153">
          <cell r="B153" t="str">
            <v>CN1631</v>
          </cell>
          <cell r="C153" t="str">
            <v>Khối sản xuất</v>
          </cell>
          <cell r="D153" t="str">
            <v>Lê Đức Thiện</v>
          </cell>
          <cell r="E153" t="str">
            <v>SX</v>
          </cell>
          <cell r="F153">
            <v>45909</v>
          </cell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>
            <v>26</v>
          </cell>
          <cell r="BQ153" t="str">
            <v>x</v>
          </cell>
          <cell r="BR153">
            <v>0</v>
          </cell>
          <cell r="BS153">
            <v>0</v>
          </cell>
          <cell r="BT153"/>
          <cell r="BU153">
            <v>0</v>
          </cell>
          <cell r="BV153">
            <v>25</v>
          </cell>
          <cell r="BW153">
            <v>0</v>
          </cell>
          <cell r="BX153">
            <v>1</v>
          </cell>
          <cell r="BY153">
            <v>1</v>
          </cell>
          <cell r="BZ153"/>
          <cell r="CA153">
            <v>0</v>
          </cell>
          <cell r="CB153">
            <v>26</v>
          </cell>
          <cell r="CC153">
            <v>0</v>
          </cell>
          <cell r="CD153">
            <v>1</v>
          </cell>
          <cell r="CE153">
            <v>0</v>
          </cell>
          <cell r="CF153"/>
          <cell r="CG153">
            <v>1</v>
          </cell>
          <cell r="CH153">
            <v>22.916666666666668</v>
          </cell>
          <cell r="CI153">
            <v>0</v>
          </cell>
          <cell r="CJ153">
            <v>1</v>
          </cell>
          <cell r="CK153">
            <v>1</v>
          </cell>
          <cell r="CL153"/>
          <cell r="CM153">
            <v>0</v>
          </cell>
          <cell r="CN153">
            <v>20</v>
          </cell>
          <cell r="CO153">
            <v>0</v>
          </cell>
          <cell r="CP153">
            <v>1</v>
          </cell>
          <cell r="CQ153">
            <v>1</v>
          </cell>
          <cell r="CR153"/>
          <cell r="CS153">
            <v>0</v>
          </cell>
          <cell r="CT153">
            <v>24</v>
          </cell>
          <cell r="CU153">
            <v>0</v>
          </cell>
          <cell r="CV153">
            <v>1</v>
          </cell>
          <cell r="CW153">
            <v>0</v>
          </cell>
          <cell r="CX153"/>
          <cell r="CY153">
            <v>1</v>
          </cell>
          <cell r="CZ153">
            <v>26.833333333333336</v>
          </cell>
          <cell r="DA153">
            <v>0</v>
          </cell>
          <cell r="DB153">
            <v>1</v>
          </cell>
          <cell r="DC153">
            <v>0</v>
          </cell>
          <cell r="DD153"/>
          <cell r="DE153">
            <v>2</v>
          </cell>
          <cell r="DF153">
            <v>23.833333333333336</v>
          </cell>
          <cell r="DG153">
            <v>0</v>
          </cell>
          <cell r="DH153">
            <v>1</v>
          </cell>
          <cell r="DI153">
            <v>0</v>
          </cell>
          <cell r="DJ153"/>
          <cell r="DK153">
            <v>3</v>
          </cell>
        </row>
        <row r="154">
          <cell r="B154" t="str">
            <v>CN1633</v>
          </cell>
          <cell r="C154" t="str">
            <v>Khối sản xuất</v>
          </cell>
          <cell r="D154" t="str">
            <v>Thạch Ngọc Anh</v>
          </cell>
          <cell r="E154" t="str">
            <v>SX</v>
          </cell>
          <cell r="F154">
            <v>45916</v>
          </cell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>
            <v>26</v>
          </cell>
          <cell r="BQ154" t="str">
            <v>x</v>
          </cell>
          <cell r="BR154">
            <v>0</v>
          </cell>
          <cell r="BS154">
            <v>0</v>
          </cell>
          <cell r="BT154"/>
          <cell r="BU154">
            <v>0</v>
          </cell>
          <cell r="BV154">
            <v>25</v>
          </cell>
          <cell r="BW154">
            <v>0</v>
          </cell>
          <cell r="BX154">
            <v>1</v>
          </cell>
          <cell r="BY154">
            <v>1</v>
          </cell>
          <cell r="BZ154"/>
          <cell r="CA154">
            <v>0</v>
          </cell>
          <cell r="CB154">
            <v>24</v>
          </cell>
          <cell r="CC154">
            <v>0</v>
          </cell>
          <cell r="CD154">
            <v>1</v>
          </cell>
          <cell r="CE154">
            <v>1</v>
          </cell>
          <cell r="CF154"/>
          <cell r="CG154">
            <v>0</v>
          </cell>
          <cell r="CH154">
            <v>25</v>
          </cell>
          <cell r="CI154">
            <v>0</v>
          </cell>
          <cell r="CJ154">
            <v>1</v>
          </cell>
          <cell r="CK154">
            <v>0</v>
          </cell>
          <cell r="CL154"/>
          <cell r="CM154">
            <v>1</v>
          </cell>
          <cell r="CN154">
            <v>21</v>
          </cell>
          <cell r="CO154">
            <v>0</v>
          </cell>
          <cell r="CP154">
            <v>1</v>
          </cell>
          <cell r="CQ154">
            <v>1</v>
          </cell>
          <cell r="CR154"/>
          <cell r="CS154">
            <v>1</v>
          </cell>
          <cell r="CT154">
            <v>24</v>
          </cell>
          <cell r="CU154">
            <v>0</v>
          </cell>
          <cell r="CV154">
            <v>1</v>
          </cell>
          <cell r="CW154">
            <v>0</v>
          </cell>
          <cell r="CX154"/>
          <cell r="CY154">
            <v>2</v>
          </cell>
          <cell r="CZ154">
            <v>27</v>
          </cell>
          <cell r="DA154">
            <v>0</v>
          </cell>
          <cell r="DB154">
            <v>1</v>
          </cell>
          <cell r="DC154">
            <v>0</v>
          </cell>
          <cell r="DD154"/>
          <cell r="DE154">
            <v>3</v>
          </cell>
          <cell r="DF154">
            <v>25</v>
          </cell>
          <cell r="DG154">
            <v>0</v>
          </cell>
          <cell r="DH154">
            <v>1</v>
          </cell>
          <cell r="DI154">
            <v>0</v>
          </cell>
          <cell r="DJ154"/>
          <cell r="DK154">
            <v>4</v>
          </cell>
        </row>
        <row r="155">
          <cell r="B155" t="str">
            <v>CN1642</v>
          </cell>
          <cell r="C155" t="str">
            <v>Khối sản xuất</v>
          </cell>
          <cell r="D155" t="str">
            <v>Nguyễn Văn Lý Hùng</v>
          </cell>
          <cell r="E155" t="str">
            <v>SX</v>
          </cell>
          <cell r="F155">
            <v>45930</v>
          </cell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>
            <v>22.666666666666664</v>
          </cell>
          <cell r="BQ155" t="str">
            <v>x</v>
          </cell>
          <cell r="BR155">
            <v>0</v>
          </cell>
          <cell r="BS155">
            <v>0</v>
          </cell>
          <cell r="BT155"/>
          <cell r="BU155">
            <v>0</v>
          </cell>
          <cell r="BV155">
            <v>26</v>
          </cell>
          <cell r="BW155">
            <v>0</v>
          </cell>
          <cell r="BX155">
            <v>1</v>
          </cell>
          <cell r="BY155">
            <v>0</v>
          </cell>
          <cell r="BZ155"/>
          <cell r="CA155">
            <v>1</v>
          </cell>
          <cell r="CB155">
            <v>26</v>
          </cell>
          <cell r="CC155">
            <v>0</v>
          </cell>
          <cell r="CD155">
            <v>1</v>
          </cell>
          <cell r="CE155">
            <v>0</v>
          </cell>
          <cell r="CF155"/>
          <cell r="CG155">
            <v>2</v>
          </cell>
          <cell r="CH155">
            <v>24</v>
          </cell>
          <cell r="CI155">
            <v>0</v>
          </cell>
          <cell r="CJ155">
            <v>1</v>
          </cell>
          <cell r="CK155">
            <v>1</v>
          </cell>
          <cell r="CL155"/>
          <cell r="CM155">
            <v>0</v>
          </cell>
          <cell r="CN155">
            <v>21</v>
          </cell>
          <cell r="CO155">
            <v>0</v>
          </cell>
          <cell r="CP155">
            <v>1</v>
          </cell>
          <cell r="CQ155">
            <v>1</v>
          </cell>
          <cell r="CR155"/>
          <cell r="CS155">
            <v>0</v>
          </cell>
          <cell r="CT155">
            <v>24</v>
          </cell>
          <cell r="CU155">
            <v>0</v>
          </cell>
          <cell r="CV155">
            <v>1</v>
          </cell>
          <cell r="CW155">
            <v>0</v>
          </cell>
          <cell r="CX155"/>
          <cell r="CY155">
            <v>1</v>
          </cell>
          <cell r="CZ155">
            <v>26</v>
          </cell>
          <cell r="DA155">
            <v>0</v>
          </cell>
          <cell r="DB155">
            <v>1</v>
          </cell>
          <cell r="DC155">
            <v>1</v>
          </cell>
          <cell r="DD155"/>
          <cell r="DE155">
            <v>1</v>
          </cell>
          <cell r="DF155">
            <v>25</v>
          </cell>
          <cell r="DG155">
            <v>0</v>
          </cell>
          <cell r="DH155">
            <v>1</v>
          </cell>
          <cell r="DI155">
            <v>0</v>
          </cell>
          <cell r="DJ155"/>
          <cell r="DK155">
            <v>2</v>
          </cell>
        </row>
        <row r="156">
          <cell r="B156" t="str">
            <v>CN1649</v>
          </cell>
          <cell r="C156" t="str">
            <v>Khối sản xuất</v>
          </cell>
          <cell r="D156" t="str">
            <v>Chau Thi</v>
          </cell>
          <cell r="E156" t="str">
            <v>SX</v>
          </cell>
          <cell r="F156">
            <v>45951</v>
          </cell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>
            <v>4.666666666666667</v>
          </cell>
          <cell r="BQ156" t="str">
            <v>x</v>
          </cell>
          <cell r="BR156">
            <v>0</v>
          </cell>
          <cell r="BS156">
            <v>0</v>
          </cell>
          <cell r="BT156"/>
          <cell r="BU156">
            <v>0</v>
          </cell>
          <cell r="BV156">
            <v>24.25</v>
          </cell>
          <cell r="BW156" t="str">
            <v>x</v>
          </cell>
          <cell r="BX156">
            <v>0</v>
          </cell>
          <cell r="BY156">
            <v>0</v>
          </cell>
          <cell r="BZ156"/>
          <cell r="CA156">
            <v>0</v>
          </cell>
          <cell r="CB156">
            <v>25.166666666666664</v>
          </cell>
          <cell r="CC156">
            <v>0</v>
          </cell>
          <cell r="CD156">
            <v>1</v>
          </cell>
          <cell r="CE156">
            <v>0</v>
          </cell>
          <cell r="CF156"/>
          <cell r="CG156">
            <v>1</v>
          </cell>
          <cell r="CH156">
            <v>24.666666666666664</v>
          </cell>
          <cell r="CI156">
            <v>0</v>
          </cell>
          <cell r="CJ156">
            <v>1</v>
          </cell>
          <cell r="CK156">
            <v>0</v>
          </cell>
          <cell r="CL156"/>
          <cell r="CM156">
            <v>1</v>
          </cell>
          <cell r="CN156">
            <v>18</v>
          </cell>
          <cell r="CO156">
            <v>0</v>
          </cell>
          <cell r="CP156">
            <v>1</v>
          </cell>
          <cell r="CQ156">
            <v>1</v>
          </cell>
          <cell r="CR156"/>
          <cell r="CS156">
            <v>1</v>
          </cell>
          <cell r="CT156">
            <v>23</v>
          </cell>
          <cell r="CU156">
            <v>0</v>
          </cell>
          <cell r="CV156">
            <v>1</v>
          </cell>
          <cell r="CW156">
            <v>0</v>
          </cell>
          <cell r="CX156"/>
          <cell r="CY156">
            <v>2</v>
          </cell>
          <cell r="CZ156">
            <v>25.916666666666668</v>
          </cell>
          <cell r="DA156">
            <v>0</v>
          </cell>
          <cell r="DB156">
            <v>1</v>
          </cell>
          <cell r="DC156">
            <v>0</v>
          </cell>
          <cell r="DD156"/>
          <cell r="DE156">
            <v>3</v>
          </cell>
          <cell r="DF156">
            <v>24.75</v>
          </cell>
          <cell r="DG156">
            <v>0</v>
          </cell>
          <cell r="DH156">
            <v>1</v>
          </cell>
          <cell r="DI156">
            <v>0</v>
          </cell>
          <cell r="DJ156"/>
          <cell r="DK156">
            <v>4</v>
          </cell>
        </row>
        <row r="157">
          <cell r="B157" t="str">
            <v>NV1651</v>
          </cell>
          <cell r="C157" t="str">
            <v>Khối sản xuất</v>
          </cell>
          <cell r="D157" t="str">
            <v>Phạm Phú Cường</v>
          </cell>
          <cell r="E157" t="str">
            <v>SX</v>
          </cell>
          <cell r="F157">
            <v>45953</v>
          </cell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>
            <v>3</v>
          </cell>
          <cell r="BQ157" t="str">
            <v>x</v>
          </cell>
          <cell r="BR157">
            <v>0</v>
          </cell>
          <cell r="BS157">
            <v>0</v>
          </cell>
          <cell r="BT157"/>
          <cell r="BU157">
            <v>0</v>
          </cell>
          <cell r="BV157">
            <v>23.833333333333336</v>
          </cell>
          <cell r="BW157" t="str">
            <v>x</v>
          </cell>
          <cell r="BX157">
            <v>0</v>
          </cell>
          <cell r="BY157">
            <v>0</v>
          </cell>
          <cell r="BZ157"/>
          <cell r="CA157">
            <v>0</v>
          </cell>
          <cell r="CB157">
            <v>26</v>
          </cell>
          <cell r="CC157">
            <v>0</v>
          </cell>
          <cell r="CD157">
            <v>1</v>
          </cell>
          <cell r="CE157">
            <v>0</v>
          </cell>
          <cell r="CF157"/>
          <cell r="CG157">
            <v>1</v>
          </cell>
          <cell r="CH157">
            <v>23</v>
          </cell>
          <cell r="CI157">
            <v>0</v>
          </cell>
          <cell r="CJ157">
            <v>1</v>
          </cell>
          <cell r="CK157">
            <v>1</v>
          </cell>
          <cell r="CL157"/>
          <cell r="CM157">
            <v>0</v>
          </cell>
          <cell r="CN157">
            <v>18.916666666666664</v>
          </cell>
          <cell r="CO157">
            <v>0</v>
          </cell>
          <cell r="CP157">
            <v>1</v>
          </cell>
          <cell r="CQ157">
            <v>1</v>
          </cell>
          <cell r="CR157"/>
          <cell r="CS157">
            <v>0</v>
          </cell>
          <cell r="CT157">
            <v>22</v>
          </cell>
          <cell r="CU157">
            <v>0</v>
          </cell>
          <cell r="CV157">
            <v>1</v>
          </cell>
          <cell r="CW157">
            <v>1</v>
          </cell>
          <cell r="CX157"/>
          <cell r="CY157">
            <v>0</v>
          </cell>
          <cell r="CZ157">
            <v>27</v>
          </cell>
          <cell r="DA157">
            <v>0</v>
          </cell>
          <cell r="DB157">
            <v>1</v>
          </cell>
          <cell r="DC157">
            <v>0</v>
          </cell>
          <cell r="DD157"/>
          <cell r="DE157">
            <v>1</v>
          </cell>
          <cell r="DF157">
            <v>25</v>
          </cell>
          <cell r="DG157">
            <v>0</v>
          </cell>
          <cell r="DH157">
            <v>1</v>
          </cell>
          <cell r="DI157">
            <v>0</v>
          </cell>
          <cell r="DJ157"/>
          <cell r="DK157">
            <v>2</v>
          </cell>
        </row>
        <row r="158">
          <cell r="B158" t="str">
            <v>CN1638</v>
          </cell>
          <cell r="C158" t="str">
            <v>Khối sản xuất</v>
          </cell>
          <cell r="D158" t="str">
            <v>Nguyễn Hữu Phước</v>
          </cell>
          <cell r="E158" t="str">
            <v>SX</v>
          </cell>
          <cell r="F158">
            <v>45923</v>
          </cell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>
            <v>26</v>
          </cell>
          <cell r="BQ158" t="str">
            <v>x</v>
          </cell>
          <cell r="BR158">
            <v>0</v>
          </cell>
          <cell r="BS158">
            <v>0</v>
          </cell>
          <cell r="BT158"/>
          <cell r="BU158">
            <v>0</v>
          </cell>
          <cell r="BV158">
            <v>26</v>
          </cell>
          <cell r="BW158">
            <v>0</v>
          </cell>
          <cell r="BX158">
            <v>1</v>
          </cell>
          <cell r="BY158">
            <v>0</v>
          </cell>
          <cell r="BZ158"/>
          <cell r="CA158">
            <v>1</v>
          </cell>
          <cell r="CB158">
            <v>25</v>
          </cell>
          <cell r="CC158">
            <v>0</v>
          </cell>
          <cell r="CD158">
            <v>1</v>
          </cell>
          <cell r="CE158">
            <v>1</v>
          </cell>
          <cell r="CF158"/>
          <cell r="CG158">
            <v>1</v>
          </cell>
          <cell r="CH158">
            <v>24</v>
          </cell>
          <cell r="CI158">
            <v>0</v>
          </cell>
          <cell r="CJ158">
            <v>1</v>
          </cell>
          <cell r="CK158">
            <v>1</v>
          </cell>
          <cell r="CL158"/>
          <cell r="CM158">
            <v>0</v>
          </cell>
          <cell r="CN158">
            <v>21</v>
          </cell>
          <cell r="CO158">
            <v>0</v>
          </cell>
          <cell r="CP158">
            <v>1</v>
          </cell>
          <cell r="CQ158">
            <v>1</v>
          </cell>
          <cell r="CR158"/>
          <cell r="CS158">
            <v>0</v>
          </cell>
          <cell r="CT158">
            <v>24</v>
          </cell>
          <cell r="CU158">
            <v>0</v>
          </cell>
          <cell r="CV158">
            <v>1</v>
          </cell>
          <cell r="CW158">
            <v>0</v>
          </cell>
          <cell r="CX158"/>
          <cell r="CY158">
            <v>1</v>
          </cell>
          <cell r="CZ158">
            <v>27</v>
          </cell>
          <cell r="DA158">
            <v>0</v>
          </cell>
          <cell r="DB158">
            <v>1</v>
          </cell>
          <cell r="DC158">
            <v>0</v>
          </cell>
          <cell r="DD158"/>
          <cell r="DE158">
            <v>2</v>
          </cell>
          <cell r="DF158">
            <v>22</v>
          </cell>
          <cell r="DG158">
            <v>0</v>
          </cell>
          <cell r="DH158">
            <v>1</v>
          </cell>
          <cell r="DI158">
            <v>0</v>
          </cell>
          <cell r="DJ158"/>
          <cell r="DK158">
            <v>3</v>
          </cell>
        </row>
        <row r="159">
          <cell r="B159" t="str">
            <v>CN1629</v>
          </cell>
          <cell r="C159" t="str">
            <v>Khối sản xuất</v>
          </cell>
          <cell r="D159" t="str">
            <v>Trương Thị Kim Chi</v>
          </cell>
          <cell r="E159" t="str">
            <v>SX</v>
          </cell>
          <cell r="F159">
            <v>45909</v>
          </cell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>
            <v>26</v>
          </cell>
          <cell r="BQ159" t="str">
            <v>x</v>
          </cell>
          <cell r="BR159">
            <v>0</v>
          </cell>
          <cell r="BS159">
            <v>0</v>
          </cell>
          <cell r="BT159"/>
          <cell r="BU159">
            <v>0</v>
          </cell>
          <cell r="BV159">
            <v>26</v>
          </cell>
          <cell r="BW159">
            <v>0</v>
          </cell>
          <cell r="BX159">
            <v>1</v>
          </cell>
          <cell r="BY159">
            <v>0</v>
          </cell>
          <cell r="BZ159"/>
          <cell r="CA159">
            <v>1</v>
          </cell>
          <cell r="CB159">
            <v>26</v>
          </cell>
          <cell r="CC159">
            <v>0</v>
          </cell>
          <cell r="CD159">
            <v>1</v>
          </cell>
          <cell r="CE159">
            <v>0</v>
          </cell>
          <cell r="CF159"/>
          <cell r="CG159">
            <v>2</v>
          </cell>
          <cell r="CH159">
            <v>25</v>
          </cell>
          <cell r="CI159">
            <v>0</v>
          </cell>
          <cell r="CJ159">
            <v>1</v>
          </cell>
          <cell r="CK159">
            <v>0</v>
          </cell>
          <cell r="CL159"/>
          <cell r="CM159">
            <v>1</v>
          </cell>
          <cell r="CN159">
            <v>21</v>
          </cell>
          <cell r="CO159">
            <v>0</v>
          </cell>
          <cell r="CP159">
            <v>1</v>
          </cell>
          <cell r="CQ159">
            <v>1</v>
          </cell>
          <cell r="CR159"/>
          <cell r="CS159">
            <v>1</v>
          </cell>
          <cell r="CT159">
            <v>24</v>
          </cell>
          <cell r="CU159">
            <v>0</v>
          </cell>
          <cell r="CV159">
            <v>1</v>
          </cell>
          <cell r="CW159">
            <v>0</v>
          </cell>
          <cell r="CX159"/>
          <cell r="CY159">
            <v>2</v>
          </cell>
          <cell r="CZ159">
            <v>22</v>
          </cell>
          <cell r="DA159">
            <v>0</v>
          </cell>
          <cell r="DB159">
            <v>1</v>
          </cell>
          <cell r="DC159">
            <v>0</v>
          </cell>
          <cell r="DD159"/>
          <cell r="DE159">
            <v>3</v>
          </cell>
          <cell r="DF159">
            <v>23</v>
          </cell>
          <cell r="DG159">
            <v>0</v>
          </cell>
          <cell r="DH159">
            <v>1</v>
          </cell>
          <cell r="DI159">
            <v>1</v>
          </cell>
          <cell r="DJ159"/>
          <cell r="DK159">
            <v>3</v>
          </cell>
        </row>
        <row r="160">
          <cell r="B160" t="str">
            <v>CN1657</v>
          </cell>
          <cell r="C160" t="str">
            <v>Khối sản xuất</v>
          </cell>
          <cell r="D160" t="str">
            <v>Nguyễn Văn Hiếu</v>
          </cell>
          <cell r="E160" t="str">
            <v>SX</v>
          </cell>
          <cell r="F160">
            <v>45967</v>
          </cell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>
            <v>17</v>
          </cell>
          <cell r="BW160" t="str">
            <v>x</v>
          </cell>
          <cell r="BX160">
            <v>0</v>
          </cell>
          <cell r="BY160">
            <v>0</v>
          </cell>
          <cell r="BZ160"/>
          <cell r="CA160">
            <v>0</v>
          </cell>
          <cell r="CB160">
            <v>25.111111111111111</v>
          </cell>
          <cell r="CC160">
            <v>0</v>
          </cell>
          <cell r="CD160">
            <v>1</v>
          </cell>
          <cell r="CE160">
            <v>0</v>
          </cell>
          <cell r="CF160"/>
          <cell r="CG160">
            <v>1</v>
          </cell>
          <cell r="CH160">
            <v>24</v>
          </cell>
          <cell r="CI160">
            <v>0</v>
          </cell>
          <cell r="CJ160">
            <v>1</v>
          </cell>
          <cell r="CK160">
            <v>1</v>
          </cell>
          <cell r="CL160"/>
          <cell r="CM160">
            <v>0</v>
          </cell>
          <cell r="CN160">
            <v>21</v>
          </cell>
          <cell r="CO160">
            <v>0</v>
          </cell>
          <cell r="CP160">
            <v>1</v>
          </cell>
          <cell r="CQ160">
            <v>1</v>
          </cell>
          <cell r="CR160"/>
          <cell r="CS160">
            <v>0</v>
          </cell>
          <cell r="CT160">
            <v>24</v>
          </cell>
          <cell r="CU160">
            <v>0</v>
          </cell>
          <cell r="CV160">
            <v>1</v>
          </cell>
          <cell r="CW160">
            <v>0</v>
          </cell>
          <cell r="CX160"/>
          <cell r="CY160">
            <v>1</v>
          </cell>
          <cell r="CZ160">
            <v>27</v>
          </cell>
          <cell r="DA160">
            <v>0</v>
          </cell>
          <cell r="DB160">
            <v>1</v>
          </cell>
          <cell r="DC160">
            <v>0</v>
          </cell>
          <cell r="DD160"/>
          <cell r="DE160">
            <v>2</v>
          </cell>
          <cell r="DF160">
            <v>14</v>
          </cell>
          <cell r="DG160">
            <v>0</v>
          </cell>
          <cell r="DH160">
            <v>0</v>
          </cell>
          <cell r="DI160">
            <v>0</v>
          </cell>
          <cell r="DJ160"/>
          <cell r="DK160">
            <v>2</v>
          </cell>
        </row>
        <row r="161">
          <cell r="B161" t="str">
            <v>CN1654</v>
          </cell>
          <cell r="C161" t="str">
            <v>Khối sản xuất</v>
          </cell>
          <cell r="D161" t="str">
            <v>Huỳnh Quốc Danh</v>
          </cell>
          <cell r="E161" t="str">
            <v>SX</v>
          </cell>
          <cell r="F161">
            <v>45958</v>
          </cell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>
            <v>23</v>
          </cell>
          <cell r="BW161" t="str">
            <v>x</v>
          </cell>
          <cell r="BX161">
            <v>0</v>
          </cell>
          <cell r="BY161">
            <v>0</v>
          </cell>
          <cell r="BZ161"/>
          <cell r="CA161">
            <v>0</v>
          </cell>
          <cell r="CB161">
            <v>26</v>
          </cell>
          <cell r="CC161">
            <v>0</v>
          </cell>
          <cell r="CD161">
            <v>1</v>
          </cell>
          <cell r="CE161">
            <v>0</v>
          </cell>
          <cell r="CF161"/>
          <cell r="CG161">
            <v>1</v>
          </cell>
          <cell r="CH161">
            <v>24</v>
          </cell>
          <cell r="CI161">
            <v>0</v>
          </cell>
          <cell r="CJ161">
            <v>1</v>
          </cell>
          <cell r="CK161">
            <v>1</v>
          </cell>
          <cell r="CL161"/>
          <cell r="CM161">
            <v>0</v>
          </cell>
          <cell r="CN161">
            <v>20.833333333333332</v>
          </cell>
          <cell r="CO161">
            <v>0</v>
          </cell>
          <cell r="CP161">
            <v>1</v>
          </cell>
          <cell r="CQ161">
            <v>1</v>
          </cell>
          <cell r="CR161"/>
          <cell r="CS161">
            <v>0</v>
          </cell>
          <cell r="CT161">
            <v>24</v>
          </cell>
          <cell r="CU161">
            <v>0</v>
          </cell>
          <cell r="CV161">
            <v>1</v>
          </cell>
          <cell r="CW161">
            <v>0</v>
          </cell>
          <cell r="CX161"/>
          <cell r="CY161">
            <v>1</v>
          </cell>
          <cell r="CZ161">
            <v>27</v>
          </cell>
          <cell r="DA161">
            <v>0</v>
          </cell>
          <cell r="DB161">
            <v>1</v>
          </cell>
          <cell r="DC161">
            <v>0</v>
          </cell>
          <cell r="DD161"/>
          <cell r="DE161">
            <v>2</v>
          </cell>
          <cell r="DF161">
            <v>23.666666666666668</v>
          </cell>
          <cell r="DG161">
            <v>0</v>
          </cell>
          <cell r="DH161">
            <v>1</v>
          </cell>
          <cell r="DI161">
            <v>0</v>
          </cell>
          <cell r="DJ161"/>
          <cell r="DK161">
            <v>3</v>
          </cell>
        </row>
        <row r="162">
          <cell r="B162" t="str">
            <v>CN1655</v>
          </cell>
          <cell r="C162" t="str">
            <v>Khối sản xuất</v>
          </cell>
          <cell r="D162" t="str">
            <v>Lê Minh Chiến</v>
          </cell>
          <cell r="E162" t="str">
            <v>SX</v>
          </cell>
          <cell r="F162">
            <v>45961</v>
          </cell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>
            <v>22</v>
          </cell>
          <cell r="BW162" t="str">
            <v>x</v>
          </cell>
          <cell r="BX162">
            <v>0</v>
          </cell>
          <cell r="BY162">
            <v>0</v>
          </cell>
          <cell r="BZ162"/>
          <cell r="CA162">
            <v>0</v>
          </cell>
          <cell r="CB162">
            <v>25</v>
          </cell>
          <cell r="CC162">
            <v>0</v>
          </cell>
          <cell r="CD162">
            <v>1</v>
          </cell>
          <cell r="CE162">
            <v>1</v>
          </cell>
          <cell r="CF162"/>
          <cell r="CG162">
            <v>0</v>
          </cell>
          <cell r="CH162">
            <v>24</v>
          </cell>
          <cell r="CI162">
            <v>0</v>
          </cell>
          <cell r="CJ162">
            <v>1</v>
          </cell>
          <cell r="CK162">
            <v>1</v>
          </cell>
          <cell r="CL162"/>
          <cell r="CM162">
            <v>0</v>
          </cell>
          <cell r="CN162">
            <v>20</v>
          </cell>
          <cell r="CO162">
            <v>0</v>
          </cell>
          <cell r="CP162">
            <v>1</v>
          </cell>
          <cell r="CQ162">
            <v>1</v>
          </cell>
          <cell r="CR162"/>
          <cell r="CS162">
            <v>0</v>
          </cell>
          <cell r="CT162">
            <v>24</v>
          </cell>
          <cell r="CU162">
            <v>0</v>
          </cell>
          <cell r="CV162">
            <v>1</v>
          </cell>
          <cell r="CW162">
            <v>0</v>
          </cell>
          <cell r="CX162"/>
          <cell r="CY162">
            <v>1</v>
          </cell>
          <cell r="CZ162">
            <v>27</v>
          </cell>
          <cell r="DA162">
            <v>0</v>
          </cell>
          <cell r="DB162">
            <v>1</v>
          </cell>
          <cell r="DC162">
            <v>0</v>
          </cell>
          <cell r="DD162"/>
          <cell r="DE162">
            <v>2</v>
          </cell>
          <cell r="DF162">
            <v>25</v>
          </cell>
          <cell r="DG162">
            <v>0</v>
          </cell>
          <cell r="DH162">
            <v>1</v>
          </cell>
          <cell r="DI162">
            <v>0</v>
          </cell>
          <cell r="DJ162"/>
          <cell r="DK162">
            <v>3</v>
          </cell>
        </row>
        <row r="163">
          <cell r="B163" t="str">
            <v>CN1661</v>
          </cell>
          <cell r="C163" t="str">
            <v>Khối sản xuất</v>
          </cell>
          <cell r="D163" t="str">
            <v>Lê Chí Nguyện</v>
          </cell>
          <cell r="E163" t="str">
            <v>SX</v>
          </cell>
          <cell r="F163">
            <v>45971</v>
          </cell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>
            <v>14</v>
          </cell>
          <cell r="BW163" t="str">
            <v>x</v>
          </cell>
          <cell r="BX163">
            <v>0</v>
          </cell>
          <cell r="BY163">
            <v>0</v>
          </cell>
          <cell r="BZ163"/>
          <cell r="CA163">
            <v>0</v>
          </cell>
          <cell r="CB163">
            <v>24</v>
          </cell>
          <cell r="CC163">
            <v>0</v>
          </cell>
          <cell r="CD163">
            <v>1</v>
          </cell>
          <cell r="CE163">
            <v>0</v>
          </cell>
          <cell r="CF163"/>
          <cell r="CG163">
            <v>1</v>
          </cell>
          <cell r="CH163">
            <v>23</v>
          </cell>
          <cell r="CI163">
            <v>0</v>
          </cell>
          <cell r="CJ163">
            <v>1</v>
          </cell>
          <cell r="CK163">
            <v>1</v>
          </cell>
          <cell r="CL163"/>
          <cell r="CM163">
            <v>0</v>
          </cell>
          <cell r="CN163">
            <v>21</v>
          </cell>
          <cell r="CO163">
            <v>0</v>
          </cell>
          <cell r="CP163">
            <v>1</v>
          </cell>
          <cell r="CQ163">
            <v>1</v>
          </cell>
          <cell r="CR163"/>
          <cell r="CS163">
            <v>0</v>
          </cell>
          <cell r="CT163">
            <v>23.916666666666668</v>
          </cell>
          <cell r="CU163">
            <v>0</v>
          </cell>
          <cell r="CV163">
            <v>1</v>
          </cell>
          <cell r="CW163">
            <v>0</v>
          </cell>
          <cell r="CX163"/>
          <cell r="CY163">
            <v>1</v>
          </cell>
          <cell r="CZ163">
            <v>27</v>
          </cell>
          <cell r="DA163">
            <v>0</v>
          </cell>
          <cell r="DB163">
            <v>1</v>
          </cell>
          <cell r="DC163">
            <v>0</v>
          </cell>
          <cell r="DD163"/>
          <cell r="DE163">
            <v>2</v>
          </cell>
          <cell r="DF163">
            <v>20.833333333333332</v>
          </cell>
          <cell r="DG163">
            <v>0</v>
          </cell>
          <cell r="DH163">
            <v>1</v>
          </cell>
          <cell r="DI163">
            <v>2</v>
          </cell>
          <cell r="DJ163"/>
          <cell r="DK163">
            <v>1</v>
          </cell>
        </row>
        <row r="164">
          <cell r="B164" t="str">
            <v>CN0302</v>
          </cell>
          <cell r="C164" t="str">
            <v>Khối sản xuất</v>
          </cell>
          <cell r="D164" t="str">
            <v>Trần Thị Diệu</v>
          </cell>
          <cell r="E164" t="str">
            <v>SX</v>
          </cell>
          <cell r="F164">
            <v>45951</v>
          </cell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>
            <v>5</v>
          </cell>
          <cell r="BQ164" t="str">
            <v>x</v>
          </cell>
          <cell r="BR164">
            <v>0</v>
          </cell>
          <cell r="BS164">
            <v>0</v>
          </cell>
          <cell r="BT164"/>
          <cell r="BU164">
            <v>0</v>
          </cell>
          <cell r="BV164">
            <v>26</v>
          </cell>
          <cell r="BW164" t="str">
            <v>x</v>
          </cell>
          <cell r="BX164">
            <v>0</v>
          </cell>
          <cell r="BY164">
            <v>0</v>
          </cell>
          <cell r="BZ164"/>
          <cell r="CA164">
            <v>0</v>
          </cell>
          <cell r="CB164">
            <v>26</v>
          </cell>
          <cell r="CC164">
            <v>0</v>
          </cell>
          <cell r="CD164">
            <v>1</v>
          </cell>
          <cell r="CE164">
            <v>0</v>
          </cell>
          <cell r="CF164"/>
          <cell r="CG164">
            <v>1</v>
          </cell>
          <cell r="CH164">
            <v>24</v>
          </cell>
          <cell r="CI164">
            <v>0</v>
          </cell>
          <cell r="CJ164">
            <v>1</v>
          </cell>
          <cell r="CK164">
            <v>1</v>
          </cell>
          <cell r="CL164"/>
          <cell r="CM164">
            <v>0</v>
          </cell>
          <cell r="CN164">
            <v>21</v>
          </cell>
          <cell r="CO164">
            <v>0</v>
          </cell>
          <cell r="CP164">
            <v>1</v>
          </cell>
          <cell r="CQ164">
            <v>1</v>
          </cell>
          <cell r="CR164"/>
          <cell r="CS164">
            <v>0</v>
          </cell>
          <cell r="CT164">
            <v>24</v>
          </cell>
          <cell r="CU164">
            <v>0</v>
          </cell>
          <cell r="CV164">
            <v>1</v>
          </cell>
          <cell r="CW164">
            <v>0</v>
          </cell>
          <cell r="CX164"/>
          <cell r="CY164">
            <v>1</v>
          </cell>
          <cell r="CZ164">
            <v>25</v>
          </cell>
          <cell r="DA164">
            <v>0</v>
          </cell>
          <cell r="DB164">
            <v>1</v>
          </cell>
          <cell r="DC164">
            <v>1</v>
          </cell>
          <cell r="DD164"/>
          <cell r="DE164">
            <v>1</v>
          </cell>
          <cell r="DF164">
            <v>24</v>
          </cell>
          <cell r="DG164">
            <v>0</v>
          </cell>
          <cell r="DH164">
            <v>1</v>
          </cell>
          <cell r="DI164">
            <v>0</v>
          </cell>
          <cell r="DJ164"/>
          <cell r="DK164">
            <v>2</v>
          </cell>
        </row>
        <row r="165">
          <cell r="B165" t="str">
            <v>NV1436</v>
          </cell>
          <cell r="C165" t="str">
            <v>Khối sản xuất</v>
          </cell>
          <cell r="D165" t="str">
            <v>Võ Nguyễn Đức Tài</v>
          </cell>
          <cell r="E165" t="str">
            <v>SX</v>
          </cell>
          <cell r="F165">
            <v>45705</v>
          </cell>
          <cell r="G165"/>
          <cell r="H165">
            <v>21.875</v>
          </cell>
          <cell r="I165" t="str">
            <v>x</v>
          </cell>
          <cell r="J165">
            <v>0</v>
          </cell>
          <cell r="K165">
            <v>0</v>
          </cell>
          <cell r="L165"/>
          <cell r="M165">
            <v>0</v>
          </cell>
          <cell r="N165">
            <v>0</v>
          </cell>
          <cell r="O165" t="str">
            <v>x</v>
          </cell>
          <cell r="P165">
            <v>0</v>
          </cell>
          <cell r="Q165">
            <v>0</v>
          </cell>
          <cell r="R165"/>
          <cell r="S165">
            <v>0</v>
          </cell>
          <cell r="T165" t="e">
            <v>#REF!</v>
          </cell>
          <cell r="U165" t="str">
            <v>x</v>
          </cell>
          <cell r="V165">
            <v>0</v>
          </cell>
          <cell r="W165" t="e">
            <v>#REF!</v>
          </cell>
          <cell r="X165"/>
          <cell r="Y165">
            <v>0</v>
          </cell>
          <cell r="Z165">
            <v>26</v>
          </cell>
          <cell r="AA165" t="str">
            <v>x</v>
          </cell>
          <cell r="AB165">
            <v>0</v>
          </cell>
          <cell r="AC165">
            <v>0</v>
          </cell>
          <cell r="AD165"/>
          <cell r="AE165">
            <v>0</v>
          </cell>
          <cell r="AF165">
            <v>24</v>
          </cell>
          <cell r="AG165">
            <v>0</v>
          </cell>
          <cell r="AH165">
            <v>1</v>
          </cell>
          <cell r="AI165">
            <v>0</v>
          </cell>
          <cell r="AJ165"/>
          <cell r="AK165">
            <v>1</v>
          </cell>
          <cell r="AL165">
            <v>26</v>
          </cell>
          <cell r="AM165">
            <v>0</v>
          </cell>
          <cell r="AN165">
            <v>1</v>
          </cell>
          <cell r="AO165">
            <v>0</v>
          </cell>
          <cell r="AP165"/>
          <cell r="AQ165">
            <v>2</v>
          </cell>
          <cell r="AR165">
            <v>25</v>
          </cell>
          <cell r="AS165">
            <v>0</v>
          </cell>
          <cell r="AT165">
            <v>1</v>
          </cell>
          <cell r="AU165">
            <v>0</v>
          </cell>
          <cell r="AV165"/>
          <cell r="AW165">
            <v>3</v>
          </cell>
          <cell r="AX165">
            <v>27</v>
          </cell>
          <cell r="AY165">
            <v>0</v>
          </cell>
          <cell r="AZ165">
            <v>1</v>
          </cell>
          <cell r="BA165">
            <v>0</v>
          </cell>
          <cell r="BB165"/>
          <cell r="BC165">
            <v>4</v>
          </cell>
          <cell r="BD165">
            <v>25</v>
          </cell>
          <cell r="BE165">
            <v>0</v>
          </cell>
          <cell r="BF165">
            <v>1</v>
          </cell>
          <cell r="BG165">
            <v>1</v>
          </cell>
          <cell r="BH165"/>
          <cell r="BI165">
            <v>4</v>
          </cell>
          <cell r="BJ165">
            <v>24</v>
          </cell>
          <cell r="BK165">
            <v>0</v>
          </cell>
          <cell r="BL165">
            <v>1</v>
          </cell>
          <cell r="BM165">
            <v>0</v>
          </cell>
          <cell r="BN165"/>
          <cell r="BO165">
            <v>5</v>
          </cell>
          <cell r="BP165">
            <v>26</v>
          </cell>
          <cell r="BQ165">
            <v>0</v>
          </cell>
          <cell r="BR165">
            <v>1</v>
          </cell>
          <cell r="BS165">
            <v>1</v>
          </cell>
          <cell r="BT165"/>
          <cell r="BU165">
            <v>5</v>
          </cell>
          <cell r="BV165">
            <v>25</v>
          </cell>
          <cell r="BW165">
            <v>0</v>
          </cell>
          <cell r="BX165">
            <v>1</v>
          </cell>
          <cell r="BY165">
            <v>0</v>
          </cell>
          <cell r="BZ165"/>
          <cell r="CA165">
            <v>6</v>
          </cell>
          <cell r="CB165">
            <v>26</v>
          </cell>
          <cell r="CC165">
            <v>0</v>
          </cell>
          <cell r="CD165">
            <v>1</v>
          </cell>
          <cell r="CE165">
            <v>0</v>
          </cell>
          <cell r="CF165"/>
          <cell r="CG165">
            <v>7</v>
          </cell>
          <cell r="CH165">
            <v>24</v>
          </cell>
          <cell r="CI165">
            <v>0</v>
          </cell>
          <cell r="CJ165">
            <v>1</v>
          </cell>
          <cell r="CK165">
            <v>1</v>
          </cell>
          <cell r="CL165"/>
          <cell r="CM165">
            <v>0</v>
          </cell>
          <cell r="CN165">
            <v>21</v>
          </cell>
          <cell r="CO165">
            <v>0</v>
          </cell>
          <cell r="CP165">
            <v>1</v>
          </cell>
          <cell r="CQ165">
            <v>1</v>
          </cell>
          <cell r="CR165"/>
          <cell r="CS165">
            <v>0</v>
          </cell>
          <cell r="CT165">
            <v>24</v>
          </cell>
          <cell r="CU165">
            <v>0</v>
          </cell>
          <cell r="CV165">
            <v>1</v>
          </cell>
          <cell r="CW165">
            <v>0</v>
          </cell>
          <cell r="CX165"/>
          <cell r="CY165">
            <v>1</v>
          </cell>
          <cell r="CZ165">
            <v>27</v>
          </cell>
          <cell r="DA165">
            <v>0</v>
          </cell>
          <cell r="DB165">
            <v>1</v>
          </cell>
          <cell r="DC165">
            <v>0</v>
          </cell>
          <cell r="DD165"/>
          <cell r="DE165">
            <v>2</v>
          </cell>
          <cell r="DF165">
            <v>25</v>
          </cell>
          <cell r="DG165">
            <v>0</v>
          </cell>
          <cell r="DH165">
            <v>1</v>
          </cell>
          <cell r="DI165">
            <v>0</v>
          </cell>
          <cell r="DJ165"/>
          <cell r="DK165">
            <v>3</v>
          </cell>
        </row>
        <row r="166">
          <cell r="B166" t="str">
            <v>CN1667</v>
          </cell>
          <cell r="C166" t="str">
            <v>Khối sản xuất</v>
          </cell>
          <cell r="D166" t="str">
            <v>Đặng Thành An</v>
          </cell>
          <cell r="E166" t="str">
            <v>SX</v>
          </cell>
          <cell r="F166">
            <v>45983</v>
          </cell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 t="e">
            <v>#N/A</v>
          </cell>
          <cell r="BW166">
            <v>0</v>
          </cell>
          <cell r="BX166" t="e">
            <v>#N/A</v>
          </cell>
          <cell r="BY166" t="e">
            <v>#N/A</v>
          </cell>
          <cell r="BZ166"/>
          <cell r="CA166"/>
          <cell r="CB166">
            <v>25</v>
          </cell>
          <cell r="CC166">
            <v>0</v>
          </cell>
          <cell r="CD166">
            <v>1</v>
          </cell>
          <cell r="CE166">
            <v>0</v>
          </cell>
          <cell r="CF166"/>
          <cell r="CG166">
            <v>1</v>
          </cell>
          <cell r="CH166">
            <v>23</v>
          </cell>
          <cell r="CI166">
            <v>0</v>
          </cell>
          <cell r="CJ166">
            <v>1</v>
          </cell>
          <cell r="CK166">
            <v>1</v>
          </cell>
          <cell r="CL166"/>
          <cell r="CM166">
            <v>0</v>
          </cell>
          <cell r="CN166">
            <v>20</v>
          </cell>
          <cell r="CO166">
            <v>0</v>
          </cell>
          <cell r="CP166">
            <v>1</v>
          </cell>
          <cell r="CQ166">
            <v>1</v>
          </cell>
          <cell r="CR166"/>
          <cell r="CS166">
            <v>0</v>
          </cell>
          <cell r="CT166">
            <v>24</v>
          </cell>
          <cell r="CU166">
            <v>0</v>
          </cell>
          <cell r="CV166">
            <v>1</v>
          </cell>
          <cell r="CW166">
            <v>0</v>
          </cell>
          <cell r="CX166"/>
          <cell r="CY166">
            <v>1</v>
          </cell>
          <cell r="CZ166">
            <v>26</v>
          </cell>
          <cell r="DA166">
            <v>0</v>
          </cell>
          <cell r="DB166">
            <v>1</v>
          </cell>
          <cell r="DC166">
            <v>0</v>
          </cell>
          <cell r="DD166"/>
          <cell r="DE166">
            <v>2</v>
          </cell>
          <cell r="DF166">
            <v>22</v>
          </cell>
          <cell r="DG166">
            <v>0</v>
          </cell>
          <cell r="DH166">
            <v>1</v>
          </cell>
          <cell r="DI166">
            <v>2</v>
          </cell>
          <cell r="DJ166"/>
          <cell r="DK166">
            <v>1</v>
          </cell>
        </row>
        <row r="167">
          <cell r="B167" t="str">
            <v>CN1676</v>
          </cell>
          <cell r="C167" t="str">
            <v>Khối sản xuất</v>
          </cell>
          <cell r="D167" t="str">
            <v>Ngô Thị Thu Vân</v>
          </cell>
          <cell r="E167" t="str">
            <v>SX</v>
          </cell>
          <cell r="F167">
            <v>46003</v>
          </cell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 t="e">
            <v>#N/A</v>
          </cell>
          <cell r="BW167">
            <v>0</v>
          </cell>
          <cell r="BX167" t="e">
            <v>#N/A</v>
          </cell>
          <cell r="BY167" t="e">
            <v>#N/A</v>
          </cell>
          <cell r="BZ167"/>
          <cell r="CA167"/>
          <cell r="CB167">
            <v>12</v>
          </cell>
          <cell r="CC167" t="str">
            <v>x</v>
          </cell>
          <cell r="CD167">
            <v>0</v>
          </cell>
          <cell r="CE167">
            <v>0</v>
          </cell>
          <cell r="CF167"/>
          <cell r="CG167">
            <v>0</v>
          </cell>
          <cell r="CH167">
            <v>24</v>
          </cell>
          <cell r="CI167">
            <v>0</v>
          </cell>
          <cell r="CJ167">
            <v>1</v>
          </cell>
          <cell r="CK167">
            <v>1</v>
          </cell>
          <cell r="CL167"/>
          <cell r="CM167">
            <v>0</v>
          </cell>
          <cell r="CN167">
            <v>21</v>
          </cell>
          <cell r="CO167">
            <v>0</v>
          </cell>
          <cell r="CP167">
            <v>1</v>
          </cell>
          <cell r="CQ167">
            <v>0</v>
          </cell>
          <cell r="CR167"/>
          <cell r="CS167">
            <v>1</v>
          </cell>
          <cell r="CT167">
            <v>23</v>
          </cell>
          <cell r="CU167">
            <v>0</v>
          </cell>
          <cell r="CV167">
            <v>1</v>
          </cell>
          <cell r="CW167">
            <v>1</v>
          </cell>
          <cell r="CX167"/>
          <cell r="CY167">
            <v>1</v>
          </cell>
          <cell r="CZ167">
            <v>25.5</v>
          </cell>
          <cell r="DA167">
            <v>0</v>
          </cell>
          <cell r="DB167">
            <v>1</v>
          </cell>
          <cell r="DC167">
            <v>1.5</v>
          </cell>
          <cell r="DD167"/>
          <cell r="DE167">
            <v>0.5</v>
          </cell>
          <cell r="DF167">
            <v>21</v>
          </cell>
          <cell r="DG167">
            <v>0</v>
          </cell>
          <cell r="DH167">
            <v>1</v>
          </cell>
          <cell r="DI167">
            <v>1</v>
          </cell>
          <cell r="DJ167"/>
          <cell r="DK167">
            <v>0.5</v>
          </cell>
        </row>
        <row r="168">
          <cell r="B168" t="str">
            <v>CN1668</v>
          </cell>
          <cell r="C168" t="str">
            <v>Khối sản xuất</v>
          </cell>
          <cell r="D168" t="str">
            <v>Sơn Thanh Dũng</v>
          </cell>
          <cell r="E168" t="str">
            <v>SX</v>
          </cell>
          <cell r="F168">
            <v>45987</v>
          </cell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 t="e">
            <v>#N/A</v>
          </cell>
          <cell r="BW168">
            <v>0</v>
          </cell>
          <cell r="BX168" t="e">
            <v>#N/A</v>
          </cell>
          <cell r="BY168" t="e">
            <v>#N/A</v>
          </cell>
          <cell r="BZ168"/>
          <cell r="CA168"/>
          <cell r="CB168">
            <v>26</v>
          </cell>
          <cell r="CC168">
            <v>0</v>
          </cell>
          <cell r="CD168">
            <v>1</v>
          </cell>
          <cell r="CE168">
            <v>0</v>
          </cell>
          <cell r="CF168"/>
          <cell r="CG168">
            <v>1</v>
          </cell>
          <cell r="CH168">
            <v>24</v>
          </cell>
          <cell r="CI168">
            <v>0</v>
          </cell>
          <cell r="CJ168">
            <v>1</v>
          </cell>
          <cell r="CK168">
            <v>1</v>
          </cell>
          <cell r="CL168"/>
          <cell r="CM168">
            <v>0</v>
          </cell>
          <cell r="CN168">
            <v>20</v>
          </cell>
          <cell r="CO168">
            <v>0</v>
          </cell>
          <cell r="CP168">
            <v>1</v>
          </cell>
          <cell r="CQ168">
            <v>1</v>
          </cell>
          <cell r="CR168"/>
          <cell r="CS168">
            <v>0</v>
          </cell>
          <cell r="CT168">
            <v>24</v>
          </cell>
          <cell r="CU168">
            <v>0</v>
          </cell>
          <cell r="CV168">
            <v>1</v>
          </cell>
          <cell r="CW168">
            <v>0</v>
          </cell>
          <cell r="CX168"/>
          <cell r="CY168">
            <v>1</v>
          </cell>
          <cell r="CZ168">
            <v>27</v>
          </cell>
          <cell r="DA168">
            <v>0</v>
          </cell>
          <cell r="DB168">
            <v>1</v>
          </cell>
          <cell r="DC168">
            <v>0</v>
          </cell>
          <cell r="DD168"/>
          <cell r="DE168">
            <v>2</v>
          </cell>
          <cell r="DF168">
            <v>22</v>
          </cell>
          <cell r="DG168">
            <v>0</v>
          </cell>
          <cell r="DH168">
            <v>1</v>
          </cell>
          <cell r="DI168">
            <v>0</v>
          </cell>
          <cell r="DJ168"/>
          <cell r="DK168">
            <v>3</v>
          </cell>
        </row>
        <row r="169">
          <cell r="B169" t="str">
            <v>CN1670</v>
          </cell>
          <cell r="C169" t="str">
            <v>Khối sản xuất</v>
          </cell>
          <cell r="D169" t="str">
            <v>Trần Thị Ràng</v>
          </cell>
          <cell r="E169" t="str">
            <v>SX</v>
          </cell>
          <cell r="F169">
            <v>45996</v>
          </cell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>
            <v>17.666666666666668</v>
          </cell>
          <cell r="CC169" t="str">
            <v>x</v>
          </cell>
          <cell r="CD169">
            <v>0</v>
          </cell>
          <cell r="CE169">
            <v>0</v>
          </cell>
          <cell r="CF169"/>
          <cell r="CG169">
            <v>0</v>
          </cell>
          <cell r="CH169">
            <v>24</v>
          </cell>
          <cell r="CI169">
            <v>0</v>
          </cell>
          <cell r="CJ169">
            <v>1</v>
          </cell>
          <cell r="CK169">
            <v>1</v>
          </cell>
          <cell r="CL169"/>
          <cell r="CM169">
            <v>0</v>
          </cell>
          <cell r="CN169">
            <v>20</v>
          </cell>
          <cell r="CO169">
            <v>0</v>
          </cell>
          <cell r="CP169">
            <v>1</v>
          </cell>
          <cell r="CQ169">
            <v>1</v>
          </cell>
          <cell r="CR169"/>
          <cell r="CS169">
            <v>0</v>
          </cell>
          <cell r="CT169">
            <v>24</v>
          </cell>
          <cell r="CU169">
            <v>0</v>
          </cell>
          <cell r="CV169">
            <v>1</v>
          </cell>
          <cell r="CW169">
            <v>0</v>
          </cell>
          <cell r="CX169"/>
          <cell r="CY169">
            <v>1</v>
          </cell>
          <cell r="CZ169">
            <v>27</v>
          </cell>
          <cell r="DA169">
            <v>0</v>
          </cell>
          <cell r="DB169">
            <v>1</v>
          </cell>
          <cell r="DC169">
            <v>0</v>
          </cell>
          <cell r="DD169"/>
          <cell r="DE169">
            <v>2</v>
          </cell>
          <cell r="DF169">
            <v>25</v>
          </cell>
          <cell r="DG169">
            <v>0</v>
          </cell>
          <cell r="DH169">
            <v>1</v>
          </cell>
          <cell r="DI169">
            <v>0</v>
          </cell>
          <cell r="DJ169"/>
          <cell r="DK169">
            <v>3</v>
          </cell>
        </row>
        <row r="170">
          <cell r="B170" t="str">
            <v>CN1674</v>
          </cell>
          <cell r="C170" t="str">
            <v>Khối sản xuất</v>
          </cell>
          <cell r="D170" t="str">
            <v>Trần Ngọc Thắng</v>
          </cell>
          <cell r="E170" t="str">
            <v>SX</v>
          </cell>
          <cell r="F170">
            <v>46002</v>
          </cell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>
            <v>12.666666666666668</v>
          </cell>
          <cell r="CC170" t="str">
            <v>x</v>
          </cell>
          <cell r="CD170">
            <v>0</v>
          </cell>
          <cell r="CE170">
            <v>0</v>
          </cell>
          <cell r="CF170"/>
          <cell r="CG170">
            <v>0</v>
          </cell>
          <cell r="CH170">
            <v>22.333333333333336</v>
          </cell>
          <cell r="CI170">
            <v>0</v>
          </cell>
          <cell r="CJ170">
            <v>1</v>
          </cell>
          <cell r="CK170">
            <v>1</v>
          </cell>
          <cell r="CL170"/>
          <cell r="CM170">
            <v>0</v>
          </cell>
          <cell r="CN170">
            <v>20</v>
          </cell>
          <cell r="CO170">
            <v>0</v>
          </cell>
          <cell r="CP170">
            <v>1</v>
          </cell>
          <cell r="CQ170">
            <v>1</v>
          </cell>
          <cell r="CR170"/>
          <cell r="CS170">
            <v>0</v>
          </cell>
          <cell r="CT170">
            <v>24</v>
          </cell>
          <cell r="CU170">
            <v>0</v>
          </cell>
          <cell r="CV170">
            <v>1</v>
          </cell>
          <cell r="CW170">
            <v>0</v>
          </cell>
          <cell r="CX170"/>
          <cell r="CY170">
            <v>1</v>
          </cell>
          <cell r="CZ170">
            <v>27</v>
          </cell>
          <cell r="DA170">
            <v>0</v>
          </cell>
          <cell r="DB170">
            <v>1</v>
          </cell>
          <cell r="DC170">
            <v>0</v>
          </cell>
          <cell r="DD170"/>
          <cell r="DE170">
            <v>2</v>
          </cell>
          <cell r="DF170">
            <v>22</v>
          </cell>
          <cell r="DG170">
            <v>0</v>
          </cell>
          <cell r="DH170">
            <v>1</v>
          </cell>
          <cell r="DI170">
            <v>0</v>
          </cell>
          <cell r="DJ170"/>
          <cell r="DK170">
            <v>3</v>
          </cell>
        </row>
        <row r="171">
          <cell r="B171" t="str">
            <v>CN1575</v>
          </cell>
          <cell r="C171" t="str">
            <v>Khối sản xuất</v>
          </cell>
          <cell r="D171" t="str">
            <v>Nguyễn Văn Sơn</v>
          </cell>
          <cell r="E171" t="str">
            <v>SX</v>
          </cell>
          <cell r="F171">
            <v>45828</v>
          </cell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>
            <v>12.666666666666668</v>
          </cell>
          <cell r="CC171" t="str">
            <v>x</v>
          </cell>
          <cell r="CD171">
            <v>0</v>
          </cell>
          <cell r="CE171">
            <v>0</v>
          </cell>
          <cell r="CF171"/>
          <cell r="CG171">
            <v>0</v>
          </cell>
          <cell r="CH171">
            <v>26</v>
          </cell>
          <cell r="CI171">
            <v>0</v>
          </cell>
          <cell r="CJ171">
            <v>1</v>
          </cell>
          <cell r="CK171">
            <v>0</v>
          </cell>
          <cell r="CL171"/>
          <cell r="CM171">
            <v>0</v>
          </cell>
          <cell r="CN171">
            <v>21</v>
          </cell>
          <cell r="CO171">
            <v>0</v>
          </cell>
          <cell r="CP171">
            <v>1</v>
          </cell>
          <cell r="CQ171">
            <v>1</v>
          </cell>
          <cell r="CR171"/>
          <cell r="CS171">
            <v>0</v>
          </cell>
          <cell r="CT171">
            <v>23</v>
          </cell>
          <cell r="CU171">
            <v>0</v>
          </cell>
          <cell r="CV171">
            <v>1</v>
          </cell>
          <cell r="CW171">
            <v>0</v>
          </cell>
          <cell r="CX171"/>
          <cell r="CY171">
            <v>1</v>
          </cell>
          <cell r="CZ171">
            <v>27</v>
          </cell>
          <cell r="DA171">
            <v>0</v>
          </cell>
          <cell r="DB171">
            <v>1</v>
          </cell>
          <cell r="DC171">
            <v>0</v>
          </cell>
          <cell r="DD171"/>
          <cell r="DE171">
            <v>2</v>
          </cell>
          <cell r="DF171">
            <v>25</v>
          </cell>
          <cell r="DG171">
            <v>0</v>
          </cell>
          <cell r="DH171">
            <v>1</v>
          </cell>
          <cell r="DI171">
            <v>0</v>
          </cell>
          <cell r="DJ171"/>
          <cell r="DK171">
            <v>3</v>
          </cell>
        </row>
        <row r="172">
          <cell r="B172" t="str">
            <v>CN1684</v>
          </cell>
          <cell r="C172" t="str">
            <v>Khối Hạ Tầng</v>
          </cell>
          <cell r="D172" t="str">
            <v>Nguyễn Đức Trọng</v>
          </cell>
          <cell r="E172" t="str">
            <v>HCNS</v>
          </cell>
          <cell r="F172">
            <v>46041</v>
          </cell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>
            <v>12.666666666666668</v>
          </cell>
          <cell r="CC172" t="str">
            <v>x</v>
          </cell>
          <cell r="CD172">
            <v>0</v>
          </cell>
          <cell r="CE172">
            <v>0</v>
          </cell>
          <cell r="CF172"/>
          <cell r="CG172">
            <v>0</v>
          </cell>
          <cell r="CH172">
            <v>6</v>
          </cell>
          <cell r="CI172" t="str">
            <v>x</v>
          </cell>
          <cell r="CJ172">
            <v>0</v>
          </cell>
          <cell r="CK172">
            <v>0</v>
          </cell>
          <cell r="CL172"/>
          <cell r="CM172">
            <v>0</v>
          </cell>
          <cell r="CN172">
            <v>21</v>
          </cell>
          <cell r="CO172">
            <v>0</v>
          </cell>
          <cell r="CP172">
            <v>1</v>
          </cell>
          <cell r="CQ172">
            <v>0</v>
          </cell>
          <cell r="CR172"/>
          <cell r="CS172">
            <v>1</v>
          </cell>
          <cell r="CT172">
            <v>24</v>
          </cell>
          <cell r="CU172">
            <v>0</v>
          </cell>
          <cell r="CV172">
            <v>1</v>
          </cell>
          <cell r="CW172">
            <v>0</v>
          </cell>
          <cell r="CX172"/>
          <cell r="CY172">
            <v>2</v>
          </cell>
          <cell r="CZ172">
            <v>27</v>
          </cell>
          <cell r="DA172">
            <v>0</v>
          </cell>
          <cell r="DB172">
            <v>1</v>
          </cell>
          <cell r="DC172">
            <v>0</v>
          </cell>
          <cell r="DD172"/>
          <cell r="DE172">
            <v>3</v>
          </cell>
          <cell r="DF172">
            <v>22</v>
          </cell>
          <cell r="DG172">
            <v>0</v>
          </cell>
          <cell r="DH172">
            <v>1</v>
          </cell>
          <cell r="DI172">
            <v>0</v>
          </cell>
          <cell r="DJ172"/>
          <cell r="DK172">
            <v>4</v>
          </cell>
        </row>
        <row r="173">
          <cell r="B173" t="str">
            <v>NV1711</v>
          </cell>
          <cell r="C173" t="str">
            <v>Khối sản xuất</v>
          </cell>
          <cell r="D173" t="str">
            <v>Nguyễn Thị Bích Loan</v>
          </cell>
          <cell r="E173" t="str">
            <v>SX</v>
          </cell>
          <cell r="F173">
            <v>46097</v>
          </cell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>
            <v>12.666666666666668</v>
          </cell>
          <cell r="CC173" t="str">
            <v>x</v>
          </cell>
          <cell r="CD173">
            <v>0</v>
          </cell>
          <cell r="CE173">
            <v>0</v>
          </cell>
          <cell r="CF173"/>
          <cell r="CG173">
            <v>0</v>
          </cell>
          <cell r="CH173">
            <v>6</v>
          </cell>
          <cell r="CI173" t="str">
            <v>x</v>
          </cell>
          <cell r="CJ173">
            <v>0</v>
          </cell>
          <cell r="CK173">
            <v>0</v>
          </cell>
          <cell r="CL173"/>
          <cell r="CM173">
            <v>0</v>
          </cell>
          <cell r="CN173">
            <v>21</v>
          </cell>
          <cell r="CO173" t="str">
            <v>x</v>
          </cell>
          <cell r="CP173">
            <v>0</v>
          </cell>
          <cell r="CQ173">
            <v>0</v>
          </cell>
          <cell r="CR173"/>
          <cell r="CS173">
            <v>0</v>
          </cell>
          <cell r="CT173">
            <v>9</v>
          </cell>
          <cell r="CU173" t="str">
            <v>x</v>
          </cell>
          <cell r="CV173">
            <v>0</v>
          </cell>
          <cell r="CW173">
            <v>0</v>
          </cell>
          <cell r="CX173"/>
          <cell r="CY173">
            <v>0</v>
          </cell>
          <cell r="CZ173">
            <v>27</v>
          </cell>
          <cell r="DA173" t="str">
            <v>x</v>
          </cell>
          <cell r="DB173">
            <v>0</v>
          </cell>
          <cell r="DC173">
            <v>0</v>
          </cell>
          <cell r="DD173"/>
          <cell r="DE173">
            <v>1</v>
          </cell>
          <cell r="DF173">
            <v>19</v>
          </cell>
          <cell r="DG173">
            <v>0</v>
          </cell>
          <cell r="DH173">
            <v>1</v>
          </cell>
          <cell r="DI173">
            <v>2</v>
          </cell>
          <cell r="DJ173"/>
          <cell r="DK173">
            <v>0</v>
          </cell>
        </row>
        <row r="174">
          <cell r="B174" t="str">
            <v>CN1686</v>
          </cell>
          <cell r="C174" t="str">
            <v>Khối sản xuất</v>
          </cell>
          <cell r="D174" t="str">
            <v>Hồ Thanh Tuấn</v>
          </cell>
          <cell r="E174" t="str">
            <v>SX</v>
          </cell>
          <cell r="F174">
            <v>46077</v>
          </cell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>
            <v>12.666666666666668</v>
          </cell>
          <cell r="CC174" t="str">
            <v>x</v>
          </cell>
          <cell r="CD174">
            <v>0</v>
          </cell>
          <cell r="CE174">
            <v>0</v>
          </cell>
          <cell r="CF174"/>
          <cell r="CG174">
            <v>0</v>
          </cell>
          <cell r="CH174">
            <v>6</v>
          </cell>
          <cell r="CI174" t="str">
            <v>x</v>
          </cell>
          <cell r="CJ174">
            <v>0</v>
          </cell>
          <cell r="CK174">
            <v>0</v>
          </cell>
          <cell r="CL174"/>
          <cell r="CM174">
            <v>0</v>
          </cell>
          <cell r="CN174">
            <v>21</v>
          </cell>
          <cell r="CO174" t="str">
            <v>x</v>
          </cell>
          <cell r="CP174">
            <v>0</v>
          </cell>
          <cell r="CQ174">
            <v>0</v>
          </cell>
          <cell r="CR174"/>
          <cell r="CS174">
            <v>0</v>
          </cell>
          <cell r="CT174">
            <v>24</v>
          </cell>
          <cell r="CU174">
            <v>0</v>
          </cell>
          <cell r="CV174">
            <v>1</v>
          </cell>
          <cell r="CW174">
            <v>0</v>
          </cell>
          <cell r="CX174"/>
          <cell r="CY174">
            <v>1</v>
          </cell>
          <cell r="CZ174">
            <v>26.416666666666668</v>
          </cell>
          <cell r="DA174">
            <v>0</v>
          </cell>
          <cell r="DB174">
            <v>1</v>
          </cell>
          <cell r="DC174">
            <v>0</v>
          </cell>
          <cell r="DD174"/>
          <cell r="DE174">
            <v>2</v>
          </cell>
          <cell r="DF174">
            <v>24</v>
          </cell>
          <cell r="DG174">
            <v>0</v>
          </cell>
          <cell r="DH174">
            <v>1</v>
          </cell>
          <cell r="DI174">
            <v>1</v>
          </cell>
          <cell r="DJ174"/>
          <cell r="DK174">
            <v>2</v>
          </cell>
        </row>
        <row r="175">
          <cell r="B175" t="str">
            <v>CN1688</v>
          </cell>
          <cell r="C175" t="str">
            <v>Khối sản xuất</v>
          </cell>
          <cell r="D175" t="str">
            <v>Phan Minh Trung</v>
          </cell>
          <cell r="E175" t="str">
            <v>SX</v>
          </cell>
          <cell r="F175">
            <v>46079</v>
          </cell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>
            <v>12.666666666666668</v>
          </cell>
          <cell r="CC175" t="str">
            <v>x</v>
          </cell>
          <cell r="CD175">
            <v>0</v>
          </cell>
          <cell r="CE175">
            <v>0</v>
          </cell>
          <cell r="CF175"/>
          <cell r="CG175">
            <v>0</v>
          </cell>
          <cell r="CH175">
            <v>6</v>
          </cell>
          <cell r="CI175" t="str">
            <v>x</v>
          </cell>
          <cell r="CJ175">
            <v>0</v>
          </cell>
          <cell r="CK175">
            <v>0</v>
          </cell>
          <cell r="CL175"/>
          <cell r="CM175">
            <v>0</v>
          </cell>
          <cell r="CN175">
            <v>21</v>
          </cell>
          <cell r="CO175" t="str">
            <v>x</v>
          </cell>
          <cell r="CP175">
            <v>0</v>
          </cell>
          <cell r="CQ175">
            <v>0</v>
          </cell>
          <cell r="CR175"/>
          <cell r="CS175">
            <v>0</v>
          </cell>
          <cell r="CT175">
            <v>22</v>
          </cell>
          <cell r="CU175">
            <v>0</v>
          </cell>
          <cell r="CV175">
            <v>1</v>
          </cell>
          <cell r="CW175">
            <v>0</v>
          </cell>
          <cell r="CX175"/>
          <cell r="CY175">
            <v>1</v>
          </cell>
          <cell r="CZ175">
            <v>27</v>
          </cell>
          <cell r="DA175">
            <v>0</v>
          </cell>
          <cell r="DB175">
            <v>1</v>
          </cell>
          <cell r="DC175">
            <v>0</v>
          </cell>
          <cell r="DD175"/>
          <cell r="DE175">
            <v>2</v>
          </cell>
          <cell r="DF175">
            <v>24</v>
          </cell>
          <cell r="DG175">
            <v>0</v>
          </cell>
          <cell r="DH175">
            <v>1</v>
          </cell>
          <cell r="DI175">
            <v>1</v>
          </cell>
          <cell r="DJ175"/>
          <cell r="DK175">
            <v>2</v>
          </cell>
        </row>
        <row r="176">
          <cell r="B176" t="str">
            <v>CN1689</v>
          </cell>
          <cell r="C176" t="str">
            <v>Khối sản xuất</v>
          </cell>
          <cell r="D176" t="str">
            <v>Huỳnh Minh Thắng</v>
          </cell>
          <cell r="E176" t="str">
            <v>SX</v>
          </cell>
          <cell r="F176">
            <v>46079</v>
          </cell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>
            <v>12.666666666666668</v>
          </cell>
          <cell r="CC176" t="str">
            <v>x</v>
          </cell>
          <cell r="CD176">
            <v>0</v>
          </cell>
          <cell r="CE176">
            <v>0</v>
          </cell>
          <cell r="CF176"/>
          <cell r="CG176">
            <v>0</v>
          </cell>
          <cell r="CH176">
            <v>6</v>
          </cell>
          <cell r="CI176" t="str">
            <v>x</v>
          </cell>
          <cell r="CJ176">
            <v>0</v>
          </cell>
          <cell r="CK176">
            <v>0</v>
          </cell>
          <cell r="CL176"/>
          <cell r="CM176">
            <v>0</v>
          </cell>
          <cell r="CN176">
            <v>21</v>
          </cell>
          <cell r="CO176" t="str">
            <v>x</v>
          </cell>
          <cell r="CP176">
            <v>0</v>
          </cell>
          <cell r="CQ176">
            <v>0</v>
          </cell>
          <cell r="CR176"/>
          <cell r="CS176">
            <v>0</v>
          </cell>
          <cell r="CT176">
            <v>21.666666666666664</v>
          </cell>
          <cell r="CU176">
            <v>0</v>
          </cell>
          <cell r="CV176">
            <v>1</v>
          </cell>
          <cell r="CW176">
            <v>0</v>
          </cell>
          <cell r="CX176"/>
          <cell r="CY176">
            <v>1</v>
          </cell>
          <cell r="CZ176">
            <v>24</v>
          </cell>
          <cell r="DA176">
            <v>0</v>
          </cell>
          <cell r="DB176">
            <v>1</v>
          </cell>
          <cell r="DC176">
            <v>1</v>
          </cell>
          <cell r="DD176"/>
          <cell r="DE176">
            <v>1</v>
          </cell>
          <cell r="DF176">
            <v>9</v>
          </cell>
          <cell r="DG176">
            <v>0</v>
          </cell>
          <cell r="DH176">
            <v>0</v>
          </cell>
          <cell r="DI176">
            <v>0</v>
          </cell>
          <cell r="DJ176"/>
          <cell r="DK176">
            <v>1</v>
          </cell>
        </row>
        <row r="177">
          <cell r="B177" t="str">
            <v>CN1691</v>
          </cell>
          <cell r="C177" t="str">
            <v>Khối sản xuất</v>
          </cell>
          <cell r="D177" t="str">
            <v>Chau Kim Siêng</v>
          </cell>
          <cell r="E177" t="str">
            <v>SX</v>
          </cell>
          <cell r="F177">
            <v>46079</v>
          </cell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>
            <v>12.666666666666668</v>
          </cell>
          <cell r="CC177" t="str">
            <v>x</v>
          </cell>
          <cell r="CD177">
            <v>0</v>
          </cell>
          <cell r="CE177">
            <v>0</v>
          </cell>
          <cell r="CF177"/>
          <cell r="CG177">
            <v>0</v>
          </cell>
          <cell r="CH177">
            <v>6</v>
          </cell>
          <cell r="CI177" t="str">
            <v>x</v>
          </cell>
          <cell r="CJ177">
            <v>0</v>
          </cell>
          <cell r="CK177">
            <v>0</v>
          </cell>
          <cell r="CL177"/>
          <cell r="CM177">
            <v>0</v>
          </cell>
          <cell r="CN177">
            <v>21</v>
          </cell>
          <cell r="CO177" t="str">
            <v>x</v>
          </cell>
          <cell r="CP177">
            <v>0</v>
          </cell>
          <cell r="CQ177">
            <v>0</v>
          </cell>
          <cell r="CR177"/>
          <cell r="CS177">
            <v>0</v>
          </cell>
          <cell r="CT177">
            <v>23.666666666666668</v>
          </cell>
          <cell r="CU177">
            <v>0</v>
          </cell>
          <cell r="CV177">
            <v>1</v>
          </cell>
          <cell r="CW177">
            <v>0</v>
          </cell>
          <cell r="CX177"/>
          <cell r="CY177">
            <v>1</v>
          </cell>
          <cell r="CZ177">
            <v>27</v>
          </cell>
          <cell r="DA177">
            <v>0</v>
          </cell>
          <cell r="DB177">
            <v>1</v>
          </cell>
          <cell r="DC177">
            <v>0</v>
          </cell>
          <cell r="DD177"/>
          <cell r="DE177">
            <v>2</v>
          </cell>
          <cell r="DF177">
            <v>25</v>
          </cell>
          <cell r="DG177">
            <v>0</v>
          </cell>
          <cell r="DH177">
            <v>1</v>
          </cell>
          <cell r="DI177">
            <v>0</v>
          </cell>
          <cell r="DJ177"/>
          <cell r="DK177">
            <v>3</v>
          </cell>
        </row>
        <row r="178">
          <cell r="B178" t="str">
            <v>CN1694</v>
          </cell>
          <cell r="C178" t="str">
            <v>Khối sản xuất</v>
          </cell>
          <cell r="D178" t="str">
            <v>Mã Quốc Huy</v>
          </cell>
          <cell r="E178" t="str">
            <v>SX</v>
          </cell>
          <cell r="F178">
            <v>46080</v>
          </cell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>
            <v>12.666666666666668</v>
          </cell>
          <cell r="CC178" t="str">
            <v>x</v>
          </cell>
          <cell r="CD178">
            <v>0</v>
          </cell>
          <cell r="CE178">
            <v>0</v>
          </cell>
          <cell r="CF178"/>
          <cell r="CG178">
            <v>0</v>
          </cell>
          <cell r="CH178">
            <v>6</v>
          </cell>
          <cell r="CI178" t="str">
            <v>x</v>
          </cell>
          <cell r="CJ178">
            <v>0</v>
          </cell>
          <cell r="CK178">
            <v>0</v>
          </cell>
          <cell r="CL178"/>
          <cell r="CM178">
            <v>0</v>
          </cell>
          <cell r="CN178">
            <v>21</v>
          </cell>
          <cell r="CO178" t="str">
            <v>x</v>
          </cell>
          <cell r="CP178">
            <v>0</v>
          </cell>
          <cell r="CQ178">
            <v>0</v>
          </cell>
          <cell r="CR178"/>
          <cell r="CS178">
            <v>0</v>
          </cell>
          <cell r="CT178">
            <v>22.666666666666668</v>
          </cell>
          <cell r="CU178">
            <v>0</v>
          </cell>
          <cell r="CV178">
            <v>1</v>
          </cell>
          <cell r="CW178">
            <v>0</v>
          </cell>
          <cell r="CX178"/>
          <cell r="CY178">
            <v>1</v>
          </cell>
          <cell r="CZ178">
            <v>26</v>
          </cell>
          <cell r="DA178">
            <v>0</v>
          </cell>
          <cell r="DB178">
            <v>1</v>
          </cell>
          <cell r="DC178">
            <v>1</v>
          </cell>
          <cell r="DD178"/>
          <cell r="DE178">
            <v>1</v>
          </cell>
          <cell r="DF178">
            <v>22</v>
          </cell>
          <cell r="DG178">
            <v>0</v>
          </cell>
          <cell r="DH178">
            <v>1</v>
          </cell>
          <cell r="DI178">
            <v>1</v>
          </cell>
          <cell r="DJ178"/>
          <cell r="DK178">
            <v>1</v>
          </cell>
        </row>
        <row r="179">
          <cell r="B179" t="str">
            <v>CN1695</v>
          </cell>
          <cell r="C179" t="str">
            <v>Khối sản xuất</v>
          </cell>
          <cell r="D179" t="str">
            <v>Nguyễn Thái Học</v>
          </cell>
          <cell r="E179" t="str">
            <v>SX</v>
          </cell>
          <cell r="F179">
            <v>46080</v>
          </cell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>
            <v>12.666666666666668</v>
          </cell>
          <cell r="CC179" t="str">
            <v>x</v>
          </cell>
          <cell r="CD179">
            <v>0</v>
          </cell>
          <cell r="CE179">
            <v>0</v>
          </cell>
          <cell r="CF179"/>
          <cell r="CG179">
            <v>0</v>
          </cell>
          <cell r="CH179">
            <v>6</v>
          </cell>
          <cell r="CI179" t="str">
            <v>x</v>
          </cell>
          <cell r="CJ179">
            <v>0</v>
          </cell>
          <cell r="CK179">
            <v>0</v>
          </cell>
          <cell r="CL179"/>
          <cell r="CM179">
            <v>0</v>
          </cell>
          <cell r="CN179">
            <v>21</v>
          </cell>
          <cell r="CO179" t="str">
            <v>x</v>
          </cell>
          <cell r="CP179">
            <v>0</v>
          </cell>
          <cell r="CQ179">
            <v>0</v>
          </cell>
          <cell r="CR179"/>
          <cell r="CS179">
            <v>0</v>
          </cell>
          <cell r="CT179">
            <v>24</v>
          </cell>
          <cell r="CU179">
            <v>0</v>
          </cell>
          <cell r="CV179">
            <v>1</v>
          </cell>
          <cell r="CW179">
            <v>0</v>
          </cell>
          <cell r="CX179"/>
          <cell r="CY179">
            <v>1</v>
          </cell>
          <cell r="CZ179">
            <v>27</v>
          </cell>
          <cell r="DA179">
            <v>0</v>
          </cell>
          <cell r="DB179">
            <v>1</v>
          </cell>
          <cell r="DC179">
            <v>0</v>
          </cell>
          <cell r="DD179"/>
          <cell r="DE179">
            <v>2</v>
          </cell>
          <cell r="DF179">
            <v>24</v>
          </cell>
          <cell r="DG179">
            <v>0</v>
          </cell>
          <cell r="DH179">
            <v>1</v>
          </cell>
          <cell r="DI179">
            <v>1</v>
          </cell>
          <cell r="DJ179"/>
          <cell r="DK179">
            <v>2</v>
          </cell>
        </row>
        <row r="180">
          <cell r="B180" t="str">
            <v>CN1283</v>
          </cell>
          <cell r="C180" t="str">
            <v>Khối sản xuất</v>
          </cell>
          <cell r="D180" t="str">
            <v>Châu Minh Liêm</v>
          </cell>
          <cell r="E180" t="str">
            <v>SX</v>
          </cell>
          <cell r="F180">
            <v>46087</v>
          </cell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>
            <v>12.666666666666668</v>
          </cell>
          <cell r="CC180" t="str">
            <v>x</v>
          </cell>
          <cell r="CD180">
            <v>0</v>
          </cell>
          <cell r="CE180">
            <v>0</v>
          </cell>
          <cell r="CF180"/>
          <cell r="CG180">
            <v>0</v>
          </cell>
          <cell r="CH180">
            <v>6</v>
          </cell>
          <cell r="CI180" t="str">
            <v>x</v>
          </cell>
          <cell r="CJ180">
            <v>0</v>
          </cell>
          <cell r="CK180">
            <v>0</v>
          </cell>
          <cell r="CL180"/>
          <cell r="CM180">
            <v>0</v>
          </cell>
          <cell r="CN180">
            <v>21</v>
          </cell>
          <cell r="CO180" t="str">
            <v>x</v>
          </cell>
          <cell r="CP180">
            <v>0</v>
          </cell>
          <cell r="CQ180">
            <v>0</v>
          </cell>
          <cell r="CR180"/>
          <cell r="CS180">
            <v>0</v>
          </cell>
          <cell r="CT180">
            <v>16.666666666666668</v>
          </cell>
          <cell r="CU180" t="str">
            <v>x</v>
          </cell>
          <cell r="CV180">
            <v>0</v>
          </cell>
          <cell r="CW180">
            <v>0</v>
          </cell>
          <cell r="CX180"/>
          <cell r="CY180">
            <v>0</v>
          </cell>
          <cell r="CZ180">
            <v>27</v>
          </cell>
          <cell r="DA180"/>
          <cell r="DB180">
            <v>1</v>
          </cell>
          <cell r="DC180">
            <v>0</v>
          </cell>
          <cell r="DD180"/>
          <cell r="DE180">
            <v>1</v>
          </cell>
          <cell r="DF180">
            <v>22</v>
          </cell>
          <cell r="DG180"/>
          <cell r="DH180">
            <v>1</v>
          </cell>
          <cell r="DI180">
            <v>1</v>
          </cell>
          <cell r="DJ180"/>
          <cell r="DK180">
            <v>1</v>
          </cell>
        </row>
        <row r="181">
          <cell r="B181" t="str">
            <v>CN1703</v>
          </cell>
          <cell r="C181" t="str">
            <v>Khối sản xuất</v>
          </cell>
          <cell r="D181" t="str">
            <v>Nguyễn Văn Thanh Phong</v>
          </cell>
          <cell r="E181" t="str">
            <v>SX</v>
          </cell>
          <cell r="F181">
            <v>46087</v>
          </cell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>
            <v>12.666666666666668</v>
          </cell>
          <cell r="CC181" t="str">
            <v>x</v>
          </cell>
          <cell r="CD181">
            <v>0</v>
          </cell>
          <cell r="CE181">
            <v>0</v>
          </cell>
          <cell r="CF181"/>
          <cell r="CG181">
            <v>0</v>
          </cell>
          <cell r="CH181">
            <v>6</v>
          </cell>
          <cell r="CI181" t="str">
            <v>x</v>
          </cell>
          <cell r="CJ181">
            <v>0</v>
          </cell>
          <cell r="CK181">
            <v>0</v>
          </cell>
          <cell r="CL181"/>
          <cell r="CM181">
            <v>0</v>
          </cell>
          <cell r="CN181">
            <v>21</v>
          </cell>
          <cell r="CO181" t="str">
            <v>x</v>
          </cell>
          <cell r="CP181">
            <v>0</v>
          </cell>
          <cell r="CQ181">
            <v>0</v>
          </cell>
          <cell r="CR181"/>
          <cell r="CS181">
            <v>0</v>
          </cell>
          <cell r="CT181">
            <v>16.666666666666664</v>
          </cell>
          <cell r="CU181" t="str">
            <v>x</v>
          </cell>
          <cell r="CV181">
            <v>0</v>
          </cell>
          <cell r="CW181">
            <v>0</v>
          </cell>
          <cell r="CX181"/>
          <cell r="CY181">
            <v>0</v>
          </cell>
          <cell r="CZ181">
            <v>27</v>
          </cell>
          <cell r="DA181"/>
          <cell r="DB181">
            <v>1</v>
          </cell>
          <cell r="DC181">
            <v>0</v>
          </cell>
          <cell r="DD181"/>
          <cell r="DE181">
            <v>1</v>
          </cell>
          <cell r="DF181">
            <v>22</v>
          </cell>
          <cell r="DG181"/>
          <cell r="DH181">
            <v>1</v>
          </cell>
          <cell r="DI181">
            <v>1</v>
          </cell>
          <cell r="DJ181"/>
          <cell r="DK181">
            <v>1</v>
          </cell>
        </row>
        <row r="182">
          <cell r="B182" t="str">
            <v>CN1704</v>
          </cell>
          <cell r="C182" t="str">
            <v>Khối sản xuất</v>
          </cell>
          <cell r="D182" t="str">
            <v>Lê Vũ Phương</v>
          </cell>
          <cell r="E182" t="str">
            <v>SX</v>
          </cell>
          <cell r="F182">
            <v>46087</v>
          </cell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>
            <v>12.666666666666668</v>
          </cell>
          <cell r="CC182" t="str">
            <v>x</v>
          </cell>
          <cell r="CD182">
            <v>0</v>
          </cell>
          <cell r="CE182">
            <v>0</v>
          </cell>
          <cell r="CF182"/>
          <cell r="CG182">
            <v>0</v>
          </cell>
          <cell r="CH182">
            <v>6</v>
          </cell>
          <cell r="CI182" t="str">
            <v>x</v>
          </cell>
          <cell r="CJ182">
            <v>0</v>
          </cell>
          <cell r="CK182">
            <v>0</v>
          </cell>
          <cell r="CL182"/>
          <cell r="CM182">
            <v>0</v>
          </cell>
          <cell r="CN182">
            <v>21</v>
          </cell>
          <cell r="CO182" t="str">
            <v>x</v>
          </cell>
          <cell r="CP182">
            <v>0</v>
          </cell>
          <cell r="CQ182">
            <v>0</v>
          </cell>
          <cell r="CR182"/>
          <cell r="CS182">
            <v>0</v>
          </cell>
          <cell r="CT182">
            <v>16.666666666666668</v>
          </cell>
          <cell r="CU182" t="str">
            <v>x</v>
          </cell>
          <cell r="CV182">
            <v>0</v>
          </cell>
          <cell r="CW182">
            <v>0</v>
          </cell>
          <cell r="CX182"/>
          <cell r="CY182">
            <v>0</v>
          </cell>
          <cell r="CZ182">
            <v>27</v>
          </cell>
          <cell r="DA182"/>
          <cell r="DB182">
            <v>1</v>
          </cell>
          <cell r="DC182">
            <v>0</v>
          </cell>
          <cell r="DD182"/>
          <cell r="DE182">
            <v>1</v>
          </cell>
          <cell r="DF182">
            <v>25</v>
          </cell>
          <cell r="DG182"/>
          <cell r="DH182">
            <v>1</v>
          </cell>
          <cell r="DI182">
            <v>0</v>
          </cell>
          <cell r="DJ182"/>
          <cell r="DK182">
            <v>2</v>
          </cell>
        </row>
        <row r="183">
          <cell r="B183" t="str">
            <v>CN1707</v>
          </cell>
          <cell r="C183" t="str">
            <v>Khối sản xuất</v>
          </cell>
          <cell r="D183" t="str">
            <v>Thạch Chan Bô Rinh</v>
          </cell>
          <cell r="E183" t="str">
            <v>SX</v>
          </cell>
          <cell r="F183">
            <v>46091</v>
          </cell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>
            <v>12.666666666666668</v>
          </cell>
          <cell r="CC183" t="str">
            <v>x</v>
          </cell>
          <cell r="CD183">
            <v>0</v>
          </cell>
          <cell r="CE183">
            <v>0</v>
          </cell>
          <cell r="CF183"/>
          <cell r="CG183">
            <v>0</v>
          </cell>
          <cell r="CH183">
            <v>6</v>
          </cell>
          <cell r="CI183" t="str">
            <v>x</v>
          </cell>
          <cell r="CJ183">
            <v>0</v>
          </cell>
          <cell r="CK183">
            <v>0</v>
          </cell>
          <cell r="CL183"/>
          <cell r="CM183">
            <v>0</v>
          </cell>
          <cell r="CN183">
            <v>21</v>
          </cell>
          <cell r="CO183" t="str">
            <v>x</v>
          </cell>
          <cell r="CP183">
            <v>0</v>
          </cell>
          <cell r="CQ183">
            <v>0</v>
          </cell>
          <cell r="CR183"/>
          <cell r="CS183">
            <v>0</v>
          </cell>
          <cell r="CT183">
            <v>13.666666666666666</v>
          </cell>
          <cell r="CU183" t="str">
            <v>x</v>
          </cell>
          <cell r="CV183">
            <v>0</v>
          </cell>
          <cell r="CW183">
            <v>0</v>
          </cell>
          <cell r="CX183"/>
          <cell r="CY183">
            <v>0</v>
          </cell>
          <cell r="CZ183">
            <v>27</v>
          </cell>
          <cell r="DA183"/>
          <cell r="DB183">
            <v>1</v>
          </cell>
          <cell r="DC183">
            <v>0</v>
          </cell>
          <cell r="DD183"/>
          <cell r="DE183">
            <v>1</v>
          </cell>
          <cell r="DF183">
            <v>23</v>
          </cell>
          <cell r="DG183"/>
          <cell r="DH183">
            <v>1</v>
          </cell>
          <cell r="DI183">
            <v>0</v>
          </cell>
          <cell r="DJ183"/>
          <cell r="DK183">
            <v>2</v>
          </cell>
        </row>
        <row r="184">
          <cell r="B184" t="str">
            <v>CN1709</v>
          </cell>
          <cell r="C184" t="str">
            <v>Khối sản xuất</v>
          </cell>
          <cell r="D184" t="str">
            <v>Nguyễn Quốc Thắng</v>
          </cell>
          <cell r="E184" t="str">
            <v>SX</v>
          </cell>
          <cell r="F184">
            <v>46093</v>
          </cell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>
            <v>12.666666666666668</v>
          </cell>
          <cell r="CC184" t="str">
            <v>x</v>
          </cell>
          <cell r="CD184">
            <v>0</v>
          </cell>
          <cell r="CE184">
            <v>0</v>
          </cell>
          <cell r="CF184"/>
          <cell r="CG184">
            <v>0</v>
          </cell>
          <cell r="CH184">
            <v>6</v>
          </cell>
          <cell r="CI184" t="str">
            <v>x</v>
          </cell>
          <cell r="CJ184">
            <v>0</v>
          </cell>
          <cell r="CK184">
            <v>0</v>
          </cell>
          <cell r="CL184"/>
          <cell r="CM184">
            <v>0</v>
          </cell>
          <cell r="CN184">
            <v>21</v>
          </cell>
          <cell r="CO184" t="str">
            <v>x</v>
          </cell>
          <cell r="CP184">
            <v>0</v>
          </cell>
          <cell r="CQ184">
            <v>0</v>
          </cell>
          <cell r="CR184"/>
          <cell r="CS184">
            <v>0</v>
          </cell>
          <cell r="CT184">
            <v>11.666666666666666</v>
          </cell>
          <cell r="CU184" t="str">
            <v>x</v>
          </cell>
          <cell r="CV184">
            <v>0</v>
          </cell>
          <cell r="CW184">
            <v>0</v>
          </cell>
          <cell r="CX184"/>
          <cell r="CY184">
            <v>0</v>
          </cell>
          <cell r="CZ184">
            <v>27</v>
          </cell>
          <cell r="DA184"/>
          <cell r="DB184">
            <v>1</v>
          </cell>
          <cell r="DC184">
            <v>0</v>
          </cell>
          <cell r="DD184"/>
          <cell r="DE184">
            <v>1</v>
          </cell>
          <cell r="DF184">
            <v>22</v>
          </cell>
          <cell r="DG184"/>
          <cell r="DH184">
            <v>1</v>
          </cell>
          <cell r="DI184">
            <v>0</v>
          </cell>
          <cell r="DJ184"/>
          <cell r="DK184">
            <v>2</v>
          </cell>
        </row>
        <row r="185">
          <cell r="B185" t="str">
            <v>CN1712</v>
          </cell>
          <cell r="C185" t="str">
            <v>Khối sản xuất</v>
          </cell>
          <cell r="D185" t="str">
            <v>Tạ Võ Huy Long</v>
          </cell>
          <cell r="E185" t="str">
            <v>SX</v>
          </cell>
          <cell r="F185">
            <v>46098</v>
          </cell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>
            <v>12.666666666666668</v>
          </cell>
          <cell r="CC185" t="str">
            <v>x</v>
          </cell>
          <cell r="CD185">
            <v>0</v>
          </cell>
          <cell r="CE185">
            <v>0</v>
          </cell>
          <cell r="CF185"/>
          <cell r="CG185">
            <v>0</v>
          </cell>
          <cell r="CH185">
            <v>6</v>
          </cell>
          <cell r="CI185" t="str">
            <v>x</v>
          </cell>
          <cell r="CJ185">
            <v>0</v>
          </cell>
          <cell r="CK185">
            <v>0</v>
          </cell>
          <cell r="CL185"/>
          <cell r="CM185">
            <v>0</v>
          </cell>
          <cell r="CN185">
            <v>21</v>
          </cell>
          <cell r="CO185" t="str">
            <v>x</v>
          </cell>
          <cell r="CP185">
            <v>0</v>
          </cell>
          <cell r="CQ185">
            <v>0</v>
          </cell>
          <cell r="CR185"/>
          <cell r="CS185">
            <v>0</v>
          </cell>
          <cell r="CT185">
            <v>8.6666666666666661</v>
          </cell>
          <cell r="CU185" t="str">
            <v>x</v>
          </cell>
          <cell r="CV185">
            <v>0</v>
          </cell>
          <cell r="CW185">
            <v>0</v>
          </cell>
          <cell r="CX185"/>
          <cell r="CY185">
            <v>0</v>
          </cell>
          <cell r="CZ185">
            <v>27</v>
          </cell>
          <cell r="DA185"/>
          <cell r="DB185">
            <v>1</v>
          </cell>
          <cell r="DC185">
            <v>0</v>
          </cell>
          <cell r="DD185"/>
          <cell r="DE185">
            <v>1</v>
          </cell>
          <cell r="DF185">
            <v>14</v>
          </cell>
          <cell r="DG185"/>
          <cell r="DH185">
            <v>0</v>
          </cell>
          <cell r="DI185">
            <v>0</v>
          </cell>
          <cell r="DJ185"/>
          <cell r="DK185">
            <v>1</v>
          </cell>
        </row>
        <row r="186">
          <cell r="B186" t="str">
            <v>CN1713</v>
          </cell>
          <cell r="C186" t="str">
            <v>Khối sản xuất</v>
          </cell>
          <cell r="D186" t="str">
            <v>Chau Sam Nan</v>
          </cell>
          <cell r="E186" t="str">
            <v>SX</v>
          </cell>
          <cell r="F186">
            <v>46098</v>
          </cell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>
            <v>12.666666666666668</v>
          </cell>
          <cell r="CC186" t="str">
            <v>x</v>
          </cell>
          <cell r="CD186">
            <v>0</v>
          </cell>
          <cell r="CE186">
            <v>0</v>
          </cell>
          <cell r="CF186"/>
          <cell r="CG186">
            <v>0</v>
          </cell>
          <cell r="CH186">
            <v>6</v>
          </cell>
          <cell r="CI186" t="str">
            <v>x</v>
          </cell>
          <cell r="CJ186">
            <v>0</v>
          </cell>
          <cell r="CK186">
            <v>0</v>
          </cell>
          <cell r="CL186"/>
          <cell r="CM186">
            <v>0</v>
          </cell>
          <cell r="CN186">
            <v>21</v>
          </cell>
          <cell r="CO186" t="str">
            <v>x</v>
          </cell>
          <cell r="CP186">
            <v>0</v>
          </cell>
          <cell r="CQ186">
            <v>0</v>
          </cell>
          <cell r="CR186"/>
          <cell r="CS186">
            <v>0</v>
          </cell>
          <cell r="CT186">
            <v>7.666666666666667</v>
          </cell>
          <cell r="CU186" t="str">
            <v>x</v>
          </cell>
          <cell r="CV186">
            <v>0</v>
          </cell>
          <cell r="CW186">
            <v>0</v>
          </cell>
          <cell r="CX186"/>
          <cell r="CY186">
            <v>0</v>
          </cell>
          <cell r="CZ186">
            <v>27</v>
          </cell>
          <cell r="DA186"/>
          <cell r="DB186">
            <v>1</v>
          </cell>
          <cell r="DC186">
            <v>0</v>
          </cell>
          <cell r="DD186"/>
          <cell r="DE186">
            <v>1</v>
          </cell>
          <cell r="DF186">
            <v>21</v>
          </cell>
          <cell r="DG186"/>
          <cell r="DH186">
            <v>1</v>
          </cell>
          <cell r="DI186">
            <v>1</v>
          </cell>
          <cell r="DJ186"/>
          <cell r="DK186">
            <v>1</v>
          </cell>
        </row>
        <row r="187">
          <cell r="B187" t="str">
            <v>CN1697</v>
          </cell>
          <cell r="C187" t="str">
            <v>Khối sản xuất</v>
          </cell>
          <cell r="D187" t="str">
            <v>Đặng Thị Út</v>
          </cell>
          <cell r="E187" t="str">
            <v>SX</v>
          </cell>
          <cell r="F187">
            <v>46083</v>
          </cell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>
            <v>12.666666666666668</v>
          </cell>
          <cell r="CC187" t="str">
            <v>x</v>
          </cell>
          <cell r="CD187">
            <v>0</v>
          </cell>
          <cell r="CE187">
            <v>0</v>
          </cell>
          <cell r="CF187"/>
          <cell r="CG187">
            <v>0</v>
          </cell>
          <cell r="CH187">
            <v>6</v>
          </cell>
          <cell r="CI187" t="str">
            <v>x</v>
          </cell>
          <cell r="CJ187">
            <v>0</v>
          </cell>
          <cell r="CK187">
            <v>0</v>
          </cell>
          <cell r="CL187"/>
          <cell r="CM187">
            <v>0</v>
          </cell>
          <cell r="CN187">
            <v>21</v>
          </cell>
          <cell r="CO187" t="str">
            <v>x</v>
          </cell>
          <cell r="CP187">
            <v>0</v>
          </cell>
          <cell r="CQ187">
            <v>0</v>
          </cell>
          <cell r="CR187"/>
          <cell r="CS187">
            <v>0</v>
          </cell>
          <cell r="CT187">
            <v>20.666666666666664</v>
          </cell>
          <cell r="CU187" t="str">
            <v>x</v>
          </cell>
          <cell r="CV187">
            <v>0</v>
          </cell>
          <cell r="CW187">
            <v>0</v>
          </cell>
          <cell r="CX187"/>
          <cell r="CY187">
            <v>0</v>
          </cell>
          <cell r="CZ187">
            <v>27</v>
          </cell>
          <cell r="DA187"/>
          <cell r="DB187">
            <v>1</v>
          </cell>
          <cell r="DC187">
            <v>0</v>
          </cell>
          <cell r="DD187"/>
          <cell r="DE187">
            <v>1</v>
          </cell>
          <cell r="DF187">
            <v>22.75</v>
          </cell>
          <cell r="DG187"/>
          <cell r="DH187">
            <v>1</v>
          </cell>
          <cell r="DI187">
            <v>0</v>
          </cell>
          <cell r="DJ187"/>
          <cell r="DK187">
            <v>2</v>
          </cell>
        </row>
        <row r="188">
          <cell r="B188" t="str">
            <v>CN1696</v>
          </cell>
          <cell r="C188" t="str">
            <v>Khối sản xuất</v>
          </cell>
          <cell r="D188" t="str">
            <v>Nguyễn Thị Thuyền</v>
          </cell>
          <cell r="E188" t="str">
            <v>SX</v>
          </cell>
          <cell r="F188">
            <v>46080</v>
          </cell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>
            <v>12.666666666666668</v>
          </cell>
          <cell r="CC188" t="str">
            <v>x</v>
          </cell>
          <cell r="CD188">
            <v>0</v>
          </cell>
          <cell r="CE188">
            <v>0</v>
          </cell>
          <cell r="CF188"/>
          <cell r="CG188">
            <v>0</v>
          </cell>
          <cell r="CH188">
            <v>6</v>
          </cell>
          <cell r="CI188" t="str">
            <v>x</v>
          </cell>
          <cell r="CJ188">
            <v>0</v>
          </cell>
          <cell r="CK188">
            <v>0</v>
          </cell>
          <cell r="CL188"/>
          <cell r="CM188">
            <v>0</v>
          </cell>
          <cell r="CN188">
            <v>21</v>
          </cell>
          <cell r="CO188" t="str">
            <v>x</v>
          </cell>
          <cell r="CP188">
            <v>0</v>
          </cell>
          <cell r="CQ188">
            <v>0</v>
          </cell>
          <cell r="CR188"/>
          <cell r="CS188">
            <v>0</v>
          </cell>
          <cell r="CT188">
            <v>22.833333333333332</v>
          </cell>
          <cell r="CU188">
            <v>0</v>
          </cell>
          <cell r="CV188">
            <v>1</v>
          </cell>
          <cell r="CW188">
            <v>0</v>
          </cell>
          <cell r="CX188"/>
          <cell r="CY188">
            <v>1</v>
          </cell>
          <cell r="CZ188">
            <v>27</v>
          </cell>
          <cell r="DA188"/>
          <cell r="DB188">
            <v>1</v>
          </cell>
          <cell r="DC188">
            <v>0</v>
          </cell>
          <cell r="DD188"/>
          <cell r="DE188">
            <v>2</v>
          </cell>
          <cell r="DF188">
            <v>24</v>
          </cell>
          <cell r="DG188"/>
          <cell r="DH188">
            <v>1</v>
          </cell>
          <cell r="DI188">
            <v>0</v>
          </cell>
          <cell r="DJ188"/>
          <cell r="DK188">
            <v>3</v>
          </cell>
        </row>
        <row r="189">
          <cell r="B189" t="str">
            <v>CN1698</v>
          </cell>
          <cell r="C189" t="str">
            <v>Khối sản xuất</v>
          </cell>
          <cell r="D189" t="str">
            <v>Nguyễn Văn Hoàng Giang</v>
          </cell>
          <cell r="E189" t="str">
            <v>SX</v>
          </cell>
          <cell r="F189">
            <v>46083</v>
          </cell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>
            <v>12.666666666666668</v>
          </cell>
          <cell r="CC189" t="str">
            <v>x</v>
          </cell>
          <cell r="CD189">
            <v>0</v>
          </cell>
          <cell r="CE189">
            <v>0</v>
          </cell>
          <cell r="CF189"/>
          <cell r="CG189">
            <v>0</v>
          </cell>
          <cell r="CH189">
            <v>6</v>
          </cell>
          <cell r="CI189" t="str">
            <v>x</v>
          </cell>
          <cell r="CJ189">
            <v>0</v>
          </cell>
          <cell r="CK189">
            <v>0</v>
          </cell>
          <cell r="CL189"/>
          <cell r="CM189">
            <v>0</v>
          </cell>
          <cell r="CN189">
            <v>21</v>
          </cell>
          <cell r="CO189" t="str">
            <v>x</v>
          </cell>
          <cell r="CP189">
            <v>0</v>
          </cell>
          <cell r="CQ189">
            <v>0</v>
          </cell>
          <cell r="CR189"/>
          <cell r="CS189">
            <v>0</v>
          </cell>
          <cell r="CT189">
            <v>21</v>
          </cell>
          <cell r="CU189" t="str">
            <v>x</v>
          </cell>
          <cell r="CV189">
            <v>0</v>
          </cell>
          <cell r="CW189">
            <v>0</v>
          </cell>
          <cell r="CX189"/>
          <cell r="CY189">
            <v>0</v>
          </cell>
          <cell r="CZ189">
            <v>27</v>
          </cell>
          <cell r="DA189"/>
          <cell r="DB189">
            <v>1</v>
          </cell>
          <cell r="DC189">
            <v>0</v>
          </cell>
          <cell r="DD189"/>
          <cell r="DE189">
            <v>1</v>
          </cell>
          <cell r="DF189">
            <v>24</v>
          </cell>
          <cell r="DG189"/>
          <cell r="DH189">
            <v>1</v>
          </cell>
          <cell r="DI189">
            <v>0</v>
          </cell>
          <cell r="DJ189"/>
          <cell r="DK189">
            <v>2</v>
          </cell>
        </row>
        <row r="190">
          <cell r="B190" t="str">
            <v>CN1700</v>
          </cell>
          <cell r="C190" t="str">
            <v>Khối sản xuất</v>
          </cell>
          <cell r="D190" t="str">
            <v>Thạch Minh Thương</v>
          </cell>
          <cell r="E190" t="str">
            <v>SX</v>
          </cell>
          <cell r="F190">
            <v>46087</v>
          </cell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>
            <v>12.666666666666668</v>
          </cell>
          <cell r="CC190" t="str">
            <v>x</v>
          </cell>
          <cell r="CD190">
            <v>0</v>
          </cell>
          <cell r="CE190">
            <v>0</v>
          </cell>
          <cell r="CF190"/>
          <cell r="CG190">
            <v>0</v>
          </cell>
          <cell r="CH190">
            <v>6</v>
          </cell>
          <cell r="CI190" t="str">
            <v>x</v>
          </cell>
          <cell r="CJ190">
            <v>0</v>
          </cell>
          <cell r="CK190">
            <v>0</v>
          </cell>
          <cell r="CL190"/>
          <cell r="CM190">
            <v>0</v>
          </cell>
          <cell r="CN190">
            <v>21</v>
          </cell>
          <cell r="CO190" t="str">
            <v>x</v>
          </cell>
          <cell r="CP190">
            <v>0</v>
          </cell>
          <cell r="CQ190">
            <v>0</v>
          </cell>
          <cell r="CR190"/>
          <cell r="CS190">
            <v>0</v>
          </cell>
          <cell r="CT190">
            <v>16.666666666666668</v>
          </cell>
          <cell r="CU190" t="str">
            <v>x</v>
          </cell>
          <cell r="CV190">
            <v>0</v>
          </cell>
          <cell r="CW190">
            <v>0</v>
          </cell>
          <cell r="CX190"/>
          <cell r="CY190">
            <v>0</v>
          </cell>
          <cell r="CZ190">
            <v>27</v>
          </cell>
          <cell r="DA190"/>
          <cell r="DB190">
            <v>1</v>
          </cell>
          <cell r="DC190">
            <v>0</v>
          </cell>
          <cell r="DD190"/>
          <cell r="DE190">
            <v>1</v>
          </cell>
          <cell r="DF190">
            <v>24</v>
          </cell>
          <cell r="DG190"/>
          <cell r="DH190">
            <v>1</v>
          </cell>
          <cell r="DI190">
            <v>0</v>
          </cell>
          <cell r="DJ190"/>
          <cell r="DK190">
            <v>2</v>
          </cell>
        </row>
        <row r="191">
          <cell r="B191" t="str">
            <v>CN1710</v>
          </cell>
          <cell r="C191" t="str">
            <v>Khối sản xuất</v>
          </cell>
          <cell r="D191" t="str">
            <v>Nguyễn Thành Danh</v>
          </cell>
          <cell r="E191" t="str">
            <v>SX</v>
          </cell>
          <cell r="F191">
            <v>46093</v>
          </cell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>
            <v>12.666666666666668</v>
          </cell>
          <cell r="CC191" t="str">
            <v>x</v>
          </cell>
          <cell r="CD191">
            <v>0</v>
          </cell>
          <cell r="CE191">
            <v>0</v>
          </cell>
          <cell r="CF191"/>
          <cell r="CG191">
            <v>0</v>
          </cell>
          <cell r="CH191">
            <v>6</v>
          </cell>
          <cell r="CI191" t="str">
            <v>x</v>
          </cell>
          <cell r="CJ191">
            <v>0</v>
          </cell>
          <cell r="CK191">
            <v>0</v>
          </cell>
          <cell r="CL191"/>
          <cell r="CM191">
            <v>0</v>
          </cell>
          <cell r="CN191">
            <v>21</v>
          </cell>
          <cell r="CO191" t="str">
            <v>x</v>
          </cell>
          <cell r="CP191">
            <v>0</v>
          </cell>
          <cell r="CQ191">
            <v>0</v>
          </cell>
          <cell r="CR191"/>
          <cell r="CS191">
            <v>0</v>
          </cell>
          <cell r="CT191">
            <v>9</v>
          </cell>
          <cell r="CU191" t="str">
            <v>x</v>
          </cell>
          <cell r="CV191">
            <v>0</v>
          </cell>
          <cell r="CW191">
            <v>0</v>
          </cell>
          <cell r="CX191"/>
          <cell r="CY191">
            <v>0</v>
          </cell>
          <cell r="CZ191">
            <v>27</v>
          </cell>
          <cell r="DA191"/>
          <cell r="DB191">
            <v>1</v>
          </cell>
          <cell r="DC191">
            <v>0</v>
          </cell>
          <cell r="DD191"/>
          <cell r="DE191">
            <v>1</v>
          </cell>
          <cell r="DF191">
            <v>24</v>
          </cell>
          <cell r="DG191"/>
          <cell r="DH191">
            <v>1</v>
          </cell>
          <cell r="DI191">
            <v>0</v>
          </cell>
          <cell r="DJ191"/>
          <cell r="DK191">
            <v>2</v>
          </cell>
        </row>
        <row r="192">
          <cell r="B192" t="str">
            <v>CN1728</v>
          </cell>
          <cell r="C192" t="str">
            <v>Khối sản xuất</v>
          </cell>
          <cell r="D192" t="str">
            <v>Huỳnh Văn Phúc</v>
          </cell>
          <cell r="E192" t="str">
            <v>SX</v>
          </cell>
          <cell r="F192">
            <v>46118</v>
          </cell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>
            <v>12.666666666666668</v>
          </cell>
          <cell r="CC192" t="str">
            <v>x</v>
          </cell>
          <cell r="CD192">
            <v>0</v>
          </cell>
          <cell r="CE192">
            <v>0</v>
          </cell>
          <cell r="CF192"/>
          <cell r="CG192">
            <v>0</v>
          </cell>
          <cell r="CH192">
            <v>6</v>
          </cell>
          <cell r="CI192" t="str">
            <v>x</v>
          </cell>
          <cell r="CJ192">
            <v>0</v>
          </cell>
          <cell r="CK192">
            <v>0</v>
          </cell>
          <cell r="CL192"/>
          <cell r="CM192">
            <v>0</v>
          </cell>
          <cell r="CN192">
            <v>21</v>
          </cell>
          <cell r="CO192" t="str">
            <v>x</v>
          </cell>
          <cell r="CP192">
            <v>0</v>
          </cell>
          <cell r="CQ192">
            <v>0</v>
          </cell>
          <cell r="CR192"/>
          <cell r="CS192">
            <v>0</v>
          </cell>
          <cell r="CT192" t="e">
            <v>#N/A</v>
          </cell>
          <cell r="CU192" t="str">
            <v>x</v>
          </cell>
          <cell r="CV192">
            <v>0</v>
          </cell>
          <cell r="CW192" t="e">
            <v>#N/A</v>
          </cell>
          <cell r="CX192"/>
          <cell r="CY192" t="e">
            <v>#N/A</v>
          </cell>
          <cell r="CZ192">
            <v>18</v>
          </cell>
          <cell r="DA192" t="str">
            <v>x</v>
          </cell>
          <cell r="DB192">
            <v>0</v>
          </cell>
          <cell r="DC192">
            <v>0</v>
          </cell>
          <cell r="DD192"/>
          <cell r="DE192">
            <v>0</v>
          </cell>
          <cell r="DF192">
            <v>23</v>
          </cell>
          <cell r="DG192">
            <v>0</v>
          </cell>
          <cell r="DH192">
            <v>1</v>
          </cell>
          <cell r="DI192">
            <v>0</v>
          </cell>
          <cell r="DJ192"/>
          <cell r="DK192">
            <v>0</v>
          </cell>
        </row>
        <row r="193">
          <cell r="B193" t="str">
            <v>CN1733</v>
          </cell>
          <cell r="C193" t="str">
            <v>Khối sản xuất</v>
          </cell>
          <cell r="D193" t="str">
            <v>Sơn Văn Cường</v>
          </cell>
          <cell r="E193" t="str">
            <v>SX</v>
          </cell>
          <cell r="F193">
            <v>46121</v>
          </cell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>
            <v>12.666666666666668</v>
          </cell>
          <cell r="CC193" t="str">
            <v>x</v>
          </cell>
          <cell r="CD193">
            <v>0</v>
          </cell>
          <cell r="CE193">
            <v>0</v>
          </cell>
          <cell r="CF193"/>
          <cell r="CG193">
            <v>0</v>
          </cell>
          <cell r="CH193">
            <v>6</v>
          </cell>
          <cell r="CI193" t="str">
            <v>x</v>
          </cell>
          <cell r="CJ193">
            <v>0</v>
          </cell>
          <cell r="CK193">
            <v>0</v>
          </cell>
          <cell r="CL193"/>
          <cell r="CM193">
            <v>0</v>
          </cell>
          <cell r="CN193">
            <v>21</v>
          </cell>
          <cell r="CO193" t="str">
            <v>x</v>
          </cell>
          <cell r="CP193">
            <v>0</v>
          </cell>
          <cell r="CQ193">
            <v>0</v>
          </cell>
          <cell r="CR193"/>
          <cell r="CS193">
            <v>0</v>
          </cell>
          <cell r="CT193" t="e">
            <v>#N/A</v>
          </cell>
          <cell r="CU193" t="str">
            <v>x</v>
          </cell>
          <cell r="CV193">
            <v>0</v>
          </cell>
          <cell r="CW193" t="e">
            <v>#N/A</v>
          </cell>
          <cell r="CX193"/>
          <cell r="CY193" t="e">
            <v>#N/A</v>
          </cell>
          <cell r="CZ193">
            <v>14.666666666666666</v>
          </cell>
          <cell r="DA193" t="str">
            <v>x</v>
          </cell>
          <cell r="DB193">
            <v>0</v>
          </cell>
          <cell r="DC193">
            <v>0</v>
          </cell>
          <cell r="DD193"/>
          <cell r="DE193">
            <v>0</v>
          </cell>
          <cell r="DF193">
            <v>23.5</v>
          </cell>
          <cell r="DG193">
            <v>0</v>
          </cell>
          <cell r="DH193">
            <v>1</v>
          </cell>
          <cell r="DI193">
            <v>1</v>
          </cell>
          <cell r="DJ193"/>
          <cell r="DK193">
            <v>0</v>
          </cell>
        </row>
        <row r="194">
          <cell r="B194" t="str">
            <v>CN1724</v>
          </cell>
          <cell r="C194" t="str">
            <v>Khối sản xuất</v>
          </cell>
          <cell r="D194" t="str">
            <v>Hồ Văn Còn</v>
          </cell>
          <cell r="E194" t="str">
            <v>SX</v>
          </cell>
          <cell r="F194">
            <v>46112</v>
          </cell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>
            <v>12.666666666666668</v>
          </cell>
          <cell r="CC194" t="str">
            <v>x</v>
          </cell>
          <cell r="CD194">
            <v>0</v>
          </cell>
          <cell r="CE194">
            <v>0</v>
          </cell>
          <cell r="CF194"/>
          <cell r="CG194">
            <v>0</v>
          </cell>
          <cell r="CH194">
            <v>6</v>
          </cell>
          <cell r="CI194" t="str">
            <v>x</v>
          </cell>
          <cell r="CJ194">
            <v>0</v>
          </cell>
          <cell r="CK194">
            <v>0</v>
          </cell>
          <cell r="CL194"/>
          <cell r="CM194">
            <v>0</v>
          </cell>
          <cell r="CN194">
            <v>21</v>
          </cell>
          <cell r="CO194" t="str">
            <v>x</v>
          </cell>
          <cell r="CP194">
            <v>0</v>
          </cell>
          <cell r="CQ194">
            <v>0</v>
          </cell>
          <cell r="CR194"/>
          <cell r="CS194">
            <v>0</v>
          </cell>
          <cell r="CT194" t="e">
            <v>#N/A</v>
          </cell>
          <cell r="CU194" t="str">
            <v>x</v>
          </cell>
          <cell r="CV194">
            <v>0</v>
          </cell>
          <cell r="CW194" t="e">
            <v>#N/A</v>
          </cell>
          <cell r="CX194"/>
          <cell r="CY194" t="e">
            <v>#N/A</v>
          </cell>
          <cell r="CZ194">
            <v>22.583333333333336</v>
          </cell>
          <cell r="DA194" t="str">
            <v>x</v>
          </cell>
          <cell r="DB194">
            <v>0</v>
          </cell>
          <cell r="DC194">
            <v>0</v>
          </cell>
          <cell r="DD194"/>
          <cell r="DE194">
            <v>0</v>
          </cell>
          <cell r="DF194">
            <v>22.416666666666664</v>
          </cell>
          <cell r="DG194">
            <v>0</v>
          </cell>
          <cell r="DH194">
            <v>1</v>
          </cell>
          <cell r="DI194">
            <v>0</v>
          </cell>
          <cell r="DJ194"/>
          <cell r="DK194">
            <v>0</v>
          </cell>
        </row>
        <row r="195">
          <cell r="B195" t="str">
            <v>CN1725</v>
          </cell>
          <cell r="C195" t="str">
            <v>Khối sản xuất</v>
          </cell>
          <cell r="D195" t="str">
            <v>Nguyễn Thành Khoa</v>
          </cell>
          <cell r="E195" t="str">
            <v>SX</v>
          </cell>
          <cell r="F195">
            <v>46115</v>
          </cell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>
            <v>12.666666666666668</v>
          </cell>
          <cell r="CC195" t="str">
            <v>x</v>
          </cell>
          <cell r="CD195">
            <v>0</v>
          </cell>
          <cell r="CE195">
            <v>0</v>
          </cell>
          <cell r="CF195"/>
          <cell r="CG195">
            <v>0</v>
          </cell>
          <cell r="CH195">
            <v>6</v>
          </cell>
          <cell r="CI195" t="str">
            <v>x</v>
          </cell>
          <cell r="CJ195">
            <v>0</v>
          </cell>
          <cell r="CK195">
            <v>0</v>
          </cell>
          <cell r="CL195"/>
          <cell r="CM195">
            <v>0</v>
          </cell>
          <cell r="CN195">
            <v>21</v>
          </cell>
          <cell r="CO195" t="str">
            <v>x</v>
          </cell>
          <cell r="CP195">
            <v>0</v>
          </cell>
          <cell r="CQ195">
            <v>0</v>
          </cell>
          <cell r="CR195"/>
          <cell r="CS195">
            <v>0</v>
          </cell>
          <cell r="CT195" t="e">
            <v>#N/A</v>
          </cell>
          <cell r="CU195" t="str">
            <v>x</v>
          </cell>
          <cell r="CV195">
            <v>0</v>
          </cell>
          <cell r="CW195" t="e">
            <v>#N/A</v>
          </cell>
          <cell r="CX195"/>
          <cell r="CY195" t="e">
            <v>#N/A</v>
          </cell>
          <cell r="CZ195">
            <v>19</v>
          </cell>
          <cell r="DA195" t="str">
            <v>x</v>
          </cell>
          <cell r="DB195">
            <v>0</v>
          </cell>
          <cell r="DC195">
            <v>0</v>
          </cell>
          <cell r="DD195"/>
          <cell r="DE195">
            <v>0</v>
          </cell>
          <cell r="DF195">
            <v>24</v>
          </cell>
          <cell r="DG195">
            <v>0</v>
          </cell>
          <cell r="DH195">
            <v>1</v>
          </cell>
          <cell r="DI195">
            <v>1</v>
          </cell>
          <cell r="DJ195"/>
          <cell r="DK195">
            <v>0</v>
          </cell>
        </row>
        <row r="196">
          <cell r="B196" t="str">
            <v>CN1730</v>
          </cell>
          <cell r="C196" t="str">
            <v>Khối sản xuất</v>
          </cell>
          <cell r="D196" t="str">
            <v>Lê Chí Thắng</v>
          </cell>
          <cell r="E196" t="str">
            <v>SX</v>
          </cell>
          <cell r="F196">
            <v>46121</v>
          </cell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>
            <v>12.666666666666668</v>
          </cell>
          <cell r="CC196" t="str">
            <v>x</v>
          </cell>
          <cell r="CD196">
            <v>0</v>
          </cell>
          <cell r="CE196">
            <v>0</v>
          </cell>
          <cell r="CF196"/>
          <cell r="CG196">
            <v>0</v>
          </cell>
          <cell r="CH196">
            <v>6</v>
          </cell>
          <cell r="CI196" t="str">
            <v>x</v>
          </cell>
          <cell r="CJ196">
            <v>0</v>
          </cell>
          <cell r="CK196">
            <v>0</v>
          </cell>
          <cell r="CL196"/>
          <cell r="CM196">
            <v>0</v>
          </cell>
          <cell r="CN196">
            <v>21</v>
          </cell>
          <cell r="CO196" t="str">
            <v>x</v>
          </cell>
          <cell r="CP196">
            <v>0</v>
          </cell>
          <cell r="CQ196">
            <v>0</v>
          </cell>
          <cell r="CR196"/>
          <cell r="CS196">
            <v>0</v>
          </cell>
          <cell r="CT196" t="e">
            <v>#N/A</v>
          </cell>
          <cell r="CU196" t="str">
            <v>x</v>
          </cell>
          <cell r="CV196">
            <v>0</v>
          </cell>
          <cell r="CW196" t="e">
            <v>#N/A</v>
          </cell>
          <cell r="CX196"/>
          <cell r="CY196" t="e">
            <v>#N/A</v>
          </cell>
          <cell r="CZ196">
            <v>14.666666666666666</v>
          </cell>
          <cell r="DA196" t="str">
            <v>x</v>
          </cell>
          <cell r="DB196">
            <v>0</v>
          </cell>
          <cell r="DC196">
            <v>0</v>
          </cell>
          <cell r="DD196"/>
          <cell r="DE196">
            <v>0</v>
          </cell>
          <cell r="DF196">
            <v>20</v>
          </cell>
          <cell r="DG196">
            <v>0</v>
          </cell>
          <cell r="DH196">
            <v>1</v>
          </cell>
          <cell r="DI196">
            <v>1</v>
          </cell>
          <cell r="DJ196"/>
          <cell r="DK196">
            <v>0</v>
          </cell>
        </row>
        <row r="197">
          <cell r="B197" t="str">
            <v>CN1731</v>
          </cell>
          <cell r="C197" t="str">
            <v>Khối sản xuất</v>
          </cell>
          <cell r="D197" t="str">
            <v>Sơn Nghĩa</v>
          </cell>
          <cell r="E197" t="str">
            <v>SX</v>
          </cell>
          <cell r="F197">
            <v>46121</v>
          </cell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>
            <v>12.666666666666668</v>
          </cell>
          <cell r="CC197" t="str">
            <v>x</v>
          </cell>
          <cell r="CD197">
            <v>0</v>
          </cell>
          <cell r="CE197">
            <v>0</v>
          </cell>
          <cell r="CF197"/>
          <cell r="CG197">
            <v>0</v>
          </cell>
          <cell r="CH197">
            <v>6</v>
          </cell>
          <cell r="CI197" t="str">
            <v>x</v>
          </cell>
          <cell r="CJ197">
            <v>0</v>
          </cell>
          <cell r="CK197">
            <v>0</v>
          </cell>
          <cell r="CL197"/>
          <cell r="CM197">
            <v>0</v>
          </cell>
          <cell r="CN197">
            <v>21</v>
          </cell>
          <cell r="CO197" t="str">
            <v>x</v>
          </cell>
          <cell r="CP197">
            <v>0</v>
          </cell>
          <cell r="CQ197">
            <v>0</v>
          </cell>
          <cell r="CR197"/>
          <cell r="CS197">
            <v>0</v>
          </cell>
          <cell r="CT197" t="e">
            <v>#N/A</v>
          </cell>
          <cell r="CU197" t="str">
            <v>x</v>
          </cell>
          <cell r="CV197">
            <v>0</v>
          </cell>
          <cell r="CW197" t="e">
            <v>#N/A</v>
          </cell>
          <cell r="CX197"/>
          <cell r="CY197" t="e">
            <v>#N/A</v>
          </cell>
          <cell r="CZ197">
            <v>14.666666666666666</v>
          </cell>
          <cell r="DA197" t="str">
            <v>x</v>
          </cell>
          <cell r="DB197">
            <v>0</v>
          </cell>
          <cell r="DC197">
            <v>0</v>
          </cell>
          <cell r="DD197"/>
          <cell r="DE197">
            <v>0</v>
          </cell>
          <cell r="DF197">
            <v>22</v>
          </cell>
          <cell r="DG197">
            <v>0</v>
          </cell>
          <cell r="DH197">
            <v>1</v>
          </cell>
          <cell r="DI197">
            <v>0</v>
          </cell>
          <cell r="DJ197"/>
          <cell r="DK197">
            <v>0</v>
          </cell>
        </row>
        <row r="198">
          <cell r="B198" t="str">
            <v>CN1732</v>
          </cell>
          <cell r="C198" t="str">
            <v>Khối sản xuất</v>
          </cell>
          <cell r="D198" t="str">
            <v>Bùi Văn Dương</v>
          </cell>
          <cell r="E198" t="str">
            <v>SX</v>
          </cell>
          <cell r="F198">
            <v>46121</v>
          </cell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>
            <v>12.666666666666668</v>
          </cell>
          <cell r="CC198" t="str">
            <v>x</v>
          </cell>
          <cell r="CD198">
            <v>0</v>
          </cell>
          <cell r="CE198">
            <v>0</v>
          </cell>
          <cell r="CF198"/>
          <cell r="CG198">
            <v>0</v>
          </cell>
          <cell r="CH198">
            <v>6</v>
          </cell>
          <cell r="CI198" t="str">
            <v>x</v>
          </cell>
          <cell r="CJ198">
            <v>0</v>
          </cell>
          <cell r="CK198">
            <v>0</v>
          </cell>
          <cell r="CL198"/>
          <cell r="CM198">
            <v>0</v>
          </cell>
          <cell r="CN198">
            <v>21</v>
          </cell>
          <cell r="CO198" t="str">
            <v>x</v>
          </cell>
          <cell r="CP198">
            <v>0</v>
          </cell>
          <cell r="CQ198">
            <v>0</v>
          </cell>
          <cell r="CR198"/>
          <cell r="CS198">
            <v>0</v>
          </cell>
          <cell r="CT198" t="e">
            <v>#N/A</v>
          </cell>
          <cell r="CU198" t="str">
            <v>x</v>
          </cell>
          <cell r="CV198">
            <v>0</v>
          </cell>
          <cell r="CW198" t="e">
            <v>#N/A</v>
          </cell>
          <cell r="CX198"/>
          <cell r="CY198" t="e">
            <v>#N/A</v>
          </cell>
          <cell r="CZ198">
            <v>14.333333333333334</v>
          </cell>
          <cell r="DA198" t="str">
            <v>x</v>
          </cell>
          <cell r="DB198">
            <v>0</v>
          </cell>
          <cell r="DC198">
            <v>0</v>
          </cell>
          <cell r="DD198"/>
          <cell r="DE198">
            <v>0</v>
          </cell>
          <cell r="DF198">
            <v>21</v>
          </cell>
          <cell r="DG198">
            <v>0</v>
          </cell>
          <cell r="DH198">
            <v>1</v>
          </cell>
          <cell r="DI198">
            <v>0</v>
          </cell>
          <cell r="DJ198"/>
          <cell r="DK198">
            <v>0</v>
          </cell>
        </row>
        <row r="199">
          <cell r="B199" t="str">
            <v>CN1726</v>
          </cell>
          <cell r="C199" t="str">
            <v>Khối sản xuất</v>
          </cell>
          <cell r="D199" t="str">
            <v>Nguyễn Hoàng Giang</v>
          </cell>
          <cell r="E199" t="str">
            <v>SX</v>
          </cell>
          <cell r="F199">
            <v>46121</v>
          </cell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>
            <v>12.666666666666668</v>
          </cell>
          <cell r="CC199" t="str">
            <v>x</v>
          </cell>
          <cell r="CD199">
            <v>0</v>
          </cell>
          <cell r="CE199">
            <v>0</v>
          </cell>
          <cell r="CF199"/>
          <cell r="CG199">
            <v>0</v>
          </cell>
          <cell r="CH199">
            <v>6</v>
          </cell>
          <cell r="CI199" t="str">
            <v>x</v>
          </cell>
          <cell r="CJ199">
            <v>0</v>
          </cell>
          <cell r="CK199">
            <v>0</v>
          </cell>
          <cell r="CL199"/>
          <cell r="CM199">
            <v>0</v>
          </cell>
          <cell r="CN199">
            <v>21</v>
          </cell>
          <cell r="CO199" t="str">
            <v>x</v>
          </cell>
          <cell r="CP199">
            <v>0</v>
          </cell>
          <cell r="CQ199">
            <v>0</v>
          </cell>
          <cell r="CR199"/>
          <cell r="CS199">
            <v>0</v>
          </cell>
          <cell r="CT199" t="e">
            <v>#N/A</v>
          </cell>
          <cell r="CU199" t="str">
            <v>x</v>
          </cell>
          <cell r="CV199">
            <v>0</v>
          </cell>
          <cell r="CW199" t="e">
            <v>#N/A</v>
          </cell>
          <cell r="CX199"/>
          <cell r="CY199" t="e">
            <v>#N/A</v>
          </cell>
          <cell r="CZ199">
            <v>14.666666666666666</v>
          </cell>
          <cell r="DA199" t="str">
            <v>x</v>
          </cell>
          <cell r="DB199">
            <v>0</v>
          </cell>
          <cell r="DC199">
            <v>0</v>
          </cell>
          <cell r="DD199"/>
          <cell r="DE199">
            <v>0</v>
          </cell>
          <cell r="DF199">
            <v>22</v>
          </cell>
          <cell r="DG199">
            <v>0</v>
          </cell>
          <cell r="DH199">
            <v>1</v>
          </cell>
          <cell r="DI199">
            <v>0</v>
          </cell>
          <cell r="DJ199"/>
          <cell r="DK199">
            <v>0</v>
          </cell>
        </row>
        <row r="200">
          <cell r="B200" t="str">
            <v>CN1734</v>
          </cell>
          <cell r="C200" t="str">
            <v>Khối sản xuất</v>
          </cell>
          <cell r="D200" t="str">
            <v>Lâm Phi</v>
          </cell>
          <cell r="E200" t="str">
            <v>SX</v>
          </cell>
          <cell r="F200">
            <v>46121</v>
          </cell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>
            <v>12.666666666666668</v>
          </cell>
          <cell r="CC200" t="str">
            <v>x</v>
          </cell>
          <cell r="CD200">
            <v>0</v>
          </cell>
          <cell r="CE200">
            <v>0</v>
          </cell>
          <cell r="CF200"/>
          <cell r="CG200">
            <v>0</v>
          </cell>
          <cell r="CH200">
            <v>6</v>
          </cell>
          <cell r="CI200" t="str">
            <v>x</v>
          </cell>
          <cell r="CJ200">
            <v>0</v>
          </cell>
          <cell r="CK200">
            <v>0</v>
          </cell>
          <cell r="CL200"/>
          <cell r="CM200">
            <v>0</v>
          </cell>
          <cell r="CN200">
            <v>21</v>
          </cell>
          <cell r="CO200" t="str">
            <v>x</v>
          </cell>
          <cell r="CP200">
            <v>0</v>
          </cell>
          <cell r="CQ200">
            <v>0</v>
          </cell>
          <cell r="CR200"/>
          <cell r="CS200">
            <v>0</v>
          </cell>
          <cell r="CT200" t="e">
            <v>#N/A</v>
          </cell>
          <cell r="CU200" t="str">
            <v>x</v>
          </cell>
          <cell r="CV200">
            <v>0</v>
          </cell>
          <cell r="CW200" t="e">
            <v>#N/A</v>
          </cell>
          <cell r="CX200"/>
          <cell r="CY200" t="e">
            <v>#N/A</v>
          </cell>
          <cell r="CZ200">
            <v>14.666666666666666</v>
          </cell>
          <cell r="DA200" t="str">
            <v>x</v>
          </cell>
          <cell r="DB200">
            <v>0</v>
          </cell>
          <cell r="DC200">
            <v>0</v>
          </cell>
          <cell r="DD200"/>
          <cell r="DE200">
            <v>0</v>
          </cell>
          <cell r="DF200">
            <v>18.75</v>
          </cell>
          <cell r="DG200">
            <v>0</v>
          </cell>
          <cell r="DH200">
            <v>1</v>
          </cell>
          <cell r="DI200">
            <v>0</v>
          </cell>
          <cell r="DJ200"/>
          <cell r="DK200">
            <v>0</v>
          </cell>
        </row>
        <row r="201">
          <cell r="B201" t="str">
            <v>CN1742</v>
          </cell>
          <cell r="C201" t="str">
            <v>Khối sản xuất</v>
          </cell>
          <cell r="D201" t="str">
            <v>Phạm Hữu Du Đô</v>
          </cell>
          <cell r="E201" t="str">
            <v>SX</v>
          </cell>
          <cell r="F201">
            <v>46130</v>
          </cell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>
            <v>12.666666666666668</v>
          </cell>
          <cell r="CC201" t="str">
            <v>x</v>
          </cell>
          <cell r="CD201">
            <v>0</v>
          </cell>
          <cell r="CE201">
            <v>0</v>
          </cell>
          <cell r="CF201"/>
          <cell r="CG201">
            <v>0</v>
          </cell>
          <cell r="CH201">
            <v>6</v>
          </cell>
          <cell r="CI201" t="str">
            <v>x</v>
          </cell>
          <cell r="CJ201">
            <v>0</v>
          </cell>
          <cell r="CK201">
            <v>0</v>
          </cell>
          <cell r="CL201"/>
          <cell r="CM201">
            <v>0</v>
          </cell>
          <cell r="CN201">
            <v>21</v>
          </cell>
          <cell r="CO201" t="str">
            <v>x</v>
          </cell>
          <cell r="CP201">
            <v>0</v>
          </cell>
          <cell r="CQ201">
            <v>0</v>
          </cell>
          <cell r="CR201"/>
          <cell r="CS201">
            <v>0</v>
          </cell>
          <cell r="CT201" t="e">
            <v>#N/A</v>
          </cell>
          <cell r="CU201" t="str">
            <v>x</v>
          </cell>
          <cell r="CV201">
            <v>0</v>
          </cell>
          <cell r="CW201" t="e">
            <v>#N/A</v>
          </cell>
          <cell r="CX201"/>
          <cell r="CY201" t="e">
            <v>#N/A</v>
          </cell>
          <cell r="CZ201">
            <v>6.666666666666667</v>
          </cell>
          <cell r="DA201" t="str">
            <v>x</v>
          </cell>
          <cell r="DB201">
            <v>0</v>
          </cell>
          <cell r="DC201">
            <v>0</v>
          </cell>
          <cell r="DD201"/>
          <cell r="DE201">
            <v>0</v>
          </cell>
          <cell r="DF201">
            <v>21</v>
          </cell>
          <cell r="DG201">
            <v>0</v>
          </cell>
          <cell r="DH201">
            <v>1</v>
          </cell>
          <cell r="DI201">
            <v>1</v>
          </cell>
          <cell r="DJ201"/>
          <cell r="DK201">
            <v>0</v>
          </cell>
        </row>
        <row r="202">
          <cell r="B202" t="str">
            <v>CN1739</v>
          </cell>
          <cell r="C202" t="str">
            <v>Khối sản xuất</v>
          </cell>
          <cell r="D202" t="str">
            <v>Võ Anh Kiệt</v>
          </cell>
          <cell r="E202" t="str">
            <v>SX</v>
          </cell>
          <cell r="F202">
            <v>46129</v>
          </cell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>
            <v>12.666666666666668</v>
          </cell>
          <cell r="CC202" t="str">
            <v>x</v>
          </cell>
          <cell r="CD202">
            <v>0</v>
          </cell>
          <cell r="CE202">
            <v>0</v>
          </cell>
          <cell r="CF202"/>
          <cell r="CG202">
            <v>0</v>
          </cell>
          <cell r="CH202">
            <v>6</v>
          </cell>
          <cell r="CI202" t="str">
            <v>x</v>
          </cell>
          <cell r="CJ202">
            <v>0</v>
          </cell>
          <cell r="CK202">
            <v>0</v>
          </cell>
          <cell r="CL202"/>
          <cell r="CM202">
            <v>0</v>
          </cell>
          <cell r="CN202">
            <v>21</v>
          </cell>
          <cell r="CO202" t="str">
            <v>x</v>
          </cell>
          <cell r="CP202">
            <v>0</v>
          </cell>
          <cell r="CQ202">
            <v>0</v>
          </cell>
          <cell r="CR202"/>
          <cell r="CS202">
            <v>0</v>
          </cell>
          <cell r="CT202" t="e">
            <v>#N/A</v>
          </cell>
          <cell r="CU202" t="str">
            <v>x</v>
          </cell>
          <cell r="CV202">
            <v>0</v>
          </cell>
          <cell r="CW202" t="e">
            <v>#N/A</v>
          </cell>
          <cell r="CX202"/>
          <cell r="CY202" t="e">
            <v>#N/A</v>
          </cell>
          <cell r="CZ202">
            <v>8</v>
          </cell>
          <cell r="DA202" t="str">
            <v>x</v>
          </cell>
          <cell r="DB202">
            <v>0</v>
          </cell>
          <cell r="DC202">
            <v>0</v>
          </cell>
          <cell r="DD202"/>
          <cell r="DE202">
            <v>0</v>
          </cell>
          <cell r="DF202">
            <v>20</v>
          </cell>
          <cell r="DG202">
            <v>0</v>
          </cell>
          <cell r="DH202">
            <v>1</v>
          </cell>
          <cell r="DI202">
            <v>2</v>
          </cell>
          <cell r="DJ202"/>
          <cell r="DK202">
            <v>0</v>
          </cell>
        </row>
        <row r="203">
          <cell r="B203" t="str">
            <v>CN1740</v>
          </cell>
          <cell r="C203" t="str">
            <v>Khối sản xuất</v>
          </cell>
          <cell r="D203" t="str">
            <v>Trần Văn Khá</v>
          </cell>
          <cell r="E203" t="str">
            <v>SX</v>
          </cell>
          <cell r="F203">
            <v>46129</v>
          </cell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>
            <v>12.666666666666668</v>
          </cell>
          <cell r="CC203" t="str">
            <v>x</v>
          </cell>
          <cell r="CD203">
            <v>0</v>
          </cell>
          <cell r="CE203">
            <v>0</v>
          </cell>
          <cell r="CF203"/>
          <cell r="CG203">
            <v>0</v>
          </cell>
          <cell r="CH203">
            <v>6</v>
          </cell>
          <cell r="CI203" t="str">
            <v>x</v>
          </cell>
          <cell r="CJ203">
            <v>0</v>
          </cell>
          <cell r="CK203">
            <v>0</v>
          </cell>
          <cell r="CL203"/>
          <cell r="CM203">
            <v>0</v>
          </cell>
          <cell r="CN203">
            <v>21</v>
          </cell>
          <cell r="CO203" t="str">
            <v>x</v>
          </cell>
          <cell r="CP203">
            <v>0</v>
          </cell>
          <cell r="CQ203">
            <v>0</v>
          </cell>
          <cell r="CR203"/>
          <cell r="CS203">
            <v>0</v>
          </cell>
          <cell r="CT203" t="e">
            <v>#N/A</v>
          </cell>
          <cell r="CU203" t="str">
            <v>x</v>
          </cell>
          <cell r="CV203">
            <v>0</v>
          </cell>
          <cell r="CW203" t="e">
            <v>#N/A</v>
          </cell>
          <cell r="CX203"/>
          <cell r="CY203" t="e">
            <v>#N/A</v>
          </cell>
          <cell r="CZ203">
            <v>8</v>
          </cell>
          <cell r="DA203" t="str">
            <v>x</v>
          </cell>
          <cell r="DB203">
            <v>0</v>
          </cell>
          <cell r="DC203">
            <v>0</v>
          </cell>
          <cell r="DD203"/>
          <cell r="DE203">
            <v>0</v>
          </cell>
          <cell r="DF203">
            <v>22</v>
          </cell>
          <cell r="DG203">
            <v>0</v>
          </cell>
          <cell r="DH203">
            <v>1</v>
          </cell>
          <cell r="DI203">
            <v>0</v>
          </cell>
          <cell r="DJ203"/>
          <cell r="DK203">
            <v>0</v>
          </cell>
        </row>
        <row r="204">
          <cell r="B204" t="str">
            <v>CN1741</v>
          </cell>
          <cell r="C204" t="str">
            <v>Khối sản xuất</v>
          </cell>
          <cell r="D204" t="str">
            <v xml:space="preserve">Lương Văn Chung </v>
          </cell>
          <cell r="E204" t="str">
            <v>SX</v>
          </cell>
          <cell r="F204">
            <v>46132</v>
          </cell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>
            <v>12.666666666666668</v>
          </cell>
          <cell r="CC204" t="str">
            <v>x</v>
          </cell>
          <cell r="CD204">
            <v>0</v>
          </cell>
          <cell r="CE204">
            <v>0</v>
          </cell>
          <cell r="CF204"/>
          <cell r="CG204">
            <v>0</v>
          </cell>
          <cell r="CH204">
            <v>6</v>
          </cell>
          <cell r="CI204" t="str">
            <v>x</v>
          </cell>
          <cell r="CJ204">
            <v>0</v>
          </cell>
          <cell r="CK204">
            <v>0</v>
          </cell>
          <cell r="CL204"/>
          <cell r="CM204">
            <v>0</v>
          </cell>
          <cell r="CN204">
            <v>21</v>
          </cell>
          <cell r="CO204" t="str">
            <v>x</v>
          </cell>
          <cell r="CP204">
            <v>0</v>
          </cell>
          <cell r="CQ204">
            <v>0</v>
          </cell>
          <cell r="CR204"/>
          <cell r="CS204">
            <v>0</v>
          </cell>
          <cell r="CT204" t="e">
            <v>#N/A</v>
          </cell>
          <cell r="CU204" t="str">
            <v>x</v>
          </cell>
          <cell r="CV204">
            <v>0</v>
          </cell>
          <cell r="CW204" t="e">
            <v>#N/A</v>
          </cell>
          <cell r="CX204"/>
          <cell r="CY204" t="e">
            <v>#N/A</v>
          </cell>
          <cell r="CZ204">
            <v>6</v>
          </cell>
          <cell r="DA204" t="str">
            <v>x</v>
          </cell>
          <cell r="DB204">
            <v>0</v>
          </cell>
          <cell r="DC204">
            <v>0</v>
          </cell>
          <cell r="DD204"/>
          <cell r="DE204">
            <v>0</v>
          </cell>
          <cell r="DF204">
            <v>23</v>
          </cell>
          <cell r="DG204">
            <v>0</v>
          </cell>
          <cell r="DH204">
            <v>1</v>
          </cell>
          <cell r="DI204">
            <v>0</v>
          </cell>
          <cell r="DJ204"/>
          <cell r="DK204">
            <v>0</v>
          </cell>
        </row>
        <row r="205">
          <cell r="B205" t="str">
            <v>CN1744</v>
          </cell>
          <cell r="C205" t="str">
            <v>Khối sản xuất</v>
          </cell>
          <cell r="D205" t="str">
            <v>Trương Văn Đào</v>
          </cell>
          <cell r="E205" t="str">
            <v>SX</v>
          </cell>
          <cell r="F205">
            <v>46136</v>
          </cell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>
            <v>12.666666666666668</v>
          </cell>
          <cell r="CC205" t="str">
            <v>x</v>
          </cell>
          <cell r="CD205">
            <v>0</v>
          </cell>
          <cell r="CE205">
            <v>0</v>
          </cell>
          <cell r="CF205"/>
          <cell r="CG205">
            <v>0</v>
          </cell>
          <cell r="CH205">
            <v>6</v>
          </cell>
          <cell r="CI205" t="str">
            <v>x</v>
          </cell>
          <cell r="CJ205">
            <v>0</v>
          </cell>
          <cell r="CK205">
            <v>0</v>
          </cell>
          <cell r="CL205"/>
          <cell r="CM205">
            <v>0</v>
          </cell>
          <cell r="CN205">
            <v>21</v>
          </cell>
          <cell r="CO205" t="str">
            <v>x</v>
          </cell>
          <cell r="CP205">
            <v>0</v>
          </cell>
          <cell r="CQ205">
            <v>0</v>
          </cell>
          <cell r="CR205"/>
          <cell r="CS205">
            <v>0</v>
          </cell>
          <cell r="CT205" t="e">
            <v>#N/A</v>
          </cell>
          <cell r="CU205" t="str">
            <v>x</v>
          </cell>
          <cell r="CV205">
            <v>0</v>
          </cell>
          <cell r="CW205" t="e">
            <v>#N/A</v>
          </cell>
          <cell r="CX205"/>
          <cell r="CY205" t="e">
            <v>#N/A</v>
          </cell>
          <cell r="CZ205">
            <v>6</v>
          </cell>
          <cell r="DA205" t="str">
            <v>x</v>
          </cell>
          <cell r="DB205">
            <v>0</v>
          </cell>
          <cell r="DC205">
            <v>0</v>
          </cell>
          <cell r="DD205"/>
          <cell r="DE205">
            <v>0</v>
          </cell>
          <cell r="DF205">
            <v>22</v>
          </cell>
          <cell r="DG205">
            <v>0</v>
          </cell>
          <cell r="DH205">
            <v>1</v>
          </cell>
          <cell r="DI205">
            <v>0</v>
          </cell>
          <cell r="DJ205"/>
          <cell r="DK205">
            <v>0</v>
          </cell>
        </row>
        <row r="206">
          <cell r="B206" t="str">
            <v>CN1745</v>
          </cell>
          <cell r="C206" t="str">
            <v>Khối sản xuất</v>
          </cell>
          <cell r="D206" t="str">
            <v>Trịnh Đà Ra</v>
          </cell>
          <cell r="E206" t="str">
            <v>SX</v>
          </cell>
          <cell r="F206">
            <v>46140</v>
          </cell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>
            <v>12.666666666666668</v>
          </cell>
          <cell r="CC206" t="str">
            <v>x</v>
          </cell>
          <cell r="CD206">
            <v>0</v>
          </cell>
          <cell r="CE206">
            <v>0</v>
          </cell>
          <cell r="CF206"/>
          <cell r="CG206">
            <v>0</v>
          </cell>
          <cell r="CH206">
            <v>6</v>
          </cell>
          <cell r="CI206" t="str">
            <v>x</v>
          </cell>
          <cell r="CJ206">
            <v>0</v>
          </cell>
          <cell r="CK206">
            <v>0</v>
          </cell>
          <cell r="CL206"/>
          <cell r="CM206">
            <v>0</v>
          </cell>
          <cell r="CN206">
            <v>21</v>
          </cell>
          <cell r="CO206" t="str">
            <v>x</v>
          </cell>
          <cell r="CP206">
            <v>0</v>
          </cell>
          <cell r="CQ206">
            <v>0</v>
          </cell>
          <cell r="CR206"/>
          <cell r="CS206">
            <v>0</v>
          </cell>
          <cell r="CT206" t="e">
            <v>#N/A</v>
          </cell>
          <cell r="CU206" t="str">
            <v>x</v>
          </cell>
          <cell r="CV206">
            <v>0</v>
          </cell>
          <cell r="CW206" t="e">
            <v>#N/A</v>
          </cell>
          <cell r="CX206"/>
          <cell r="CY206" t="e">
            <v>#N/A</v>
          </cell>
          <cell r="CZ206">
            <v>6</v>
          </cell>
          <cell r="DA206" t="str">
            <v>x</v>
          </cell>
          <cell r="DB206">
            <v>0</v>
          </cell>
          <cell r="DC206">
            <v>0</v>
          </cell>
          <cell r="DD206"/>
          <cell r="DE206">
            <v>0</v>
          </cell>
          <cell r="DF206">
            <v>20.416666666666664</v>
          </cell>
          <cell r="DG206">
            <v>0</v>
          </cell>
          <cell r="DH206">
            <v>1</v>
          </cell>
          <cell r="DI206">
            <v>0</v>
          </cell>
          <cell r="DJ206"/>
          <cell r="DK206">
            <v>0</v>
          </cell>
        </row>
        <row r="207">
          <cell r="B207" t="str">
            <v>CN1748</v>
          </cell>
          <cell r="C207" t="str">
            <v>Khối sản xuất</v>
          </cell>
          <cell r="D207" t="str">
            <v>Trần Thanh Tùng</v>
          </cell>
          <cell r="E207" t="str">
            <v>SX</v>
          </cell>
          <cell r="F207">
            <v>46148</v>
          </cell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>
            <v>12.666666666666668</v>
          </cell>
          <cell r="CC207" t="str">
            <v>x</v>
          </cell>
          <cell r="CD207">
            <v>0</v>
          </cell>
          <cell r="CE207">
            <v>0</v>
          </cell>
          <cell r="CF207"/>
          <cell r="CG207">
            <v>0</v>
          </cell>
          <cell r="CH207">
            <v>6</v>
          </cell>
          <cell r="CI207" t="str">
            <v>x</v>
          </cell>
          <cell r="CJ207">
            <v>0</v>
          </cell>
          <cell r="CK207">
            <v>0</v>
          </cell>
          <cell r="CL207"/>
          <cell r="CM207">
            <v>0</v>
          </cell>
          <cell r="CN207">
            <v>21</v>
          </cell>
          <cell r="CO207" t="str">
            <v>x</v>
          </cell>
          <cell r="CP207">
            <v>0</v>
          </cell>
          <cell r="CQ207">
            <v>0</v>
          </cell>
          <cell r="CR207"/>
          <cell r="CS207">
            <v>0</v>
          </cell>
          <cell r="CT207" t="e">
            <v>#N/A</v>
          </cell>
          <cell r="CU207" t="str">
            <v>x</v>
          </cell>
          <cell r="CV207">
            <v>0</v>
          </cell>
          <cell r="CW207" t="e">
            <v>#N/A</v>
          </cell>
          <cell r="CX207"/>
          <cell r="CY207" t="e">
            <v>#N/A</v>
          </cell>
          <cell r="CZ207">
            <v>6</v>
          </cell>
          <cell r="DA207" t="str">
            <v>x</v>
          </cell>
          <cell r="DB207">
            <v>0</v>
          </cell>
          <cell r="DC207">
            <v>0</v>
          </cell>
          <cell r="DD207"/>
          <cell r="DE207">
            <v>0</v>
          </cell>
          <cell r="DF207">
            <v>16.666666666666664</v>
          </cell>
          <cell r="DG207" t="str">
            <v>x</v>
          </cell>
          <cell r="DH207">
            <v>0</v>
          </cell>
          <cell r="DI207">
            <v>0</v>
          </cell>
          <cell r="DJ207"/>
          <cell r="DK207">
            <v>0</v>
          </cell>
        </row>
        <row r="208">
          <cell r="B208" t="str">
            <v>CN1750</v>
          </cell>
          <cell r="C208" t="str">
            <v>Khối sản xuất</v>
          </cell>
          <cell r="D208" t="str">
            <v>Lê Nhật Duy</v>
          </cell>
          <cell r="E208" t="str">
            <v>SX</v>
          </cell>
          <cell r="F208">
            <v>46148</v>
          </cell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>
            <v>12.666666666666668</v>
          </cell>
          <cell r="CC208" t="str">
            <v>x</v>
          </cell>
          <cell r="CD208">
            <v>0</v>
          </cell>
          <cell r="CE208">
            <v>0</v>
          </cell>
          <cell r="CF208"/>
          <cell r="CG208">
            <v>0</v>
          </cell>
          <cell r="CH208">
            <v>6</v>
          </cell>
          <cell r="CI208" t="str">
            <v>x</v>
          </cell>
          <cell r="CJ208">
            <v>0</v>
          </cell>
          <cell r="CK208">
            <v>0</v>
          </cell>
          <cell r="CL208"/>
          <cell r="CM208">
            <v>0</v>
          </cell>
          <cell r="CN208">
            <v>21</v>
          </cell>
          <cell r="CO208" t="str">
            <v>x</v>
          </cell>
          <cell r="CP208">
            <v>0</v>
          </cell>
          <cell r="CQ208">
            <v>0</v>
          </cell>
          <cell r="CR208"/>
          <cell r="CS208">
            <v>0</v>
          </cell>
          <cell r="CT208" t="e">
            <v>#N/A</v>
          </cell>
          <cell r="CU208" t="str">
            <v>x</v>
          </cell>
          <cell r="CV208">
            <v>0</v>
          </cell>
          <cell r="CW208" t="e">
            <v>#N/A</v>
          </cell>
          <cell r="CX208"/>
          <cell r="CY208" t="e">
            <v>#N/A</v>
          </cell>
          <cell r="CZ208">
            <v>6</v>
          </cell>
          <cell r="DA208" t="str">
            <v>x</v>
          </cell>
          <cell r="DB208">
            <v>0</v>
          </cell>
          <cell r="DC208">
            <v>0</v>
          </cell>
          <cell r="DD208"/>
          <cell r="DE208">
            <v>0</v>
          </cell>
          <cell r="DF208">
            <v>16.666666666666664</v>
          </cell>
          <cell r="DG208" t="str">
            <v>x</v>
          </cell>
          <cell r="DH208">
            <v>0</v>
          </cell>
          <cell r="DI208">
            <v>0</v>
          </cell>
          <cell r="DJ208"/>
          <cell r="DK208">
            <v>0</v>
          </cell>
        </row>
        <row r="209">
          <cell r="B209" t="str">
            <v>CN1751</v>
          </cell>
          <cell r="C209" t="str">
            <v>Khối sản xuất</v>
          </cell>
          <cell r="D209" t="str">
            <v>Nguyễn Anh Trí</v>
          </cell>
          <cell r="E209" t="str">
            <v>SX</v>
          </cell>
          <cell r="F209">
            <v>46149</v>
          </cell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>
            <v>12.666666666666668</v>
          </cell>
          <cell r="CC209" t="str">
            <v>x</v>
          </cell>
          <cell r="CD209">
            <v>0</v>
          </cell>
          <cell r="CE209">
            <v>0</v>
          </cell>
          <cell r="CF209"/>
          <cell r="CG209">
            <v>0</v>
          </cell>
          <cell r="CH209">
            <v>6</v>
          </cell>
          <cell r="CI209" t="str">
            <v>x</v>
          </cell>
          <cell r="CJ209">
            <v>0</v>
          </cell>
          <cell r="CK209">
            <v>0</v>
          </cell>
          <cell r="CL209"/>
          <cell r="CM209">
            <v>0</v>
          </cell>
          <cell r="CN209">
            <v>21</v>
          </cell>
          <cell r="CO209" t="str">
            <v>x</v>
          </cell>
          <cell r="CP209">
            <v>0</v>
          </cell>
          <cell r="CQ209">
            <v>0</v>
          </cell>
          <cell r="CR209"/>
          <cell r="CS209">
            <v>0</v>
          </cell>
          <cell r="CT209" t="e">
            <v>#N/A</v>
          </cell>
          <cell r="CU209" t="str">
            <v>x</v>
          </cell>
          <cell r="CV209">
            <v>0</v>
          </cell>
          <cell r="CW209" t="e">
            <v>#N/A</v>
          </cell>
          <cell r="CX209"/>
          <cell r="CY209" t="e">
            <v>#N/A</v>
          </cell>
          <cell r="CZ209">
            <v>6</v>
          </cell>
          <cell r="DA209" t="str">
            <v>x</v>
          </cell>
          <cell r="DB209">
            <v>0</v>
          </cell>
          <cell r="DC209">
            <v>0</v>
          </cell>
          <cell r="DD209"/>
          <cell r="DE209">
            <v>0</v>
          </cell>
          <cell r="DF209">
            <v>14.666666666666668</v>
          </cell>
          <cell r="DG209" t="str">
            <v>x</v>
          </cell>
          <cell r="DH209">
            <v>0</v>
          </cell>
          <cell r="DI209">
            <v>0</v>
          </cell>
          <cell r="DJ209"/>
          <cell r="DK209">
            <v>0</v>
          </cell>
        </row>
        <row r="210">
          <cell r="B210" t="str">
            <v>CN1762</v>
          </cell>
          <cell r="C210" t="str">
            <v>Khối sản xuất</v>
          </cell>
          <cell r="D210" t="str">
            <v>Nguyễn Hồng Thái</v>
          </cell>
          <cell r="E210" t="str">
            <v>SX</v>
          </cell>
          <cell r="F210">
            <v>46163</v>
          </cell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>
            <v>12.666666666666668</v>
          </cell>
          <cell r="CC210" t="str">
            <v>x</v>
          </cell>
          <cell r="CD210">
            <v>0</v>
          </cell>
          <cell r="CE210">
            <v>0</v>
          </cell>
          <cell r="CF210"/>
          <cell r="CG210">
            <v>0</v>
          </cell>
          <cell r="CH210">
            <v>6</v>
          </cell>
          <cell r="CI210" t="str">
            <v>x</v>
          </cell>
          <cell r="CJ210">
            <v>0</v>
          </cell>
          <cell r="CK210">
            <v>0</v>
          </cell>
          <cell r="CL210"/>
          <cell r="CM210">
            <v>0</v>
          </cell>
          <cell r="CN210">
            <v>21</v>
          </cell>
          <cell r="CO210" t="str">
            <v>x</v>
          </cell>
          <cell r="CP210">
            <v>0</v>
          </cell>
          <cell r="CQ210">
            <v>0</v>
          </cell>
          <cell r="CR210"/>
          <cell r="CS210">
            <v>0</v>
          </cell>
          <cell r="CT210" t="e">
            <v>#N/A</v>
          </cell>
          <cell r="CU210" t="str">
            <v>x</v>
          </cell>
          <cell r="CV210">
            <v>0</v>
          </cell>
          <cell r="CW210" t="e">
            <v>#N/A</v>
          </cell>
          <cell r="CX210"/>
          <cell r="CY210" t="e">
            <v>#N/A</v>
          </cell>
          <cell r="CZ210">
            <v>6</v>
          </cell>
          <cell r="DA210" t="str">
            <v>x</v>
          </cell>
          <cell r="DB210">
            <v>0</v>
          </cell>
          <cell r="DC210">
            <v>0</v>
          </cell>
          <cell r="DD210"/>
          <cell r="DE210">
            <v>0</v>
          </cell>
          <cell r="DF210">
            <v>3.6666666666666665</v>
          </cell>
          <cell r="DG210" t="str">
            <v>x</v>
          </cell>
          <cell r="DH210">
            <v>0</v>
          </cell>
          <cell r="DI210">
            <v>0</v>
          </cell>
          <cell r="DJ210"/>
          <cell r="DK210">
            <v>0</v>
          </cell>
        </row>
        <row r="211">
          <cell r="B211" t="str">
            <v>CN1763</v>
          </cell>
          <cell r="C211" t="str">
            <v>Khối sản xuất</v>
          </cell>
          <cell r="D211" t="str">
            <v>Võ Thị Nị</v>
          </cell>
          <cell r="E211" t="str">
            <v>SX</v>
          </cell>
          <cell r="F211">
            <v>46163</v>
          </cell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>
            <v>12.666666666666668</v>
          </cell>
          <cell r="CC211" t="str">
            <v>x</v>
          </cell>
          <cell r="CD211">
            <v>0</v>
          </cell>
          <cell r="CE211">
            <v>0</v>
          </cell>
          <cell r="CF211"/>
          <cell r="CG211">
            <v>0</v>
          </cell>
          <cell r="CH211">
            <v>6</v>
          </cell>
          <cell r="CI211" t="str">
            <v>x</v>
          </cell>
          <cell r="CJ211">
            <v>0</v>
          </cell>
          <cell r="CK211">
            <v>0</v>
          </cell>
          <cell r="CL211"/>
          <cell r="CM211">
            <v>0</v>
          </cell>
          <cell r="CN211">
            <v>21</v>
          </cell>
          <cell r="CO211" t="str">
            <v>x</v>
          </cell>
          <cell r="CP211">
            <v>0</v>
          </cell>
          <cell r="CQ211">
            <v>0</v>
          </cell>
          <cell r="CR211"/>
          <cell r="CS211">
            <v>0</v>
          </cell>
          <cell r="CT211" t="e">
            <v>#N/A</v>
          </cell>
          <cell r="CU211" t="str">
            <v>x</v>
          </cell>
          <cell r="CV211">
            <v>0</v>
          </cell>
          <cell r="CW211" t="e">
            <v>#N/A</v>
          </cell>
          <cell r="CX211"/>
          <cell r="CY211" t="e">
            <v>#N/A</v>
          </cell>
          <cell r="CZ211">
            <v>6</v>
          </cell>
          <cell r="DA211" t="str">
            <v>x</v>
          </cell>
          <cell r="DB211">
            <v>0</v>
          </cell>
          <cell r="DC211">
            <v>0</v>
          </cell>
          <cell r="DD211"/>
          <cell r="DE211">
            <v>0</v>
          </cell>
          <cell r="DF211">
            <v>3.6666666666666665</v>
          </cell>
          <cell r="DG211" t="str">
            <v>x</v>
          </cell>
          <cell r="DH211">
            <v>0</v>
          </cell>
          <cell r="DI211">
            <v>0</v>
          </cell>
          <cell r="DJ211"/>
          <cell r="DK211">
            <v>0</v>
          </cell>
        </row>
        <row r="212">
          <cell r="B212" t="str">
            <v>CN1743</v>
          </cell>
          <cell r="C212" t="str">
            <v>Khối sản xuất</v>
          </cell>
          <cell r="D212" t="str">
            <v>Nguyễn Minh Kha</v>
          </cell>
          <cell r="E212" t="str">
            <v>SX</v>
          </cell>
          <cell r="F212">
            <v>46130</v>
          </cell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>
            <v>12.666666666666668</v>
          </cell>
          <cell r="CC212" t="str">
            <v>x</v>
          </cell>
          <cell r="CD212">
            <v>0</v>
          </cell>
          <cell r="CE212">
            <v>0</v>
          </cell>
          <cell r="CF212"/>
          <cell r="CG212">
            <v>0</v>
          </cell>
          <cell r="CH212">
            <v>6</v>
          </cell>
          <cell r="CI212" t="str">
            <v>x</v>
          </cell>
          <cell r="CJ212">
            <v>0</v>
          </cell>
          <cell r="CK212">
            <v>0</v>
          </cell>
          <cell r="CL212"/>
          <cell r="CM212">
            <v>0</v>
          </cell>
          <cell r="CN212">
            <v>21</v>
          </cell>
          <cell r="CO212" t="str">
            <v>x</v>
          </cell>
          <cell r="CP212">
            <v>0</v>
          </cell>
          <cell r="CQ212">
            <v>0</v>
          </cell>
          <cell r="CR212"/>
          <cell r="CS212">
            <v>0</v>
          </cell>
          <cell r="CT212" t="e">
            <v>#N/A</v>
          </cell>
          <cell r="CU212" t="str">
            <v>x</v>
          </cell>
          <cell r="CV212">
            <v>0</v>
          </cell>
          <cell r="CW212" t="e">
            <v>#N/A</v>
          </cell>
          <cell r="CX212"/>
          <cell r="CY212" t="e">
            <v>#N/A</v>
          </cell>
          <cell r="CZ212">
            <v>6</v>
          </cell>
          <cell r="DA212" t="str">
            <v>x</v>
          </cell>
          <cell r="DB212">
            <v>0</v>
          </cell>
          <cell r="DC212">
            <v>0</v>
          </cell>
          <cell r="DD212"/>
          <cell r="DE212">
            <v>0</v>
          </cell>
          <cell r="DF212">
            <v>21</v>
          </cell>
          <cell r="DG212">
            <v>0</v>
          </cell>
          <cell r="DH212">
            <v>1</v>
          </cell>
          <cell r="DI212">
            <v>1</v>
          </cell>
          <cell r="DJ212"/>
          <cell r="DK212">
            <v>0</v>
          </cell>
        </row>
        <row r="213">
          <cell r="B213" t="str">
            <v>CN1747</v>
          </cell>
          <cell r="C213" t="str">
            <v>Khối sản xuất</v>
          </cell>
          <cell r="D213" t="str">
            <v>Giang Gia Cam</v>
          </cell>
          <cell r="E213" t="str">
            <v>SX</v>
          </cell>
          <cell r="F213">
            <v>46148</v>
          </cell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>
            <v>12.666666666666668</v>
          </cell>
          <cell r="CC213" t="str">
            <v>x</v>
          </cell>
          <cell r="CD213">
            <v>0</v>
          </cell>
          <cell r="CE213">
            <v>0</v>
          </cell>
          <cell r="CF213"/>
          <cell r="CG213">
            <v>0</v>
          </cell>
          <cell r="CH213">
            <v>6</v>
          </cell>
          <cell r="CI213" t="str">
            <v>x</v>
          </cell>
          <cell r="CJ213">
            <v>0</v>
          </cell>
          <cell r="CK213">
            <v>0</v>
          </cell>
          <cell r="CL213"/>
          <cell r="CM213">
            <v>0</v>
          </cell>
          <cell r="CN213">
            <v>21</v>
          </cell>
          <cell r="CO213" t="str">
            <v>x</v>
          </cell>
          <cell r="CP213">
            <v>0</v>
          </cell>
          <cell r="CQ213">
            <v>0</v>
          </cell>
          <cell r="CR213"/>
          <cell r="CS213">
            <v>0</v>
          </cell>
          <cell r="CT213" t="e">
            <v>#N/A</v>
          </cell>
          <cell r="CU213" t="str">
            <v>x</v>
          </cell>
          <cell r="CV213">
            <v>0</v>
          </cell>
          <cell r="CW213" t="e">
            <v>#N/A</v>
          </cell>
          <cell r="CX213"/>
          <cell r="CY213" t="e">
            <v>#N/A</v>
          </cell>
          <cell r="CZ213">
            <v>6</v>
          </cell>
          <cell r="DA213" t="str">
            <v>x</v>
          </cell>
          <cell r="DB213">
            <v>0</v>
          </cell>
          <cell r="DC213">
            <v>0</v>
          </cell>
          <cell r="DD213"/>
          <cell r="DE213">
            <v>0</v>
          </cell>
          <cell r="DF213">
            <v>16.75</v>
          </cell>
          <cell r="DG213" t="str">
            <v>x</v>
          </cell>
          <cell r="DH213">
            <v>0</v>
          </cell>
          <cell r="DI213">
            <v>0</v>
          </cell>
          <cell r="DJ213"/>
          <cell r="DK213">
            <v>0</v>
          </cell>
        </row>
        <row r="214">
          <cell r="B214" t="str">
            <v>CN1754</v>
          </cell>
          <cell r="C214" t="str">
            <v>Khối sản xuất</v>
          </cell>
          <cell r="D214" t="str">
            <v>Phạm Bảo Kiệt</v>
          </cell>
          <cell r="E214" t="str">
            <v>SX</v>
          </cell>
          <cell r="F214">
            <v>46154</v>
          </cell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>
            <v>12.666666666666668</v>
          </cell>
          <cell r="CC214" t="str">
            <v>x</v>
          </cell>
          <cell r="CD214">
            <v>0</v>
          </cell>
          <cell r="CE214">
            <v>0</v>
          </cell>
          <cell r="CF214"/>
          <cell r="CG214">
            <v>0</v>
          </cell>
          <cell r="CH214">
            <v>6</v>
          </cell>
          <cell r="CI214" t="str">
            <v>x</v>
          </cell>
          <cell r="CJ214">
            <v>0</v>
          </cell>
          <cell r="CK214">
            <v>0</v>
          </cell>
          <cell r="CL214"/>
          <cell r="CM214">
            <v>0</v>
          </cell>
          <cell r="CN214">
            <v>21</v>
          </cell>
          <cell r="CO214" t="str">
            <v>x</v>
          </cell>
          <cell r="CP214">
            <v>0</v>
          </cell>
          <cell r="CQ214">
            <v>0</v>
          </cell>
          <cell r="CR214"/>
          <cell r="CS214">
            <v>0</v>
          </cell>
          <cell r="CT214" t="e">
            <v>#N/A</v>
          </cell>
          <cell r="CU214" t="str">
            <v>x</v>
          </cell>
          <cell r="CV214">
            <v>0</v>
          </cell>
          <cell r="CW214" t="e">
            <v>#N/A</v>
          </cell>
          <cell r="CX214"/>
          <cell r="CY214" t="e">
            <v>#N/A</v>
          </cell>
          <cell r="CZ214">
            <v>6</v>
          </cell>
          <cell r="DA214" t="str">
            <v>x</v>
          </cell>
          <cell r="DB214">
            <v>0</v>
          </cell>
          <cell r="DC214">
            <v>0</v>
          </cell>
          <cell r="DD214"/>
          <cell r="DE214">
            <v>0</v>
          </cell>
          <cell r="DF214">
            <v>11.75</v>
          </cell>
          <cell r="DG214" t="str">
            <v>x</v>
          </cell>
          <cell r="DH214">
            <v>0</v>
          </cell>
          <cell r="DI214">
            <v>0</v>
          </cell>
          <cell r="DJ214"/>
          <cell r="DK214">
            <v>0</v>
          </cell>
        </row>
        <row r="215">
          <cell r="B215" t="str">
            <v>CN1755</v>
          </cell>
          <cell r="C215" t="str">
            <v>Khối sản xuất</v>
          </cell>
          <cell r="D215" t="str">
            <v>Huỳnh Văn Hoàng Đầy</v>
          </cell>
          <cell r="E215" t="str">
            <v>SX</v>
          </cell>
          <cell r="F215">
            <v>46154</v>
          </cell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>
            <v>12.666666666666668</v>
          </cell>
          <cell r="CC215" t="str">
            <v>x</v>
          </cell>
          <cell r="CD215">
            <v>0</v>
          </cell>
          <cell r="CE215">
            <v>0</v>
          </cell>
          <cell r="CF215"/>
          <cell r="CG215">
            <v>0</v>
          </cell>
          <cell r="CH215">
            <v>6</v>
          </cell>
          <cell r="CI215" t="str">
            <v>x</v>
          </cell>
          <cell r="CJ215">
            <v>0</v>
          </cell>
          <cell r="CK215">
            <v>0</v>
          </cell>
          <cell r="CL215"/>
          <cell r="CM215">
            <v>0</v>
          </cell>
          <cell r="CN215">
            <v>21</v>
          </cell>
          <cell r="CO215" t="str">
            <v>x</v>
          </cell>
          <cell r="CP215">
            <v>0</v>
          </cell>
          <cell r="CQ215">
            <v>0</v>
          </cell>
          <cell r="CR215"/>
          <cell r="CS215">
            <v>0</v>
          </cell>
          <cell r="CT215" t="e">
            <v>#N/A</v>
          </cell>
          <cell r="CU215" t="str">
            <v>x</v>
          </cell>
          <cell r="CV215">
            <v>0</v>
          </cell>
          <cell r="CW215" t="e">
            <v>#N/A</v>
          </cell>
          <cell r="CX215"/>
          <cell r="CY215" t="e">
            <v>#N/A</v>
          </cell>
          <cell r="CZ215">
            <v>6</v>
          </cell>
          <cell r="DA215" t="str">
            <v>x</v>
          </cell>
          <cell r="DB215">
            <v>0</v>
          </cell>
          <cell r="DC215">
            <v>0</v>
          </cell>
          <cell r="DD215"/>
          <cell r="DE215">
            <v>0</v>
          </cell>
          <cell r="DF215">
            <v>11.083333333333332</v>
          </cell>
          <cell r="DG215" t="str">
            <v>x</v>
          </cell>
          <cell r="DH215">
            <v>0</v>
          </cell>
          <cell r="DI215">
            <v>0</v>
          </cell>
          <cell r="DJ215"/>
          <cell r="DK215">
            <v>0</v>
          </cell>
        </row>
        <row r="216"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</row>
        <row r="217"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</row>
        <row r="218"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</row>
        <row r="219"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</row>
        <row r="220"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</row>
        <row r="221"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ề xuất mới(Nhàn)"/>
      <sheetName val="Quy định"/>
      <sheetName val="Phân bổ thu nhập (Cũ)"/>
      <sheetName val="TH"/>
      <sheetName val="Tong hop bao cao"/>
      <sheetName val="Bang luong_06"/>
      <sheetName val="Lương TK net Anura"/>
      <sheetName val="PS lương 06-26"/>
      <sheetName val="Hoàn trả tiền BHXH"/>
      <sheetName val="Phiếu lương"/>
      <sheetName val="check"/>
      <sheetName val="Note for PR"/>
      <sheetName val="Phuc loi_T05"/>
      <sheetName val="Vay CEF"/>
      <sheetName val="Lương TK Anura"/>
      <sheetName val="Lương TK Anurag"/>
      <sheetName val="Lương TM Nuo"/>
      <sheetName val="Lương TK A Kiên"/>
      <sheetName val="KPI"/>
      <sheetName val="Thuế"/>
      <sheetName val="TM"/>
      <sheetName val="Cong VP_1"/>
      <sheetName val="Cong CN_1"/>
      <sheetName val="ỨNG LƯƠNG"/>
      <sheetName val="CK Lương ACB"/>
      <sheetName val="Lương team sale"/>
      <sheetName val="Thưởng Lễ 2-9"/>
      <sheetName val="Theo dõi tiền Vay + Phạt"/>
      <sheetName val="TCB_Đợt 1 (2)"/>
      <sheetName val="ĐCL 2024"/>
      <sheetName val="TCB_Đợt 1"/>
      <sheetName val="CK - PULICBANK"/>
      <sheetName val="CK - PULICBANK1"/>
      <sheetName val="TCB_Đợt 2"/>
      <sheetName val="CK - ACB"/>
      <sheetName val="Chua chi luong"/>
      <sheetName val="TCB_Đợt 1 (3)"/>
      <sheetName val="CK - ACB (3)"/>
      <sheetName val="CK - ACB (2)"/>
      <sheetName val="Phụ cấp nắng"/>
      <sheetName val="Lương bổ sung_T7&amp;T6"/>
      <sheetName val="cơm nhà máy"/>
      <sheetName val="Lương Sale (2)"/>
      <sheetName val="danh sách trừ KPI"/>
      <sheetName val="Phép Tết"/>
      <sheetName val="lương thời vụ"/>
      <sheetName val="CK - ACB (4)"/>
      <sheetName val="ĐCL"/>
      <sheetName val="Vay CEF (2)"/>
      <sheetName val="Danh sách tạm giữ lương NTH "/>
      <sheetName val="Xử lý hồ sơ chị - duyên"/>
      <sheetName val="Trừ du lịch"/>
      <sheetName val="Lương Tết"/>
      <sheetName val="điều chỉnh"/>
      <sheetName val="Theo doi luong"/>
      <sheetName val="BÁO CÁO"/>
      <sheetName val="Nguồn"/>
      <sheetName val="Tiền ứng Ro trừ "/>
      <sheetName val="Phat sinh luong"/>
      <sheetName val="TM (2)"/>
      <sheetName val="Đề xuất Hỗ trợ Covid T7"/>
    </sheetNames>
    <sheetDataSet>
      <sheetData sheetId="0"/>
      <sheetData sheetId="1"/>
      <sheetData sheetId="2"/>
      <sheetData sheetId="3"/>
      <sheetData sheetId="4"/>
      <sheetData sheetId="5">
        <row r="9">
          <cell r="C9" t="str">
            <v>Tổng Giám đốc</v>
          </cell>
        </row>
        <row r="10">
          <cell r="B10" t="str">
            <v>NV 001</v>
          </cell>
          <cell r="C10" t="str">
            <v>Nguyễn Thị Việt Hòa</v>
          </cell>
        </row>
        <row r="11">
          <cell r="C11" t="str">
            <v>Kinh doanh Quốc Tế</v>
          </cell>
          <cell r="D11">
            <v>8</v>
          </cell>
        </row>
        <row r="12">
          <cell r="B12" t="str">
            <v>NV0901</v>
          </cell>
          <cell r="C12" t="str">
            <v>Nguyễn Trung Kiên</v>
          </cell>
          <cell r="D12" t="str">
            <v>Phó Tổng giám đốc phụ trách Kinh Doanh</v>
          </cell>
        </row>
        <row r="13">
          <cell r="B13" t="str">
            <v>NV1288</v>
          </cell>
          <cell r="C13" t="str">
            <v>Lee Yi Nuo</v>
          </cell>
          <cell r="D13" t="str">
            <v>GĐ Chiến lược Kinh doanh</v>
          </cell>
        </row>
        <row r="14">
          <cell r="B14" t="str">
            <v>NV0419</v>
          </cell>
          <cell r="C14" t="str">
            <v>Đỗ Thị Ngàn Thương</v>
          </cell>
          <cell r="D14" t="str">
            <v>Trợ lý Phó TGĐ phụ trách Kinh Doanh</v>
          </cell>
        </row>
        <row r="15">
          <cell r="B15" t="str">
            <v>NV0720</v>
          </cell>
          <cell r="C15" t="str">
            <v>Phạm Vũ Nhã Trúc</v>
          </cell>
          <cell r="D15" t="str">
            <v>Chuyên  viên KDQT</v>
          </cell>
        </row>
        <row r="16">
          <cell r="B16" t="str">
            <v>NV1595</v>
          </cell>
          <cell r="C16" t="str">
            <v>Dương Nguyễn Thanh Trúc</v>
          </cell>
          <cell r="D16" t="str">
            <v>Nhân viên Vận hành Kinh doanh</v>
          </cell>
        </row>
        <row r="17">
          <cell r="B17" t="str">
            <v>NV1615</v>
          </cell>
          <cell r="C17" t="str">
            <v>Ngô Việt Thi</v>
          </cell>
          <cell r="D17" t="str">
            <v>Chuyên viên Kinh doanh Quốc Tế</v>
          </cell>
        </row>
        <row r="18">
          <cell r="B18" t="str">
            <v>NV1627</v>
          </cell>
          <cell r="C18" t="str">
            <v>Chu Thị Kim Nga</v>
          </cell>
          <cell r="D18" t="str">
            <v>Nhân viên Kinh doanh Quốc Tế</v>
          </cell>
        </row>
        <row r="19">
          <cell r="B19" t="str">
            <v>NV0699</v>
          </cell>
          <cell r="C19" t="str">
            <v>Nguyễn Đức Quang Minh</v>
          </cell>
          <cell r="D19" t="str">
            <v>Nhân viên kinh doanh quốc tế</v>
          </cell>
        </row>
        <row r="20">
          <cell r="C20" t="str">
            <v>Kinh doanh nội địa</v>
          </cell>
          <cell r="D20">
            <v>5</v>
          </cell>
        </row>
        <row r="21">
          <cell r="B21" t="str">
            <v>NV0904</v>
          </cell>
          <cell r="C21" t="str">
            <v>Trần Quang Dương</v>
          </cell>
          <cell r="D21" t="str">
            <v>TP. Kinh doanh NĐ</v>
          </cell>
        </row>
        <row r="22">
          <cell r="B22" t="str">
            <v>NV0639</v>
          </cell>
          <cell r="C22" t="str">
            <v>Hồ Nguyễn Bảo Trâm</v>
          </cell>
          <cell r="D22" t="str">
            <v>Nhân viên Sale Admin</v>
          </cell>
        </row>
        <row r="23">
          <cell r="B23" t="str">
            <v>NV0792</v>
          </cell>
          <cell r="C23" t="str">
            <v>Hà Thảo Vy</v>
          </cell>
          <cell r="D23" t="str">
            <v>Nhân viên Kinh doanh NĐ</v>
          </cell>
        </row>
        <row r="24">
          <cell r="B24" t="str">
            <v>NV0961</v>
          </cell>
          <cell r="C24" t="str">
            <v>Đoàn Văn Mạnh</v>
          </cell>
          <cell r="D24" t="str">
            <v>Nhân viên Kinh doanh NĐ</v>
          </cell>
        </row>
        <row r="25">
          <cell r="B25" t="str">
            <v>NV1318</v>
          </cell>
          <cell r="C25" t="str">
            <v xml:space="preserve">Vũ Thị Phương Loan </v>
          </cell>
          <cell r="D25" t="str">
            <v>ASM KV Phía Bắc. (Thanh Hóa – Quãng Ninh)</v>
          </cell>
        </row>
        <row r="26">
          <cell r="C26" t="str">
            <v>Phòng CNTT</v>
          </cell>
          <cell r="D26">
            <v>6</v>
          </cell>
        </row>
        <row r="27">
          <cell r="B27" t="str">
            <v>NV1458</v>
          </cell>
          <cell r="C27" t="str">
            <v>Ngô Vương Tuấn Kiệt</v>
          </cell>
          <cell r="D27" t="str">
            <v>GĐ CNTT</v>
          </cell>
        </row>
        <row r="28">
          <cell r="B28" t="str">
            <v>NV0010</v>
          </cell>
          <cell r="C28" t="str">
            <v>Nguyễn Trường Trung</v>
          </cell>
          <cell r="D28" t="str">
            <v>Nhân viên IT</v>
          </cell>
        </row>
        <row r="29">
          <cell r="B29" t="str">
            <v>NV1345</v>
          </cell>
          <cell r="C29" t="str">
            <v>Trần Duy Luân</v>
          </cell>
          <cell r="D29" t="str">
            <v>Chuyên viên SAP</v>
          </cell>
        </row>
        <row r="30">
          <cell r="B30" t="str">
            <v>NV1492</v>
          </cell>
          <cell r="C30" t="str">
            <v>Nguyễn Mỹ Cảnh</v>
          </cell>
          <cell r="D30" t="str">
            <v>Chuyên Viên Helpdesk và Network</v>
          </cell>
        </row>
        <row r="31">
          <cell r="B31" t="str">
            <v>NV1735</v>
          </cell>
          <cell r="C31" t="str">
            <v>Phan Thị Nguyên</v>
          </cell>
          <cell r="D31" t="str">
            <v>Chuyên viên SAP</v>
          </cell>
        </row>
        <row r="32">
          <cell r="B32" t="str">
            <v>TTS1644</v>
          </cell>
          <cell r="C32" t="str">
            <v>Đặng Minh Chí</v>
          </cell>
          <cell r="D32" t="str">
            <v>Thực tập sinh</v>
          </cell>
        </row>
        <row r="33">
          <cell r="C33" t="str">
            <v xml:space="preserve">P. Hành chính nhân sự </v>
          </cell>
          <cell r="D33">
            <v>16</v>
          </cell>
        </row>
        <row r="34">
          <cell r="B34" t="str">
            <v>NV0002</v>
          </cell>
          <cell r="C34" t="str">
            <v>Nguyễn Thị Châu Linh</v>
          </cell>
          <cell r="D34" t="str">
            <v>P.TGĐ Hạ tầng</v>
          </cell>
        </row>
        <row r="35">
          <cell r="B35" t="str">
            <v>NV0009</v>
          </cell>
          <cell r="C35" t="str">
            <v>Nguyễn Thị Liên</v>
          </cell>
          <cell r="D35" t="str">
            <v xml:space="preserve">Nhân viên Hành chính </v>
          </cell>
        </row>
        <row r="36">
          <cell r="B36" t="str">
            <v>NV1583</v>
          </cell>
          <cell r="C36" t="str">
            <v>Nguyễn Công Hậu</v>
          </cell>
          <cell r="D36" t="str">
            <v>Giám sát HSE</v>
          </cell>
        </row>
        <row r="37">
          <cell r="B37" t="str">
            <v>NV1528</v>
          </cell>
          <cell r="C37" t="str">
            <v>Bùi Minh Vương</v>
          </cell>
          <cell r="D37" t="str">
            <v>Chuyên viên C&amp;B</v>
          </cell>
        </row>
        <row r="38">
          <cell r="B38" t="str">
            <v>NV1591</v>
          </cell>
          <cell r="C38" t="str">
            <v>Nguyễn Thị Thanh Lam</v>
          </cell>
          <cell r="D38" t="str">
            <v xml:space="preserve">Nhân viên Hành chính </v>
          </cell>
        </row>
        <row r="39">
          <cell r="B39" t="str">
            <v>NV1737</v>
          </cell>
          <cell r="C39" t="str">
            <v>Liêu Bảo Thông</v>
          </cell>
          <cell r="D39" t="str">
            <v>Nhân viên Tuyển dụng</v>
          </cell>
        </row>
        <row r="40">
          <cell r="B40" t="str">
            <v>NV0958</v>
          </cell>
          <cell r="C40" t="str">
            <v>Nguyễn Thị Hà</v>
          </cell>
          <cell r="D40" t="str">
            <v>Tạp vụ</v>
          </cell>
        </row>
        <row r="41">
          <cell r="B41" t="str">
            <v>NV0011</v>
          </cell>
          <cell r="C41" t="str">
            <v>Lê Thành Danh</v>
          </cell>
          <cell r="D41" t="str">
            <v xml:space="preserve">Tài xế </v>
          </cell>
        </row>
        <row r="42">
          <cell r="B42" t="str">
            <v>NV1347</v>
          </cell>
          <cell r="C42" t="str">
            <v>Kim Thanh Tuấn</v>
          </cell>
          <cell r="D42" t="str">
            <v xml:space="preserve">Tài xế </v>
          </cell>
        </row>
        <row r="43">
          <cell r="B43" t="str">
            <v>NV1678</v>
          </cell>
          <cell r="C43" t="str">
            <v>Nguyễn Khánh Hưng</v>
          </cell>
          <cell r="D43" t="str">
            <v>Tài xế lái xe</v>
          </cell>
        </row>
        <row r="44">
          <cell r="B44" t="str">
            <v>CN1555</v>
          </cell>
          <cell r="C44" t="str">
            <v>Nguyễn Hoàng Bảo Luật</v>
          </cell>
          <cell r="D44" t="str">
            <v>Trưởng cấp dưỡng</v>
          </cell>
        </row>
        <row r="45">
          <cell r="B45" t="str">
            <v>CN1584</v>
          </cell>
          <cell r="C45" t="str">
            <v>Huỳnh Thị Linh</v>
          </cell>
          <cell r="D45" t="str">
            <v>Tạp vụ căntin</v>
          </cell>
        </row>
        <row r="46">
          <cell r="B46" t="str">
            <v>CN1459</v>
          </cell>
          <cell r="C46" t="str">
            <v>Nguyễn Kim Hoa</v>
          </cell>
          <cell r="D46" t="str">
            <v>Tạp vụ căntin</v>
          </cell>
        </row>
        <row r="47">
          <cell r="B47" t="str">
            <v>CN1643</v>
          </cell>
          <cell r="C47" t="str">
            <v>Phạm Thị Tặng</v>
          </cell>
          <cell r="D47" t="str">
            <v>Tạp vụ căntin</v>
          </cell>
        </row>
        <row r="48">
          <cell r="B48" t="str">
            <v>CN1684</v>
          </cell>
          <cell r="C48" t="str">
            <v>Nguyễn Đức Trọng</v>
          </cell>
          <cell r="D48" t="str">
            <v>Tạp vụ</v>
          </cell>
        </row>
        <row r="49">
          <cell r="B49" t="str">
            <v>NV1711</v>
          </cell>
          <cell r="C49" t="str">
            <v>Nguyễn Thị Bích Loan</v>
          </cell>
          <cell r="D49" t="str">
            <v>Tạp vụ văn phòng</v>
          </cell>
        </row>
        <row r="50">
          <cell r="C50" t="str">
            <v>P. Tài chính - Kế toán</v>
          </cell>
          <cell r="D50">
            <v>4</v>
          </cell>
        </row>
        <row r="51">
          <cell r="B51" t="str">
            <v>NV1241</v>
          </cell>
          <cell r="C51" t="str">
            <v>Tô Thị Mỹ Duyên</v>
          </cell>
          <cell r="D51" t="str">
            <v>Kế toán thanh toán</v>
          </cell>
        </row>
        <row r="52">
          <cell r="B52" t="str">
            <v>NV1309</v>
          </cell>
          <cell r="C52" t="str">
            <v>Trần Anh Duy</v>
          </cell>
          <cell r="D52" t="str">
            <v>Kế toán tổng hợp</v>
          </cell>
        </row>
        <row r="53">
          <cell r="B53" t="str">
            <v>NV1159</v>
          </cell>
          <cell r="C53" t="str">
            <v>Trần Thị Thanh Chương</v>
          </cell>
          <cell r="D53" t="str">
            <v>Kế toán Công nợ</v>
          </cell>
        </row>
        <row r="54">
          <cell r="B54" t="str">
            <v>NV1378</v>
          </cell>
          <cell r="C54" t="str">
            <v>Đào Khánh Duy</v>
          </cell>
          <cell r="D54" t="str">
            <v>Chuyên viên Kế hoạch &amp; Phân tích Tài chính</v>
          </cell>
        </row>
        <row r="55">
          <cell r="C55" t="str">
            <v>Bộ phận Sản xuất</v>
          </cell>
          <cell r="D55">
            <v>16</v>
          </cell>
        </row>
        <row r="56">
          <cell r="B56" t="str">
            <v>NV1057</v>
          </cell>
          <cell r="C56" t="str">
            <v>Lê Thành Nhân</v>
          </cell>
          <cell r="D56" t="str">
            <v>P.TGĐ Sản xuất</v>
          </cell>
        </row>
        <row r="57">
          <cell r="B57" t="str">
            <v>NV1768</v>
          </cell>
          <cell r="C57" t="str">
            <v>Nguyễn Thị Kim Hoanh</v>
          </cell>
          <cell r="D57" t="str">
            <v xml:space="preserve">Giám đốc chất lượng kiêm Trợ lý P.TGĐSX </v>
          </cell>
        </row>
        <row r="58">
          <cell r="B58" t="str">
            <v>NV0916</v>
          </cell>
          <cell r="C58" t="str">
            <v>Nguyễn Thị Nẩn</v>
          </cell>
          <cell r="D58" t="str">
            <v>Giám đốc Tài liệu hệ thống, Kiểm soát tuân thủ và vận hành sản xuất</v>
          </cell>
        </row>
        <row r="59">
          <cell r="B59" t="str">
            <v>NV1497</v>
          </cell>
          <cell r="C59" t="str">
            <v>Nguyễn Minh Tài</v>
          </cell>
          <cell r="D59" t="str">
            <v>Trưởng Phòng Tự Động Hóa</v>
          </cell>
        </row>
        <row r="60">
          <cell r="B60" t="str">
            <v>NV1291</v>
          </cell>
          <cell r="C60" t="str">
            <v>Lê Văn Phụ</v>
          </cell>
          <cell r="D60" t="str">
            <v>Phó phòng sản xuất</v>
          </cell>
        </row>
        <row r="61">
          <cell r="B61" t="str">
            <v>NV0027</v>
          </cell>
          <cell r="C61" t="str">
            <v>Nguyễn Công Uẩn</v>
          </cell>
          <cell r="D61" t="str">
            <v>TBP Đóng gói</v>
          </cell>
        </row>
        <row r="62">
          <cell r="B62" t="str">
            <v>NV1062</v>
          </cell>
          <cell r="C62" t="str">
            <v>Lê Thông</v>
          </cell>
          <cell r="D62" t="str">
            <v>Trưởng nhóm PE&amp;QC</v>
          </cell>
        </row>
        <row r="63">
          <cell r="B63" t="str">
            <v>NV0019</v>
          </cell>
          <cell r="C63" t="str">
            <v>Phạm Văn Doãn</v>
          </cell>
          <cell r="D63" t="str">
            <v>Nhân viên QC</v>
          </cell>
        </row>
        <row r="64">
          <cell r="B64" t="str">
            <v>NV0738</v>
          </cell>
          <cell r="C64" t="str">
            <v>Phạm Thành Luân</v>
          </cell>
          <cell r="D64" t="str">
            <v>Nhân viên QC</v>
          </cell>
        </row>
        <row r="65">
          <cell r="B65" t="str">
            <v>NV0771</v>
          </cell>
          <cell r="C65" t="str">
            <v>Nguyễn Thị Yến Nhi</v>
          </cell>
          <cell r="D65" t="str">
            <v>Kế toán sản xuất</v>
          </cell>
        </row>
        <row r="66">
          <cell r="B66" t="str">
            <v>NV1524</v>
          </cell>
          <cell r="C66" t="str">
            <v>Phạm Minh Nhựt</v>
          </cell>
          <cell r="D66" t="str">
            <v>Kế toán sản xuất</v>
          </cell>
        </row>
        <row r="67">
          <cell r="B67" t="str">
            <v>NV1620</v>
          </cell>
          <cell r="C67" t="str">
            <v>Trần Lan Anh</v>
          </cell>
          <cell r="D67" t="str">
            <v>Thư ký Sản xuất</v>
          </cell>
        </row>
        <row r="68">
          <cell r="B68" t="str">
            <v>NV1677</v>
          </cell>
          <cell r="C68" t="str">
            <v>Nguyễn Viết Thanh Tùng</v>
          </cell>
          <cell r="D68" t="str">
            <v>Kỹ sư quy trình</v>
          </cell>
        </row>
        <row r="69">
          <cell r="B69" t="str">
            <v>NV1680</v>
          </cell>
          <cell r="C69" t="str">
            <v>Nguyễn Trọng Hoàng</v>
          </cell>
          <cell r="D69" t="str">
            <v>Kỹ sư quy trình</v>
          </cell>
        </row>
        <row r="70">
          <cell r="B70" t="str">
            <v>NV1736</v>
          </cell>
          <cell r="C70" t="str">
            <v>Trần Hồng Thủy</v>
          </cell>
          <cell r="D70" t="str">
            <v>Nhân viên kiểm soát chất lượng</v>
          </cell>
        </row>
        <row r="71">
          <cell r="B71" t="str">
            <v>NV1738</v>
          </cell>
          <cell r="C71" t="str">
            <v>Nguyễn Thành Trung</v>
          </cell>
          <cell r="D71" t="str">
            <v>Kỹ sư Tự động hóa</v>
          </cell>
        </row>
        <row r="72">
          <cell r="C72" t="str">
            <v>Bộ phận Kế hoạch</v>
          </cell>
          <cell r="D72">
            <v>5</v>
          </cell>
        </row>
        <row r="73">
          <cell r="B73" t="str">
            <v>NV0028</v>
          </cell>
          <cell r="C73" t="str">
            <v>Hồ Trọng Hùng</v>
          </cell>
          <cell r="D73" t="str">
            <v>Nhân viên KHSX</v>
          </cell>
        </row>
        <row r="74">
          <cell r="B74" t="str">
            <v>NV1672</v>
          </cell>
          <cell r="C74" t="str">
            <v>Võ Văn Lợi</v>
          </cell>
          <cell r="D74" t="str">
            <v>Nhân viên KHSX</v>
          </cell>
        </row>
        <row r="75">
          <cell r="B75" t="str">
            <v>NV1673</v>
          </cell>
          <cell r="C75" t="str">
            <v>Lê Thị Bạch Tuyết</v>
          </cell>
          <cell r="D75" t="str">
            <v>CTV KHSX</v>
          </cell>
        </row>
        <row r="76">
          <cell r="B76" t="str">
            <v>NV1635</v>
          </cell>
          <cell r="C76" t="str">
            <v>Lê Thị Hồng Quyến</v>
          </cell>
          <cell r="D76" t="str">
            <v>Nhân viên KHSX</v>
          </cell>
        </row>
        <row r="77">
          <cell r="B77" t="str">
            <v>NV1122</v>
          </cell>
          <cell r="C77" t="str">
            <v>Bùi Võ Thanh Ngân</v>
          </cell>
          <cell r="D77" t="str">
            <v>Nhân viên kế hoạch</v>
          </cell>
        </row>
        <row r="78">
          <cell r="C78" t="str">
            <v>Phòng QC</v>
          </cell>
          <cell r="D78">
            <v>9</v>
          </cell>
        </row>
        <row r="79">
          <cell r="B79" t="str">
            <v>NV0020</v>
          </cell>
          <cell r="C79" t="str">
            <v>Trịnh Văn Dũng</v>
          </cell>
          <cell r="D79" t="str">
            <v>Cố vấn</v>
          </cell>
        </row>
        <row r="80">
          <cell r="B80" t="str">
            <v>NV1679</v>
          </cell>
          <cell r="C80" t="str">
            <v>Trần Thị Ngọc Hân</v>
          </cell>
          <cell r="D80" t="str">
            <v>Giám đốc QA/QC</v>
          </cell>
        </row>
        <row r="81">
          <cell r="B81" t="str">
            <v>NV0024</v>
          </cell>
          <cell r="C81" t="str">
            <v>Nguyễn Thanh Sang</v>
          </cell>
          <cell r="D81" t="str">
            <v>Trưởng phòng QC</v>
          </cell>
        </row>
        <row r="82">
          <cell r="B82" t="str">
            <v>NV0933</v>
          </cell>
          <cell r="C82" t="str">
            <v>Phùng Thị Thúy Quỳnh</v>
          </cell>
          <cell r="D82" t="str">
            <v>Nhân viên QC</v>
          </cell>
        </row>
        <row r="83">
          <cell r="B83" t="str">
            <v>NV0957</v>
          </cell>
          <cell r="C83" t="str">
            <v>Trần Thị Xuân Thùy</v>
          </cell>
          <cell r="D83" t="str">
            <v>Nhân viên Data QC</v>
          </cell>
        </row>
        <row r="84">
          <cell r="B84" t="str">
            <v>NV1357</v>
          </cell>
          <cell r="C84" t="str">
            <v>Phan Thúy Quyên</v>
          </cell>
          <cell r="D84" t="str">
            <v>Chuyên viên QC</v>
          </cell>
        </row>
        <row r="85">
          <cell r="B85" t="str">
            <v>NV0863</v>
          </cell>
          <cell r="C85" t="str">
            <v>Đỗ Thị Kim Phượng</v>
          </cell>
          <cell r="D85" t="str">
            <v>Nhân viên QC</v>
          </cell>
        </row>
        <row r="86">
          <cell r="B86" t="str">
            <v>NV1596</v>
          </cell>
          <cell r="C86" t="str">
            <v>Nguyễn Hoàng Hà</v>
          </cell>
          <cell r="D86" t="str">
            <v>Nhân viên QC</v>
          </cell>
        </row>
        <row r="87">
          <cell r="B87" t="str">
            <v>CN1771</v>
          </cell>
          <cell r="C87" t="str">
            <v>Nguyễn Hữu Lộc</v>
          </cell>
          <cell r="D87" t="str">
            <v>Nhân viên phụ QC</v>
          </cell>
        </row>
        <row r="88">
          <cell r="C88" t="str">
            <v>Phòng R&amp;D</v>
          </cell>
          <cell r="D88">
            <v>2</v>
          </cell>
        </row>
        <row r="89">
          <cell r="B89" t="str">
            <v>NV1160</v>
          </cell>
          <cell r="C89" t="str">
            <v>Anurag Sarin</v>
          </cell>
          <cell r="D89" t="str">
            <v>Trưởng phòng R&amp;D</v>
          </cell>
        </row>
        <row r="90">
          <cell r="B90" t="str">
            <v>NV1272</v>
          </cell>
          <cell r="C90" t="str">
            <v>Nguyễn Thị Quyên</v>
          </cell>
          <cell r="D90" t="str">
            <v>Nhân viên thông dịch viên</v>
          </cell>
        </row>
        <row r="91">
          <cell r="C91" t="str">
            <v>Bộ phận Cơ - điện</v>
          </cell>
          <cell r="D91">
            <v>16</v>
          </cell>
        </row>
        <row r="92">
          <cell r="B92" t="str">
            <v>NV1049</v>
          </cell>
          <cell r="C92" t="str">
            <v>Nguyễn Tuấn Hiệp</v>
          </cell>
          <cell r="D92" t="str">
            <v>Trưởng phòng Bảo trì</v>
          </cell>
        </row>
        <row r="93">
          <cell r="B93" t="str">
            <v>NV0034</v>
          </cell>
          <cell r="C93" t="str">
            <v>Huỳnh Ngọc Khánh</v>
          </cell>
          <cell r="D93" t="str">
            <v>Phó phòng Cơ điện</v>
          </cell>
        </row>
        <row r="94">
          <cell r="B94" t="str">
            <v>NV0032</v>
          </cell>
          <cell r="C94" t="str">
            <v>Huỳnh Ngọc Đến</v>
          </cell>
          <cell r="D94" t="str">
            <v>Nhân viên Cơ điện</v>
          </cell>
        </row>
        <row r="95">
          <cell r="B95" t="str">
            <v>NV0036</v>
          </cell>
          <cell r="C95" t="str">
            <v>Phạm Quốc Tuấn</v>
          </cell>
          <cell r="D95" t="str">
            <v>Nhân viên Cơ điện</v>
          </cell>
        </row>
        <row r="96">
          <cell r="B96" t="str">
            <v>NV0038</v>
          </cell>
          <cell r="C96" t="str">
            <v>Lê Hoàng Việt</v>
          </cell>
          <cell r="D96" t="str">
            <v>Nhân viên Cơ điện</v>
          </cell>
        </row>
        <row r="97">
          <cell r="B97" t="str">
            <v>NV0584</v>
          </cell>
          <cell r="C97" t="str">
            <v>Phùng Văn Quyền</v>
          </cell>
          <cell r="D97" t="str">
            <v>Nhân viên Cơ điện</v>
          </cell>
        </row>
        <row r="98">
          <cell r="B98" t="str">
            <v>NV0603</v>
          </cell>
          <cell r="C98" t="str">
            <v>Hoàng Phi Hải</v>
          </cell>
          <cell r="D98" t="str">
            <v>Nhân viên Cơ điện</v>
          </cell>
        </row>
        <row r="99">
          <cell r="B99" t="str">
            <v>NV0643</v>
          </cell>
          <cell r="C99" t="str">
            <v>Nguyễn Văn Trắng</v>
          </cell>
          <cell r="D99" t="str">
            <v>Nhân viên Cơ điện</v>
          </cell>
        </row>
        <row r="100">
          <cell r="B100" t="str">
            <v>NV0917</v>
          </cell>
          <cell r="C100" t="str">
            <v>Hà Công Hậu</v>
          </cell>
          <cell r="D100" t="str">
            <v>Nhân viên Cơ điện</v>
          </cell>
        </row>
        <row r="101">
          <cell r="B101" t="str">
            <v>NV1028</v>
          </cell>
          <cell r="C101" t="str">
            <v>Nguyễn Văn Doãn</v>
          </cell>
          <cell r="D101" t="str">
            <v>Nhân viên Cơ điện</v>
          </cell>
        </row>
        <row r="102">
          <cell r="B102" t="str">
            <v>NV1145</v>
          </cell>
          <cell r="C102" t="str">
            <v>Trương Quang Phơn</v>
          </cell>
          <cell r="D102" t="str">
            <v>Nhân viên Cơ điện</v>
          </cell>
        </row>
        <row r="103">
          <cell r="B103" t="str">
            <v>NV1306</v>
          </cell>
          <cell r="C103" t="str">
            <v>Bùi Minh Toàn</v>
          </cell>
          <cell r="D103" t="str">
            <v>Nhân viên cơ điện - bảo trì</v>
          </cell>
        </row>
        <row r="104">
          <cell r="B104" t="str">
            <v>NV1326</v>
          </cell>
          <cell r="C104" t="str">
            <v>Võ Thị Thùy Linh</v>
          </cell>
          <cell r="D104" t="str">
            <v>Admin cơ điện</v>
          </cell>
        </row>
        <row r="105">
          <cell r="B105" t="str">
            <v>NV1580</v>
          </cell>
          <cell r="C105" t="str">
            <v>Huỳnh Minh Đồng</v>
          </cell>
          <cell r="D105" t="str">
            <v>Nhân viên cơ điện - bảo trì</v>
          </cell>
        </row>
        <row r="106">
          <cell r="B106" t="str">
            <v>NV1636</v>
          </cell>
          <cell r="C106" t="str">
            <v>Đặng Văn Bình</v>
          </cell>
          <cell r="D106" t="str">
            <v>Nhân viên cơ điện - bảo trì</v>
          </cell>
        </row>
        <row r="107">
          <cell r="B107" t="str">
            <v>NV1729</v>
          </cell>
          <cell r="C107" t="str">
            <v>Trần Minh Khoa</v>
          </cell>
          <cell r="D107" t="str">
            <v>Kỹ sư Cơ khí</v>
          </cell>
        </row>
        <row r="108">
          <cell r="C108" t="str">
            <v>P.Cung Ứng - Vật Tư</v>
          </cell>
          <cell r="D108">
            <v>4</v>
          </cell>
        </row>
        <row r="109">
          <cell r="B109" t="str">
            <v>NV1165</v>
          </cell>
          <cell r="C109" t="str">
            <v>Y Nghe Knul</v>
          </cell>
          <cell r="D109" t="str">
            <v>Trưởng phòng SC</v>
          </cell>
        </row>
        <row r="110">
          <cell r="B110" t="str">
            <v>NV0963</v>
          </cell>
          <cell r="C110" t="str">
            <v>Nguyễn Thị Thu Hiền</v>
          </cell>
          <cell r="D110" t="str">
            <v xml:space="preserve">Trưởng nhóm Mua hàng </v>
          </cell>
        </row>
        <row r="111">
          <cell r="B111" t="str">
            <v>NV1172</v>
          </cell>
          <cell r="C111" t="str">
            <v>Huỳnh Ngọc Tuấn</v>
          </cell>
          <cell r="D111" t="str">
            <v xml:space="preserve">Nhân viên Mua hàng </v>
          </cell>
        </row>
        <row r="112">
          <cell r="B112" t="str">
            <v>NV1462</v>
          </cell>
          <cell r="C112" t="str">
            <v>Nguyễn Cẩm Trúc</v>
          </cell>
          <cell r="D112" t="str">
            <v>Nhân viên Thu mua</v>
          </cell>
        </row>
        <row r="113">
          <cell r="C113" t="str">
            <v>BP vận chuyển (logistic)</v>
          </cell>
          <cell r="D113">
            <v>3</v>
          </cell>
        </row>
        <row r="114">
          <cell r="B114" t="str">
            <v>NV0017</v>
          </cell>
          <cell r="C114" t="str">
            <v>Trương Thị Thảo Sương</v>
          </cell>
          <cell r="D114" t="str">
            <v>Trưởng Bộ phận XNK</v>
          </cell>
        </row>
        <row r="115">
          <cell r="B115" t="str">
            <v>NV0005</v>
          </cell>
          <cell r="C115" t="str">
            <v>Phạm Văn Trọng</v>
          </cell>
          <cell r="D115" t="str">
            <v>Nhân viên  XNK</v>
          </cell>
        </row>
        <row r="116">
          <cell r="B116" t="str">
            <v>NV1270</v>
          </cell>
          <cell r="C116" t="str">
            <v>Nguyễn Thị Trúc Huy</v>
          </cell>
          <cell r="D116" t="str">
            <v>Nhân viên Chứng từ XNK</v>
          </cell>
        </row>
        <row r="117">
          <cell r="C117" t="str">
            <v xml:space="preserve">Bộ phận kho </v>
          </cell>
          <cell r="D117">
            <v>2</v>
          </cell>
        </row>
        <row r="118">
          <cell r="B118" t="str">
            <v>NV0043</v>
          </cell>
          <cell r="C118" t="str">
            <v>Hồ Thị Ngọc Trang</v>
          </cell>
          <cell r="D118" t="str">
            <v>Trưởng Bộ phận Kho</v>
          </cell>
        </row>
        <row r="119">
          <cell r="B119" t="str">
            <v>NV0624</v>
          </cell>
          <cell r="C119" t="str">
            <v>Từ Thanh Hậu</v>
          </cell>
          <cell r="D119" t="str">
            <v xml:space="preserve">Nhân viên Admin Kho </v>
          </cell>
        </row>
        <row r="120">
          <cell r="C120" t="str">
            <v>TRƯỞNG CA - NHẬP LIỆU</v>
          </cell>
          <cell r="D120">
            <v>4</v>
          </cell>
        </row>
        <row r="121">
          <cell r="B121" t="str">
            <v>NV1436</v>
          </cell>
          <cell r="C121" t="str">
            <v>Võ Nguyễn Đức Tài</v>
          </cell>
          <cell r="D121" t="str">
            <v>Trưởng ca</v>
          </cell>
        </row>
        <row r="122">
          <cell r="B122" t="str">
            <v>CN0025</v>
          </cell>
          <cell r="C122" t="str">
            <v>Óc Cường</v>
          </cell>
          <cell r="D122" t="str">
            <v>Trưởng ca</v>
          </cell>
        </row>
        <row r="123">
          <cell r="B123" t="str">
            <v>CN0964</v>
          </cell>
          <cell r="C123" t="str">
            <v>Vi Thị Phượng</v>
          </cell>
          <cell r="D123" t="str">
            <v>Nhập liệu sản xuất</v>
          </cell>
        </row>
        <row r="124">
          <cell r="B124" t="str">
            <v>CN1477</v>
          </cell>
          <cell r="C124" t="str">
            <v>Nguyễn Thị Thanh Tuyết</v>
          </cell>
          <cell r="D124" t="str">
            <v>Nhập liệu sản xuất</v>
          </cell>
        </row>
        <row r="125">
          <cell r="C125" t="str">
            <v>TÀI XẾ</v>
          </cell>
          <cell r="D125">
            <v>8</v>
          </cell>
        </row>
        <row r="126">
          <cell r="B126" t="str">
            <v>CN0352</v>
          </cell>
          <cell r="C126" t="str">
            <v>Sơn Đi</v>
          </cell>
          <cell r="D126" t="str">
            <v>Tài xế</v>
          </cell>
        </row>
        <row r="127">
          <cell r="B127" t="str">
            <v>CN0254</v>
          </cell>
          <cell r="C127" t="str">
            <v>Trần Khắc Hải</v>
          </cell>
          <cell r="D127" t="str">
            <v>Tài xế</v>
          </cell>
        </row>
        <row r="128">
          <cell r="B128" t="str">
            <v>CN1080</v>
          </cell>
          <cell r="C128" t="str">
            <v>Lê Văn Giỏi</v>
          </cell>
          <cell r="D128" t="str">
            <v>Công nhân kho</v>
          </cell>
        </row>
        <row r="129">
          <cell r="B129" t="str">
            <v>CN1728</v>
          </cell>
          <cell r="C129" t="str">
            <v>Huỳnh Văn Phúc</v>
          </cell>
          <cell r="D129" t="str">
            <v>Công nhân kho</v>
          </cell>
        </row>
        <row r="130">
          <cell r="B130" t="str">
            <v>CN0354</v>
          </cell>
          <cell r="C130" t="str">
            <v>Lê Thanh Chất</v>
          </cell>
          <cell r="D130" t="str">
            <v>Tài xế</v>
          </cell>
        </row>
        <row r="131">
          <cell r="B131" t="str">
            <v>CN1667</v>
          </cell>
          <cell r="C131" t="str">
            <v>Đặng Thành An</v>
          </cell>
          <cell r="D131" t="str">
            <v>Tài xế</v>
          </cell>
        </row>
        <row r="132">
          <cell r="B132" t="str">
            <v>CN1691</v>
          </cell>
          <cell r="C132" t="str">
            <v>Chau Kim Siêng</v>
          </cell>
          <cell r="D132" t="str">
            <v>Tài xế</v>
          </cell>
        </row>
        <row r="133">
          <cell r="B133" t="str">
            <v>CN1733</v>
          </cell>
          <cell r="C133" t="str">
            <v>Sơn Văn Cường</v>
          </cell>
          <cell r="D133" t="str">
            <v>Tài xế</v>
          </cell>
        </row>
        <row r="134">
          <cell r="C134" t="str">
            <v>TẠP VỤ</v>
          </cell>
          <cell r="D134">
            <v>4</v>
          </cell>
        </row>
        <row r="135">
          <cell r="B135" t="str">
            <v>CN0760</v>
          </cell>
          <cell r="C135" t="str">
            <v>Nguyễn Thị Tình</v>
          </cell>
          <cell r="D135" t="str">
            <v>Tạp vụ xưởng</v>
          </cell>
        </row>
        <row r="136">
          <cell r="B136" t="str">
            <v>CN1576</v>
          </cell>
          <cell r="C136" t="str">
            <v>Nguyễn Thị Điệp</v>
          </cell>
          <cell r="D136" t="str">
            <v>Tạp vụ xưởng</v>
          </cell>
        </row>
        <row r="137">
          <cell r="B137" t="str">
            <v>CN1577</v>
          </cell>
          <cell r="C137" t="str">
            <v>Trượng Thị Tạm</v>
          </cell>
          <cell r="D137" t="str">
            <v>Tạp vụ xưởng</v>
          </cell>
        </row>
        <row r="138">
          <cell r="B138" t="str">
            <v>CN1676</v>
          </cell>
          <cell r="C138" t="str">
            <v>Ngô Thị Thu Vân</v>
          </cell>
          <cell r="D138" t="str">
            <v>Tạp vụ xưởng</v>
          </cell>
        </row>
        <row r="139">
          <cell r="C139" t="str">
            <v>EXTRUDER</v>
          </cell>
          <cell r="D139">
            <v>14</v>
          </cell>
        </row>
        <row r="140">
          <cell r="B140" t="str">
            <v>CN0017</v>
          </cell>
          <cell r="C140" t="str">
            <v>Trần Che</v>
          </cell>
          <cell r="D140" t="str">
            <v>Tổ trưởng</v>
          </cell>
        </row>
        <row r="141">
          <cell r="B141" t="str">
            <v>CN0023</v>
          </cell>
          <cell r="C141" t="str">
            <v>Võ Duy Khánh</v>
          </cell>
          <cell r="D141" t="str">
            <v>Tổ trưởng</v>
          </cell>
        </row>
        <row r="142">
          <cell r="B142" t="str">
            <v>CN0586</v>
          </cell>
          <cell r="C142" t="str">
            <v>Lâm Văn Luận</v>
          </cell>
          <cell r="D142" t="str">
            <v>CNSX</v>
          </cell>
        </row>
        <row r="143">
          <cell r="B143" t="str">
            <v>CN0132</v>
          </cell>
          <cell r="C143" t="str">
            <v>Chau Ra</v>
          </cell>
          <cell r="D143" t="str">
            <v>CNSX</v>
          </cell>
        </row>
        <row r="144">
          <cell r="B144" t="str">
            <v>CN0556</v>
          </cell>
          <cell r="C144" t="str">
            <v>Dương Hoàng Diễn</v>
          </cell>
          <cell r="D144" t="str">
            <v>CNSX</v>
          </cell>
        </row>
        <row r="145">
          <cell r="B145" t="str">
            <v>CN0262</v>
          </cell>
          <cell r="C145" t="str">
            <v>Lê Minh Chung</v>
          </cell>
          <cell r="D145" t="str">
            <v>CNSX</v>
          </cell>
        </row>
        <row r="146">
          <cell r="B146" t="str">
            <v>CN0422</v>
          </cell>
          <cell r="C146" t="str">
            <v>Tạ Thành Đạt</v>
          </cell>
          <cell r="D146" t="str">
            <v>CNSX</v>
          </cell>
        </row>
        <row r="147">
          <cell r="B147" t="str">
            <v>CN0161</v>
          </cell>
          <cell r="C147" t="str">
            <v>Lâm Hoàng Tấn</v>
          </cell>
          <cell r="D147" t="str">
            <v>CNSX</v>
          </cell>
        </row>
        <row r="148">
          <cell r="B148" t="str">
            <v>CN0914</v>
          </cell>
          <cell r="C148" t="str">
            <v>Lê Hoàng Tuấn</v>
          </cell>
          <cell r="D148" t="str">
            <v>CNSX</v>
          </cell>
        </row>
        <row r="149">
          <cell r="B149" t="str">
            <v>CN1308</v>
          </cell>
          <cell r="C149" t="str">
            <v>Chau Thiên</v>
          </cell>
          <cell r="D149" t="str">
            <v>CNSX</v>
          </cell>
        </row>
        <row r="150">
          <cell r="B150" t="str">
            <v>CN1310</v>
          </cell>
          <cell r="C150" t="str">
            <v>Nguyễn Ngọc Lòng</v>
          </cell>
          <cell r="D150" t="str">
            <v>CNSX</v>
          </cell>
        </row>
        <row r="151">
          <cell r="B151" t="str">
            <v>CN1311</v>
          </cell>
          <cell r="C151" t="str">
            <v>Chau Sóc Khai</v>
          </cell>
          <cell r="D151" t="str">
            <v>CNSX</v>
          </cell>
        </row>
        <row r="152">
          <cell r="B152" t="str">
            <v>CN1346</v>
          </cell>
          <cell r="C152" t="str">
            <v>Thạch Tiên</v>
          </cell>
          <cell r="D152" t="str">
            <v>CNSX</v>
          </cell>
        </row>
        <row r="153">
          <cell r="B153" t="str">
            <v>CN1382</v>
          </cell>
          <cell r="C153" t="str">
            <v>Giáp Văn Thảo</v>
          </cell>
          <cell r="D153" t="str">
            <v>CNSX</v>
          </cell>
        </row>
        <row r="154">
          <cell r="C154" t="str">
            <v>ROPE</v>
          </cell>
          <cell r="D154">
            <v>96</v>
          </cell>
        </row>
        <row r="155">
          <cell r="B155" t="str">
            <v>CN0611</v>
          </cell>
          <cell r="C155" t="str">
            <v xml:space="preserve">Dương Thương </v>
          </cell>
          <cell r="D155" t="str">
            <v>Tổ trưởng</v>
          </cell>
        </row>
        <row r="156">
          <cell r="B156" t="str">
            <v>NV1651</v>
          </cell>
          <cell r="C156" t="str">
            <v>Phạm Phú Cường</v>
          </cell>
          <cell r="D156" t="str">
            <v>Tổ trưởng</v>
          </cell>
        </row>
        <row r="157">
          <cell r="B157" t="str">
            <v>CN0343</v>
          </cell>
          <cell r="C157" t="str">
            <v>Danh Chao Lốt</v>
          </cell>
          <cell r="D157" t="str">
            <v>CNSX</v>
          </cell>
        </row>
        <row r="158">
          <cell r="B158" t="str">
            <v>CN0043</v>
          </cell>
          <cell r="C158" t="str">
            <v>Lê Thị Thơ</v>
          </cell>
          <cell r="D158" t="str">
            <v>CNSX</v>
          </cell>
        </row>
        <row r="159">
          <cell r="B159" t="str">
            <v>CN0748</v>
          </cell>
          <cell r="C159" t="str">
            <v>Lê Văn Tỏa</v>
          </cell>
          <cell r="D159" t="str">
            <v>CNSX</v>
          </cell>
        </row>
        <row r="160">
          <cell r="B160" t="str">
            <v>CN0165</v>
          </cell>
          <cell r="C160" t="str">
            <v>Đặng Văn Lẩy</v>
          </cell>
          <cell r="D160" t="str">
            <v>CNSX</v>
          </cell>
        </row>
        <row r="161">
          <cell r="B161" t="str">
            <v>CN0451</v>
          </cell>
          <cell r="C161" t="str">
            <v>Danh Ra</v>
          </cell>
          <cell r="D161" t="str">
            <v>CNSX</v>
          </cell>
        </row>
        <row r="162">
          <cell r="B162" t="str">
            <v>CN0420</v>
          </cell>
          <cell r="C162" t="str">
            <v>Danh Chanh Thi</v>
          </cell>
          <cell r="D162" t="str">
            <v>CNSX</v>
          </cell>
        </row>
        <row r="163">
          <cell r="B163" t="str">
            <v>CN0613</v>
          </cell>
          <cell r="C163" t="str">
            <v>Lý Si Phonh</v>
          </cell>
          <cell r="D163" t="str">
            <v>CNSX</v>
          </cell>
        </row>
        <row r="164">
          <cell r="B164" t="str">
            <v>CN0618</v>
          </cell>
          <cell r="C164" t="str">
            <v>Lê Thành Đô</v>
          </cell>
          <cell r="D164" t="str">
            <v>CNSX</v>
          </cell>
        </row>
        <row r="165">
          <cell r="B165" t="str">
            <v>CN0040</v>
          </cell>
          <cell r="C165" t="str">
            <v>Đặng Văn Giang</v>
          </cell>
          <cell r="D165" t="str">
            <v>CNSX</v>
          </cell>
        </row>
        <row r="166">
          <cell r="B166" t="str">
            <v>CN0516</v>
          </cell>
          <cell r="C166" t="str">
            <v>Danh Chao Chiết</v>
          </cell>
          <cell r="D166" t="str">
            <v>CNSX</v>
          </cell>
        </row>
        <row r="167">
          <cell r="B167" t="str">
            <v>CN0559</v>
          </cell>
          <cell r="C167" t="str">
            <v>Lê Văn Lượng</v>
          </cell>
          <cell r="D167" t="str">
            <v>CNSX</v>
          </cell>
        </row>
        <row r="168">
          <cell r="B168" t="str">
            <v>CN0341</v>
          </cell>
          <cell r="C168" t="str">
            <v>Chau Danh Sa Va</v>
          </cell>
          <cell r="D168" t="str">
            <v>CNSX</v>
          </cell>
        </row>
        <row r="169">
          <cell r="B169" t="str">
            <v>CN0681</v>
          </cell>
          <cell r="C169" t="str">
            <v>Danh Ngọc</v>
          </cell>
          <cell r="D169" t="str">
            <v>CNSX</v>
          </cell>
        </row>
        <row r="170">
          <cell r="B170" t="str">
            <v>CN0303</v>
          </cell>
          <cell r="C170" t="str">
            <v>Trần Thanh Tùng</v>
          </cell>
          <cell r="D170" t="str">
            <v>CNSX</v>
          </cell>
        </row>
        <row r="171">
          <cell r="B171" t="str">
            <v>CN0881</v>
          </cell>
          <cell r="C171" t="str">
            <v>Sơn Hoài Thanh</v>
          </cell>
          <cell r="D171" t="str">
            <v>CNSX</v>
          </cell>
        </row>
        <row r="172">
          <cell r="B172" t="str">
            <v>CN0919</v>
          </cell>
          <cell r="C172" t="str">
            <v>Trần Văn Mạnh</v>
          </cell>
          <cell r="D172" t="str">
            <v>CNSX</v>
          </cell>
        </row>
        <row r="173">
          <cell r="B173" t="str">
            <v>CN0944</v>
          </cell>
          <cell r="C173" t="str">
            <v>Nguyễn Thanh Song</v>
          </cell>
          <cell r="D173" t="str">
            <v>CNSX</v>
          </cell>
        </row>
        <row r="174">
          <cell r="B174" t="str">
            <v>CN0981</v>
          </cell>
          <cell r="C174" t="str">
            <v>Hoàng Văn Tý</v>
          </cell>
          <cell r="D174" t="str">
            <v>CNSX</v>
          </cell>
        </row>
        <row r="175">
          <cell r="B175" t="str">
            <v>CN0986</v>
          </cell>
          <cell r="C175" t="str">
            <v>Miêu Quốc Khánh</v>
          </cell>
          <cell r="D175" t="str">
            <v>CNSX</v>
          </cell>
        </row>
        <row r="176">
          <cell r="B176" t="str">
            <v>CN1022</v>
          </cell>
          <cell r="C176" t="str">
            <v>Đoàn Thị Hồng Nhung</v>
          </cell>
          <cell r="D176" t="str">
            <v>CNSX</v>
          </cell>
        </row>
        <row r="177">
          <cell r="B177" t="str">
            <v>CN1111</v>
          </cell>
          <cell r="C177" t="str">
            <v>Lê Văn Mạnh</v>
          </cell>
          <cell r="D177" t="str">
            <v>CNSX</v>
          </cell>
        </row>
        <row r="178">
          <cell r="B178" t="str">
            <v>CN1118</v>
          </cell>
          <cell r="C178" t="str">
            <v>Lý Minh Quý</v>
          </cell>
          <cell r="D178" t="str">
            <v>CNSX</v>
          </cell>
        </row>
        <row r="179">
          <cell r="B179" t="str">
            <v>CN1131</v>
          </cell>
          <cell r="C179" t="str">
            <v>Thạch Thành</v>
          </cell>
          <cell r="D179" t="str">
            <v>CNSX</v>
          </cell>
        </row>
        <row r="180">
          <cell r="B180" t="str">
            <v>CN1133</v>
          </cell>
          <cell r="C180" t="str">
            <v>Phan Văn Đức</v>
          </cell>
          <cell r="D180" t="str">
            <v>CNSX</v>
          </cell>
        </row>
        <row r="181">
          <cell r="B181" t="str">
            <v>CN1148</v>
          </cell>
          <cell r="C181" t="str">
            <v xml:space="preserve">Dương Vũ Phong </v>
          </cell>
          <cell r="D181" t="str">
            <v>CNSX</v>
          </cell>
        </row>
        <row r="182">
          <cell r="B182" t="str">
            <v>CN1168</v>
          </cell>
          <cell r="C182" t="str">
            <v>Thạch Lửa</v>
          </cell>
          <cell r="D182" t="str">
            <v>CNSX</v>
          </cell>
        </row>
        <row r="183">
          <cell r="B183" t="str">
            <v>CN1194</v>
          </cell>
          <cell r="C183" t="str">
            <v>Nguyễn Trần Mỹ Loan</v>
          </cell>
          <cell r="D183" t="str">
            <v>CNSX</v>
          </cell>
        </row>
        <row r="184">
          <cell r="B184" t="str">
            <v>CN1231</v>
          </cell>
          <cell r="C184" t="str">
            <v>Lý Thành Lên</v>
          </cell>
          <cell r="D184" t="str">
            <v>CNSX</v>
          </cell>
        </row>
        <row r="185">
          <cell r="B185" t="str">
            <v>CN1249</v>
          </cell>
          <cell r="C185" t="str">
            <v>Trần Văn Mến</v>
          </cell>
          <cell r="D185" t="str">
            <v>CNSX</v>
          </cell>
        </row>
        <row r="186">
          <cell r="B186" t="str">
            <v>CN1277</v>
          </cell>
          <cell r="C186" t="str">
            <v>Nguyễn Văn Cường</v>
          </cell>
          <cell r="D186" t="str">
            <v>CNSX</v>
          </cell>
        </row>
        <row r="187">
          <cell r="B187" t="str">
            <v>CN1093</v>
          </cell>
          <cell r="C187" t="str">
            <v>Huỳnh Thị Chi</v>
          </cell>
          <cell r="D187" t="str">
            <v>CNSX</v>
          </cell>
        </row>
        <row r="188">
          <cell r="B188" t="str">
            <v>CN1132</v>
          </cell>
          <cell r="C188" t="str">
            <v>Kim Thị Na Huy</v>
          </cell>
          <cell r="D188" t="str">
            <v>CNSX</v>
          </cell>
        </row>
        <row r="189">
          <cell r="B189" t="str">
            <v>CN1421</v>
          </cell>
          <cell r="C189" t="str">
            <v>Nguyễn Văn Bé Ba</v>
          </cell>
          <cell r="D189" t="str">
            <v>CNSX</v>
          </cell>
        </row>
        <row r="190">
          <cell r="B190" t="str">
            <v>CN1425</v>
          </cell>
          <cell r="C190" t="str">
            <v>Nguyễn Hoàng Nam</v>
          </cell>
          <cell r="D190" t="str">
            <v>CNSX</v>
          </cell>
        </row>
        <row r="191">
          <cell r="B191" t="str">
            <v>CN1428</v>
          </cell>
          <cell r="C191" t="str">
            <v>Neàng Kim Sen</v>
          </cell>
          <cell r="D191" t="str">
            <v>CNSX</v>
          </cell>
        </row>
        <row r="192">
          <cell r="B192" t="str">
            <v>CN1429</v>
          </cell>
          <cell r="C192" t="str">
            <v>Phạm Vủ Luân</v>
          </cell>
          <cell r="D192" t="str">
            <v>CNSX</v>
          </cell>
        </row>
        <row r="193">
          <cell r="B193" t="str">
            <v>CN1431</v>
          </cell>
          <cell r="C193" t="str">
            <v>Sơn Vách</v>
          </cell>
          <cell r="D193" t="str">
            <v>CNSX</v>
          </cell>
        </row>
        <row r="194">
          <cell r="B194" t="str">
            <v>CN1435</v>
          </cell>
          <cell r="C194" t="str">
            <v>Sơn Thảo</v>
          </cell>
          <cell r="D194" t="str">
            <v>CNSX</v>
          </cell>
        </row>
        <row r="195">
          <cell r="B195" t="str">
            <v>CN1441</v>
          </cell>
          <cell r="C195" t="str">
            <v>Lê Hoàng Long</v>
          </cell>
          <cell r="D195" t="str">
            <v>CNSX</v>
          </cell>
        </row>
        <row r="196">
          <cell r="B196" t="str">
            <v>CN1442</v>
          </cell>
          <cell r="C196" t="str">
            <v>Trần Hải Đăng</v>
          </cell>
          <cell r="D196" t="str">
            <v>CNSX</v>
          </cell>
        </row>
        <row r="197">
          <cell r="B197" t="str">
            <v>CN1219</v>
          </cell>
          <cell r="C197" t="str">
            <v>Liêu Thông</v>
          </cell>
          <cell r="D197" t="str">
            <v>CNSX</v>
          </cell>
        </row>
        <row r="198">
          <cell r="B198" t="str">
            <v>CN1455</v>
          </cell>
          <cell r="C198" t="str">
            <v>Trần Bền</v>
          </cell>
          <cell r="D198" t="str">
            <v>CNSX</v>
          </cell>
        </row>
        <row r="199">
          <cell r="B199" t="str">
            <v>CN1467</v>
          </cell>
          <cell r="C199" t="str">
            <v>Danh Thanh Tuyền</v>
          </cell>
          <cell r="D199" t="str">
            <v>CNSX</v>
          </cell>
        </row>
        <row r="200">
          <cell r="B200" t="str">
            <v>CN1469</v>
          </cell>
          <cell r="C200" t="str">
            <v>Thạch Chane Bô Rết</v>
          </cell>
          <cell r="D200" t="str">
            <v>CNSX</v>
          </cell>
        </row>
        <row r="201">
          <cell r="B201" t="str">
            <v>CN0764</v>
          </cell>
          <cell r="C201" t="str">
            <v>Lâm Luân</v>
          </cell>
          <cell r="D201" t="str">
            <v>CNSX</v>
          </cell>
        </row>
        <row r="202">
          <cell r="B202" t="str">
            <v>CN1509</v>
          </cell>
          <cell r="C202" t="str">
            <v>Trương Tuấn Thanh</v>
          </cell>
          <cell r="D202" t="str">
            <v>CNSX</v>
          </cell>
        </row>
        <row r="203">
          <cell r="B203" t="str">
            <v>CN1512</v>
          </cell>
          <cell r="C203" t="str">
            <v>Nguyễn Đăng Tính</v>
          </cell>
          <cell r="D203" t="str">
            <v>CNSX</v>
          </cell>
        </row>
        <row r="204">
          <cell r="B204" t="str">
            <v>CN1519</v>
          </cell>
          <cell r="C204" t="str">
            <v>Phan Văn Nhiều</v>
          </cell>
          <cell r="D204" t="str">
            <v>CNSX</v>
          </cell>
        </row>
        <row r="205">
          <cell r="B205" t="str">
            <v>CN1545</v>
          </cell>
          <cell r="C205" t="str">
            <v>Cao Minh Thư</v>
          </cell>
          <cell r="D205" t="str">
            <v>CNSX</v>
          </cell>
        </row>
        <row r="206">
          <cell r="B206" t="str">
            <v>CN1557</v>
          </cell>
          <cell r="C206" t="str">
            <v>Giang Đình Nhất</v>
          </cell>
          <cell r="D206" t="str">
            <v>CNSX</v>
          </cell>
        </row>
        <row r="207">
          <cell r="B207" t="str">
            <v>CN1560</v>
          </cell>
          <cell r="C207" t="str">
            <v>Kim Thị Ngọc Huyền</v>
          </cell>
          <cell r="D207" t="str">
            <v>CNSX</v>
          </cell>
        </row>
        <row r="208">
          <cell r="B208" t="str">
            <v>CN1568</v>
          </cell>
          <cell r="C208" t="str">
            <v>Phạm Nhựt Tuấn</v>
          </cell>
          <cell r="D208" t="str">
            <v>CNSX</v>
          </cell>
        </row>
        <row r="209">
          <cell r="B209" t="str">
            <v>CN1575</v>
          </cell>
          <cell r="C209" t="str">
            <v>Nguyễn Văn Sơn</v>
          </cell>
          <cell r="D209" t="str">
            <v>CNSX</v>
          </cell>
        </row>
        <row r="210">
          <cell r="B210" t="str">
            <v>CN1588</v>
          </cell>
          <cell r="C210" t="str">
            <v>Trịnh Thị Hiền</v>
          </cell>
          <cell r="D210" t="str">
            <v>CNSX</v>
          </cell>
        </row>
        <row r="211">
          <cell r="B211" t="str">
            <v>CN1605</v>
          </cell>
          <cell r="C211" t="str">
            <v>Từ Chí Hảo</v>
          </cell>
          <cell r="D211" t="str">
            <v>CNSX</v>
          </cell>
        </row>
        <row r="212">
          <cell r="B212" t="str">
            <v>CN1612</v>
          </cell>
          <cell r="C212" t="str">
            <v>Đinh Hoàng Thái</v>
          </cell>
          <cell r="D212" t="str">
            <v>CNSX</v>
          </cell>
        </row>
        <row r="213">
          <cell r="B213" t="str">
            <v>CN1630</v>
          </cell>
          <cell r="C213" t="str">
            <v>Đặng Thanh Chiến</v>
          </cell>
          <cell r="D213" t="str">
            <v>CNSX</v>
          </cell>
        </row>
        <row r="214">
          <cell r="B214" t="str">
            <v>CN1631</v>
          </cell>
          <cell r="C214" t="str">
            <v>Lê Đức Thiện</v>
          </cell>
          <cell r="D214" t="str">
            <v>CNSX</v>
          </cell>
        </row>
        <row r="215">
          <cell r="B215" t="str">
            <v>CN1633</v>
          </cell>
          <cell r="C215" t="str">
            <v>Thạch Ngọc Anh</v>
          </cell>
          <cell r="D215" t="str">
            <v>CNSX</v>
          </cell>
        </row>
        <row r="216">
          <cell r="B216" t="str">
            <v>CN1642</v>
          </cell>
          <cell r="C216" t="str">
            <v>Nguyễn Văn Lý Hùng</v>
          </cell>
          <cell r="D216" t="str">
            <v>CNSX</v>
          </cell>
        </row>
        <row r="217">
          <cell r="B217" t="str">
            <v>CN1649</v>
          </cell>
          <cell r="C217" t="str">
            <v>Chau Thi</v>
          </cell>
          <cell r="D217" t="str">
            <v>CNSX</v>
          </cell>
        </row>
        <row r="218">
          <cell r="B218" t="str">
            <v>CN1655</v>
          </cell>
          <cell r="C218" t="str">
            <v>Lê Minh Chiến</v>
          </cell>
          <cell r="D218" t="str">
            <v>CNSX</v>
          </cell>
        </row>
        <row r="219">
          <cell r="B219" t="str">
            <v>CN1668</v>
          </cell>
          <cell r="C219" t="str">
            <v>Sơn Thanh Dũng</v>
          </cell>
          <cell r="D219" t="str">
            <v>CNSX</v>
          </cell>
        </row>
        <row r="220">
          <cell r="B220" t="str">
            <v>CN1670</v>
          </cell>
          <cell r="C220" t="str">
            <v>Trần Thị Ràng</v>
          </cell>
          <cell r="D220" t="str">
            <v>CNSX</v>
          </cell>
        </row>
        <row r="221">
          <cell r="B221" t="str">
            <v>CN1674</v>
          </cell>
          <cell r="C221" t="str">
            <v>Trần Ngọc Thắng</v>
          </cell>
          <cell r="D221" t="str">
            <v>CNSX</v>
          </cell>
        </row>
        <row r="222">
          <cell r="B222" t="str">
            <v>CN1686</v>
          </cell>
          <cell r="C222" t="str">
            <v>Hồ Thanh Tuấn</v>
          </cell>
          <cell r="D222" t="str">
            <v>CNSX</v>
          </cell>
        </row>
        <row r="223">
          <cell r="B223" t="str">
            <v>CN1688</v>
          </cell>
          <cell r="C223" t="str">
            <v>Phan Minh Trung</v>
          </cell>
          <cell r="D223" t="str">
            <v>CNSX</v>
          </cell>
        </row>
        <row r="224">
          <cell r="B224" t="str">
            <v>CN1694</v>
          </cell>
          <cell r="C224" t="str">
            <v>Mã Quốc Huy</v>
          </cell>
          <cell r="D224" t="str">
            <v>CNSX</v>
          </cell>
        </row>
        <row r="225">
          <cell r="B225" t="str">
            <v>CN1695</v>
          </cell>
          <cell r="C225" t="str">
            <v>Nguyễn Thái Học</v>
          </cell>
          <cell r="D225" t="str">
            <v>CNSX</v>
          </cell>
        </row>
        <row r="226">
          <cell r="B226" t="str">
            <v>CN1283</v>
          </cell>
          <cell r="C226" t="str">
            <v>Châu Minh Liêm</v>
          </cell>
          <cell r="D226" t="str">
            <v>CNSX</v>
          </cell>
        </row>
        <row r="227">
          <cell r="B227" t="str">
            <v>CN1703</v>
          </cell>
          <cell r="C227" t="str">
            <v>Nguyễn Văn Thanh Phong</v>
          </cell>
          <cell r="D227" t="str">
            <v>CNSX</v>
          </cell>
        </row>
        <row r="228">
          <cell r="B228" t="str">
            <v>CN1704</v>
          </cell>
          <cell r="C228" t="str">
            <v>Lê Vũ Phương</v>
          </cell>
          <cell r="D228" t="str">
            <v>CNSX</v>
          </cell>
        </row>
        <row r="229">
          <cell r="B229" t="str">
            <v>CN1707</v>
          </cell>
          <cell r="C229" t="str">
            <v>Thạch Chan Bô Rinh</v>
          </cell>
          <cell r="D229" t="str">
            <v>CNSX</v>
          </cell>
        </row>
        <row r="230">
          <cell r="B230" t="str">
            <v>CN1709</v>
          </cell>
          <cell r="C230" t="str">
            <v>Nguyễn Quốc Thắng</v>
          </cell>
          <cell r="D230" t="str">
            <v>CNSX</v>
          </cell>
        </row>
        <row r="231">
          <cell r="B231" t="str">
            <v>CN1713</v>
          </cell>
          <cell r="C231" t="str">
            <v>Chau Sam Nan</v>
          </cell>
          <cell r="D231" t="str">
            <v>CNSX</v>
          </cell>
        </row>
        <row r="232">
          <cell r="B232" t="str">
            <v>CN1724</v>
          </cell>
          <cell r="C232" t="str">
            <v>Hồ Văn Còn</v>
          </cell>
          <cell r="D232" t="str">
            <v>CNSX</v>
          </cell>
        </row>
        <row r="233">
          <cell r="B233" t="str">
            <v>CN1725</v>
          </cell>
          <cell r="C233" t="str">
            <v>Nguyễn Thành Khoa</v>
          </cell>
          <cell r="D233" t="str">
            <v>CNSX</v>
          </cell>
        </row>
        <row r="234">
          <cell r="B234" t="str">
            <v>CN1730</v>
          </cell>
          <cell r="C234" t="str">
            <v>Lê Chí Thắng</v>
          </cell>
          <cell r="D234" t="str">
            <v>CNSX</v>
          </cell>
        </row>
        <row r="235">
          <cell r="B235" t="str">
            <v>CN1731</v>
          </cell>
          <cell r="C235" t="str">
            <v>Sơn Nghĩa</v>
          </cell>
          <cell r="D235" t="str">
            <v>CNSX</v>
          </cell>
        </row>
        <row r="236">
          <cell r="B236" t="str">
            <v>CN1732</v>
          </cell>
          <cell r="C236" t="str">
            <v>Bùi Văn Dương</v>
          </cell>
          <cell r="D236" t="str">
            <v>CNSX</v>
          </cell>
        </row>
        <row r="237">
          <cell r="B237" t="str">
            <v>CN1726</v>
          </cell>
          <cell r="C237" t="str">
            <v>Nguyễn Hoàng Giang</v>
          </cell>
          <cell r="D237" t="str">
            <v>CNSX</v>
          </cell>
        </row>
        <row r="238">
          <cell r="B238" t="str">
            <v>CN1734</v>
          </cell>
          <cell r="C238" t="str">
            <v>Lâm Phi</v>
          </cell>
          <cell r="D238" t="str">
            <v>CNSX</v>
          </cell>
        </row>
        <row r="239">
          <cell r="B239" t="str">
            <v>CN1742</v>
          </cell>
          <cell r="C239" t="str">
            <v>Phạm Hữu Du Đô</v>
          </cell>
          <cell r="D239" t="str">
            <v>CNSX</v>
          </cell>
        </row>
        <row r="240">
          <cell r="B240" t="str">
            <v>CN1744</v>
          </cell>
          <cell r="C240" t="str">
            <v>Trương Văn Đào</v>
          </cell>
          <cell r="D240" t="str">
            <v>CNSX</v>
          </cell>
        </row>
        <row r="241">
          <cell r="B241" t="str">
            <v>CN1745</v>
          </cell>
          <cell r="C241" t="str">
            <v>Trịnh Đà Ra</v>
          </cell>
          <cell r="D241" t="str">
            <v>CNSX</v>
          </cell>
        </row>
        <row r="242">
          <cell r="B242" t="str">
            <v>CN1748</v>
          </cell>
          <cell r="C242" t="str">
            <v>Trần Thanh Tùng</v>
          </cell>
          <cell r="D242" t="str">
            <v>CNSX</v>
          </cell>
        </row>
        <row r="243">
          <cell r="B243" t="str">
            <v>CN1750</v>
          </cell>
          <cell r="C243" t="str">
            <v>Lê Nhật Duy</v>
          </cell>
          <cell r="D243" t="str">
            <v>CNSX</v>
          </cell>
        </row>
        <row r="244">
          <cell r="B244" t="str">
            <v>CN1751</v>
          </cell>
          <cell r="C244" t="str">
            <v>Nguyễn Anh Trí</v>
          </cell>
          <cell r="D244" t="str">
            <v>CNSX</v>
          </cell>
        </row>
        <row r="245">
          <cell r="B245" t="str">
            <v>CN1762</v>
          </cell>
          <cell r="C245" t="str">
            <v>Nguyễn Hồng Thái</v>
          </cell>
          <cell r="D245" t="str">
            <v>CNSX</v>
          </cell>
        </row>
        <row r="246">
          <cell r="B246" t="str">
            <v>CN1763</v>
          </cell>
          <cell r="C246" t="str">
            <v>Võ Thị Nị</v>
          </cell>
          <cell r="D246" t="str">
            <v>CNSX</v>
          </cell>
        </row>
        <row r="247">
          <cell r="B247" t="str">
            <v>CN1765</v>
          </cell>
          <cell r="C247" t="str">
            <v>Vũ Văn Phúc</v>
          </cell>
          <cell r="D247" t="str">
            <v>CNSX</v>
          </cell>
        </row>
        <row r="248">
          <cell r="B248" t="str">
            <v>CN1766</v>
          </cell>
          <cell r="C248" t="str">
            <v>Nguyễn Văn Vợt</v>
          </cell>
          <cell r="D248" t="str">
            <v>CNSX</v>
          </cell>
        </row>
        <row r="249">
          <cell r="B249" t="str">
            <v>CN1769</v>
          </cell>
          <cell r="C249" t="str">
            <v>Trần Thanh Tòng</v>
          </cell>
          <cell r="D249" t="str">
            <v>CNSX</v>
          </cell>
        </row>
        <row r="250">
          <cell r="B250" t="str">
            <v>CN1770</v>
          </cell>
          <cell r="C250" t="str">
            <v>Bùi Thị Hoa</v>
          </cell>
          <cell r="D250" t="str">
            <v>CNSX</v>
          </cell>
        </row>
        <row r="251">
          <cell r="C251" t="str">
            <v xml:space="preserve">Máy Bện </v>
          </cell>
          <cell r="D251">
            <v>2</v>
          </cell>
        </row>
        <row r="252">
          <cell r="B252" t="str">
            <v>CN0038</v>
          </cell>
          <cell r="C252" t="str">
            <v>Danh Kim Đồng</v>
          </cell>
          <cell r="D252" t="str">
            <v>CNSX</v>
          </cell>
        </row>
        <row r="253">
          <cell r="B253" t="str">
            <v>CN0568</v>
          </cell>
          <cell r="C253" t="str">
            <v>Thạch Tài</v>
          </cell>
          <cell r="D253" t="str">
            <v>CNSX</v>
          </cell>
        </row>
        <row r="254">
          <cell r="C254" t="str">
            <v xml:space="preserve">Máy RS </v>
          </cell>
          <cell r="D254">
            <v>2</v>
          </cell>
        </row>
        <row r="255">
          <cell r="B255" t="str">
            <v>CN0668</v>
          </cell>
          <cell r="C255" t="str">
            <v>Trần Quốc Nam</v>
          </cell>
          <cell r="D255" t="str">
            <v>CNSX</v>
          </cell>
        </row>
        <row r="256">
          <cell r="B256" t="str">
            <v>CN0423</v>
          </cell>
          <cell r="C256" t="str">
            <v>Sơn Đol</v>
          </cell>
          <cell r="D256" t="str">
            <v>Tổ trưởng Rope</v>
          </cell>
        </row>
        <row r="257">
          <cell r="C257" t="str">
            <v>Máy In</v>
          </cell>
          <cell r="D257">
            <v>3</v>
          </cell>
        </row>
        <row r="258">
          <cell r="B258" t="str">
            <v>CN0042</v>
          </cell>
          <cell r="C258" t="str">
            <v>Lục Thị Kiếm</v>
          </cell>
          <cell r="D258" t="str">
            <v>CNSX</v>
          </cell>
        </row>
        <row r="259">
          <cell r="B259" t="str">
            <v>CN0736</v>
          </cell>
          <cell r="C259" t="str">
            <v>Lý Thị Kim Tinh</v>
          </cell>
          <cell r="D259" t="str">
            <v>CNSX</v>
          </cell>
        </row>
        <row r="260">
          <cell r="B260" t="str">
            <v>CN1697</v>
          </cell>
          <cell r="C260" t="str">
            <v>Đặng Thị Út</v>
          </cell>
          <cell r="D260" t="str">
            <v>CNSX</v>
          </cell>
        </row>
        <row r="261">
          <cell r="C261" t="str">
            <v>TWIST</v>
          </cell>
          <cell r="D261">
            <v>6</v>
          </cell>
        </row>
        <row r="262">
          <cell r="B262" t="str">
            <v>CN0029</v>
          </cell>
          <cell r="C262" t="str">
            <v>Nguyễn Văn Hiển</v>
          </cell>
          <cell r="D262" t="str">
            <v>Tổ trưởng</v>
          </cell>
        </row>
        <row r="263">
          <cell r="B263" t="str">
            <v>CN0206</v>
          </cell>
          <cell r="C263" t="str">
            <v>Thạch Chanh Rây</v>
          </cell>
          <cell r="D263" t="str">
            <v>Tổ trưởng</v>
          </cell>
        </row>
        <row r="264">
          <cell r="B264" t="str">
            <v>CN0046</v>
          </cell>
          <cell r="C264" t="str">
            <v>Danh Hồng Cường</v>
          </cell>
          <cell r="D264" t="str">
            <v>Tổ trưởng</v>
          </cell>
        </row>
        <row r="265">
          <cell r="B265" t="str">
            <v>CN0373</v>
          </cell>
          <cell r="C265" t="str">
            <v>Lý Tiên</v>
          </cell>
          <cell r="D265" t="str">
            <v>CNSX</v>
          </cell>
        </row>
        <row r="266">
          <cell r="B266" t="str">
            <v>CN0037</v>
          </cell>
          <cell r="C266" t="str">
            <v>Nguyễn Chí Tâm</v>
          </cell>
          <cell r="D266" t="str">
            <v>CNSX</v>
          </cell>
        </row>
        <row r="267">
          <cell r="B267" t="str">
            <v>CN0787</v>
          </cell>
          <cell r="C267" t="str">
            <v>Lý Thanh</v>
          </cell>
          <cell r="D267" t="str">
            <v>CNSX</v>
          </cell>
        </row>
        <row r="268">
          <cell r="C268" t="str">
            <v>TORNADO</v>
          </cell>
          <cell r="D268">
            <v>15</v>
          </cell>
        </row>
        <row r="269">
          <cell r="B269" t="str">
            <v>CN0058</v>
          </cell>
          <cell r="C269" t="str">
            <v>Lâm Kim Long</v>
          </cell>
          <cell r="D269" t="str">
            <v>Tổ trưởng</v>
          </cell>
        </row>
        <row r="270">
          <cell r="B270" t="str">
            <v>CN0048</v>
          </cell>
          <cell r="C270" t="str">
            <v xml:space="preserve">Lê Thanh Sang </v>
          </cell>
          <cell r="D270" t="str">
            <v>Tổ trưởng</v>
          </cell>
        </row>
        <row r="271">
          <cell r="B271" t="str">
            <v>CN0066</v>
          </cell>
          <cell r="C271" t="str">
            <v>Đỗ Thanh Nhàn</v>
          </cell>
          <cell r="D271" t="str">
            <v>CNSX</v>
          </cell>
        </row>
        <row r="272">
          <cell r="B272" t="str">
            <v>CN0434</v>
          </cell>
          <cell r="C272" t="str">
            <v>Lê Văn Xoài</v>
          </cell>
          <cell r="D272" t="str">
            <v>CNSX</v>
          </cell>
        </row>
        <row r="273">
          <cell r="B273" t="str">
            <v>CN0377</v>
          </cell>
          <cell r="C273" t="str">
            <v>Võ Văn Ngàn</v>
          </cell>
          <cell r="D273" t="str">
            <v>CNSX</v>
          </cell>
        </row>
        <row r="274">
          <cell r="B274" t="str">
            <v>CN0027</v>
          </cell>
          <cell r="C274" t="str">
            <v>Thạch Tùng</v>
          </cell>
          <cell r="D274" t="str">
            <v>CNSX</v>
          </cell>
        </row>
        <row r="275">
          <cell r="B275" t="str">
            <v>CN0151</v>
          </cell>
          <cell r="C275" t="str">
            <v>Lưu Văn Hiếu</v>
          </cell>
          <cell r="D275" t="str">
            <v>CNSX</v>
          </cell>
        </row>
        <row r="276">
          <cell r="B276" t="str">
            <v>CN0028</v>
          </cell>
          <cell r="C276" t="str">
            <v>Dương Hoàng Oanh</v>
          </cell>
          <cell r="D276" t="str">
            <v>CNSX</v>
          </cell>
        </row>
        <row r="277">
          <cell r="B277" t="str">
            <v>CN1187</v>
          </cell>
          <cell r="C277" t="str">
            <v>Hứa Văn Hởi</v>
          </cell>
          <cell r="D277" t="str">
            <v>CNSX</v>
          </cell>
        </row>
        <row r="278">
          <cell r="B278" t="str">
            <v>CN1137</v>
          </cell>
          <cell r="C278" t="str">
            <v xml:space="preserve">Nguyễn Thanh Phong </v>
          </cell>
          <cell r="D278" t="str">
            <v>CNSX</v>
          </cell>
        </row>
        <row r="279">
          <cell r="B279" t="str">
            <v>CN1209</v>
          </cell>
          <cell r="C279" t="str">
            <v>Phạm Phát Tài</v>
          </cell>
          <cell r="D279" t="str">
            <v>CNSX</v>
          </cell>
        </row>
        <row r="280">
          <cell r="B280" t="str">
            <v>CN1210</v>
          </cell>
          <cell r="C280" t="str">
            <v>Đỗ Công Danh</v>
          </cell>
          <cell r="D280" t="str">
            <v>CNSX</v>
          </cell>
        </row>
        <row r="281">
          <cell r="B281" t="str">
            <v>CN1495</v>
          </cell>
          <cell r="C281" t="str">
            <v>Trần Bé Trai</v>
          </cell>
          <cell r="D281" t="str">
            <v>CNSX</v>
          </cell>
        </row>
        <row r="282">
          <cell r="B282" t="str">
            <v>CN0749</v>
          </cell>
          <cell r="C282" t="str">
            <v>Chay Hoàng Sơn</v>
          </cell>
          <cell r="D282" t="str">
            <v>CNSX</v>
          </cell>
        </row>
        <row r="283">
          <cell r="B283" t="str">
            <v>CN1638</v>
          </cell>
          <cell r="C283" t="str">
            <v>Nguyễn Hữu Phước</v>
          </cell>
          <cell r="D283" t="str">
            <v>CNSX</v>
          </cell>
        </row>
        <row r="284">
          <cell r="C284" t="str">
            <v>ĐÓNG GÓI</v>
          </cell>
          <cell r="D284">
            <v>36</v>
          </cell>
        </row>
        <row r="285">
          <cell r="B285" t="str">
            <v>CN0616</v>
          </cell>
          <cell r="C285" t="str">
            <v>Phạm Thành Tiên</v>
          </cell>
          <cell r="D285" t="str">
            <v>Tổ trưởng đóng gói</v>
          </cell>
        </row>
        <row r="286">
          <cell r="B286" t="str">
            <v>CN0013</v>
          </cell>
          <cell r="C286" t="str">
            <v>Hà Phước Thanh</v>
          </cell>
          <cell r="D286" t="str">
            <v>Tổ phó</v>
          </cell>
        </row>
        <row r="287">
          <cell r="B287" t="str">
            <v>CN0210</v>
          </cell>
          <cell r="C287" t="str">
            <v>Mai Thị Bé Ly</v>
          </cell>
          <cell r="D287" t="str">
            <v>Tổ phó</v>
          </cell>
        </row>
        <row r="288">
          <cell r="B288" t="str">
            <v>CN0011</v>
          </cell>
          <cell r="C288" t="str">
            <v>Nguyễn Diệu Hiền</v>
          </cell>
          <cell r="D288" t="str">
            <v>CN Đóng gói</v>
          </cell>
        </row>
        <row r="289">
          <cell r="B289" t="str">
            <v>CN0549</v>
          </cell>
          <cell r="C289" t="str">
            <v>Danh Thị Thanh</v>
          </cell>
          <cell r="D289" t="str">
            <v>CN Đóng gói</v>
          </cell>
        </row>
        <row r="290">
          <cell r="B290" t="str">
            <v>CN0512</v>
          </cell>
          <cell r="C290" t="str">
            <v>Phan Kim Tâm</v>
          </cell>
          <cell r="D290" t="str">
            <v>CN Đóng gói</v>
          </cell>
        </row>
        <row r="291">
          <cell r="B291" t="str">
            <v>CN0709</v>
          </cell>
          <cell r="C291" t="str">
            <v>Đặng Thị Ngọc Trà</v>
          </cell>
          <cell r="D291" t="str">
            <v>CN Đóng gói</v>
          </cell>
        </row>
        <row r="292">
          <cell r="B292" t="str">
            <v>CN0170</v>
          </cell>
          <cell r="C292" t="str">
            <v>Trương Văn Dũng</v>
          </cell>
          <cell r="D292" t="str">
            <v>CN Đóng gói</v>
          </cell>
        </row>
        <row r="293">
          <cell r="B293" t="str">
            <v>CN0465</v>
          </cell>
          <cell r="C293" t="str">
            <v>Nguyễn Văn Minh</v>
          </cell>
          <cell r="D293" t="str">
            <v>CN Đóng gói</v>
          </cell>
        </row>
        <row r="294">
          <cell r="B294" t="str">
            <v>CN0913</v>
          </cell>
          <cell r="C294" t="str">
            <v>Trương Minh Định</v>
          </cell>
          <cell r="D294" t="str">
            <v>CN Đóng gói</v>
          </cell>
        </row>
        <row r="295">
          <cell r="B295" t="str">
            <v>CN1333</v>
          </cell>
          <cell r="C295" t="str">
            <v>Tô Thanh Lừng</v>
          </cell>
          <cell r="D295" t="str">
            <v>CN Đóng gói</v>
          </cell>
        </row>
        <row r="296">
          <cell r="B296" t="str">
            <v>CN1323</v>
          </cell>
          <cell r="C296" t="str">
            <v xml:space="preserve">Neàng Cà Chia </v>
          </cell>
          <cell r="D296" t="str">
            <v>CN Đóng gói</v>
          </cell>
        </row>
        <row r="297">
          <cell r="B297" t="str">
            <v>CN1361</v>
          </cell>
          <cell r="C297" t="str">
            <v>Kim Sô Phoi</v>
          </cell>
          <cell r="D297" t="str">
            <v>CN Đóng gói</v>
          </cell>
        </row>
        <row r="298">
          <cell r="B298" t="str">
            <v>CN1360</v>
          </cell>
          <cell r="C298" t="str">
            <v>Thạch Thị Dung</v>
          </cell>
          <cell r="D298" t="str">
            <v>CN Đóng gói</v>
          </cell>
        </row>
        <row r="299">
          <cell r="B299" t="str">
            <v>CN1450</v>
          </cell>
          <cell r="C299" t="str">
            <v>Lê Thị Kiều Diễm</v>
          </cell>
          <cell r="D299" t="str">
            <v>CN Đóng gói</v>
          </cell>
        </row>
        <row r="300">
          <cell r="B300" t="str">
            <v>CN1451</v>
          </cell>
          <cell r="C300" t="str">
            <v>Sơn Thanh Phong</v>
          </cell>
          <cell r="D300" t="str">
            <v>CN Đóng gói</v>
          </cell>
        </row>
        <row r="301">
          <cell r="B301" t="str">
            <v>CN0908</v>
          </cell>
          <cell r="C301" t="str">
            <v>Thái Văn Phúc</v>
          </cell>
          <cell r="D301" t="str">
            <v>CN Đóng gói</v>
          </cell>
        </row>
        <row r="302">
          <cell r="B302" t="str">
            <v>CN1506</v>
          </cell>
          <cell r="C302" t="str">
            <v>Trần Tuấn Kiệt</v>
          </cell>
          <cell r="D302" t="str">
            <v>CN Đóng gói</v>
          </cell>
        </row>
        <row r="303">
          <cell r="B303" t="str">
            <v>CN1517</v>
          </cell>
          <cell r="C303" t="str">
            <v>Danh Thị Phượng</v>
          </cell>
          <cell r="D303" t="str">
            <v>CN Đóng gói</v>
          </cell>
        </row>
        <row r="304">
          <cell r="B304" t="str">
            <v>CN1530</v>
          </cell>
          <cell r="C304" t="str">
            <v>Lý Đức Thuận</v>
          </cell>
          <cell r="D304" t="str">
            <v>Nhân viên Nhập liệu</v>
          </cell>
        </row>
        <row r="305">
          <cell r="B305" t="str">
            <v>CN1255</v>
          </cell>
          <cell r="C305" t="str">
            <v>Danh Vích</v>
          </cell>
          <cell r="D305" t="str">
            <v>Tài xế</v>
          </cell>
        </row>
        <row r="306">
          <cell r="B306" t="str">
            <v>CN1629</v>
          </cell>
          <cell r="C306" t="str">
            <v>Trương Thị Kim Chi</v>
          </cell>
          <cell r="D306" t="str">
            <v>CN Đóng gói</v>
          </cell>
        </row>
        <row r="307">
          <cell r="B307" t="str">
            <v>CN0302</v>
          </cell>
          <cell r="C307" t="str">
            <v>Trần Thị Diệu</v>
          </cell>
          <cell r="D307" t="str">
            <v>CN Đóng gói</v>
          </cell>
        </row>
        <row r="308">
          <cell r="B308" t="str">
            <v>CN1654</v>
          </cell>
          <cell r="C308" t="str">
            <v>Huỳnh Quốc Danh</v>
          </cell>
          <cell r="D308" t="str">
            <v>CN Đóng gói</v>
          </cell>
        </row>
        <row r="309">
          <cell r="B309" t="str">
            <v>CN1661</v>
          </cell>
          <cell r="C309" t="str">
            <v>Lê Chí Nguyện</v>
          </cell>
          <cell r="D309" t="str">
            <v>CN Đóng gói</v>
          </cell>
        </row>
        <row r="310">
          <cell r="B310" t="str">
            <v>CN1696</v>
          </cell>
          <cell r="C310" t="str">
            <v>Nguyễn Thị Thuyền</v>
          </cell>
          <cell r="D310" t="str">
            <v>CN Đóng gói</v>
          </cell>
        </row>
        <row r="311">
          <cell r="B311" t="str">
            <v>CN1698</v>
          </cell>
          <cell r="C311" t="str">
            <v>Nguyễn Văn Hoàng Giang</v>
          </cell>
          <cell r="D311" t="str">
            <v>CN Đóng gói</v>
          </cell>
        </row>
        <row r="312">
          <cell r="B312" t="str">
            <v>CN1700</v>
          </cell>
          <cell r="C312" t="str">
            <v>Thạch Minh Thương</v>
          </cell>
          <cell r="D312" t="str">
            <v>CN Đóng gói</v>
          </cell>
        </row>
        <row r="313">
          <cell r="B313" t="str">
            <v>CN1710</v>
          </cell>
          <cell r="C313" t="str">
            <v>Nguyễn Thành Danh</v>
          </cell>
          <cell r="D313" t="str">
            <v>CN Đóng gói</v>
          </cell>
        </row>
        <row r="314">
          <cell r="B314" t="str">
            <v>CN1739</v>
          </cell>
          <cell r="C314" t="str">
            <v>Võ Anh Kiệt</v>
          </cell>
          <cell r="D314" t="str">
            <v>CN Đóng gói</v>
          </cell>
        </row>
        <row r="315">
          <cell r="B315" t="str">
            <v>CN1740</v>
          </cell>
          <cell r="C315" t="str">
            <v>Trần Văn Khá</v>
          </cell>
          <cell r="D315" t="str">
            <v>CN Đóng gói</v>
          </cell>
        </row>
        <row r="316">
          <cell r="B316" t="str">
            <v>CN1741</v>
          </cell>
          <cell r="C316" t="str">
            <v xml:space="preserve">Lương Văn Chung </v>
          </cell>
          <cell r="D316" t="str">
            <v>CN Đóng gói</v>
          </cell>
        </row>
        <row r="317">
          <cell r="B317" t="str">
            <v>CN1743</v>
          </cell>
          <cell r="C317" t="str">
            <v>Nguyễn Minh Kha</v>
          </cell>
          <cell r="D317" t="str">
            <v>CN Đóng gói</v>
          </cell>
        </row>
        <row r="318">
          <cell r="B318" t="str">
            <v>CN1747</v>
          </cell>
          <cell r="C318" t="str">
            <v>Giang Gia Cam</v>
          </cell>
          <cell r="D318" t="str">
            <v>CN Đóng gói</v>
          </cell>
        </row>
        <row r="319">
          <cell r="B319" t="str">
            <v>CN1754</v>
          </cell>
          <cell r="C319" t="str">
            <v>Phạm Bảo Kiệt</v>
          </cell>
          <cell r="D319" t="str">
            <v>CN Đóng gói</v>
          </cell>
        </row>
        <row r="320">
          <cell r="B320" t="str">
            <v>CN1755</v>
          </cell>
          <cell r="C320" t="str">
            <v>Huỳnh Văn Hoàng Đầy</v>
          </cell>
          <cell r="D320" t="str">
            <v>CN Đóng gói</v>
          </cell>
        </row>
        <row r="321">
          <cell r="C321" t="str">
            <v>EXTRUDER 3</v>
          </cell>
          <cell r="D321">
            <v>2</v>
          </cell>
        </row>
        <row r="322">
          <cell r="B322" t="str">
            <v>CN1112</v>
          </cell>
          <cell r="C322" t="str">
            <v>Đặng Văn Tí</v>
          </cell>
          <cell r="D322" t="str">
            <v>CNSX</v>
          </cell>
        </row>
        <row r="323">
          <cell r="B323" t="str">
            <v>CN1169</v>
          </cell>
          <cell r="C323" t="str">
            <v>Lý Văn Vỹ</v>
          </cell>
          <cell r="D323" t="str">
            <v>CNSX</v>
          </cell>
        </row>
        <row r="324">
          <cell r="C324" t="str">
            <v>ROPE 3</v>
          </cell>
          <cell r="D324">
            <v>6</v>
          </cell>
        </row>
        <row r="325">
          <cell r="B325" t="str">
            <v>CN0032</v>
          </cell>
          <cell r="C325" t="str">
            <v>Thạch Tững</v>
          </cell>
          <cell r="D325" t="str">
            <v>Tổ trưởng</v>
          </cell>
        </row>
        <row r="326">
          <cell r="B326" t="str">
            <v>CN0576</v>
          </cell>
          <cell r="C326" t="str">
            <v>Trương Thái Hoàng Phong</v>
          </cell>
          <cell r="D326" t="str">
            <v>CNSX</v>
          </cell>
        </row>
        <row r="327">
          <cell r="B327" t="str">
            <v>CN0766</v>
          </cell>
          <cell r="C327" t="str">
            <v>Tô Kim Hồng</v>
          </cell>
          <cell r="D327" t="str">
            <v>CNSX</v>
          </cell>
        </row>
        <row r="328">
          <cell r="B328" t="str">
            <v>CN1224</v>
          </cell>
          <cell r="C328" t="str">
            <v>Cao Mạnh Hùng</v>
          </cell>
          <cell r="D328" t="str">
            <v>CNSX</v>
          </cell>
        </row>
        <row r="329">
          <cell r="B329" t="str">
            <v>CN1321</v>
          </cell>
          <cell r="C329" t="str">
            <v>Lâm Giang Tồng</v>
          </cell>
          <cell r="D329" t="str">
            <v>CNSX</v>
          </cell>
        </row>
        <row r="330">
          <cell r="B330" t="str">
            <v>CN1299</v>
          </cell>
          <cell r="C330" t="str">
            <v>Cao Lâm Trung</v>
          </cell>
          <cell r="D330" t="str">
            <v>CNSX</v>
          </cell>
        </row>
        <row r="331">
          <cell r="C331" t="str">
            <v>SWIST F3</v>
          </cell>
          <cell r="D331">
            <v>2</v>
          </cell>
        </row>
        <row r="332">
          <cell r="B332" t="str">
            <v>CN0809</v>
          </cell>
          <cell r="C332" t="str">
            <v>Thạch Thị Ngọc Linh</v>
          </cell>
          <cell r="D332" t="str">
            <v>CNSX</v>
          </cell>
        </row>
        <row r="333">
          <cell r="B333" t="str">
            <v>CN0774</v>
          </cell>
          <cell r="C333" t="str">
            <v>Phạm Thị Ngân</v>
          </cell>
          <cell r="D333" t="str">
            <v>CNSX</v>
          </cell>
        </row>
        <row r="335">
          <cell r="C335" t="str">
            <v>Tp.HCM, ngày 17 tháng 6 năm 2025</v>
          </cell>
        </row>
        <row r="336">
          <cell r="C336" t="str">
            <v>Người Lập</v>
          </cell>
        </row>
        <row r="338">
          <cell r="B338" t="str">
            <v xml:space="preserve"> </v>
          </cell>
        </row>
        <row r="341">
          <cell r="C341" t="str">
            <v>Bùi Minh Vương</v>
          </cell>
        </row>
        <row r="369">
          <cell r="D369">
            <v>102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15">
          <cell r="AL115">
            <v>0</v>
          </cell>
        </row>
      </sheetData>
      <sheetData sheetId="22">
        <row r="231">
          <cell r="AN231">
            <v>3422.6666666666665</v>
          </cell>
        </row>
      </sheetData>
      <sheetData sheetId="23"/>
      <sheetData sheetId="24"/>
      <sheetData sheetId="25"/>
      <sheetData sheetId="26">
        <row r="5">
          <cell r="B5" t="str">
            <v>Mã NV</v>
          </cell>
          <cell r="C5" t="str">
            <v xml:space="preserve">CN bộ phận </v>
          </cell>
          <cell r="D5" t="str">
            <v>Ngày vào làm</v>
          </cell>
          <cell r="E5" t="str">
            <v>Chức vụ</v>
          </cell>
          <cell r="F5" t="str">
            <v>Thâm niên (tháng)</v>
          </cell>
          <cell r="G5" t="str">
            <v>Thưởng</v>
          </cell>
        </row>
        <row r="6">
          <cell r="C6" t="str">
            <v>BAN TỔNG GIÁM ĐỐC</v>
          </cell>
        </row>
        <row r="8">
          <cell r="B8" t="str">
            <v>NV0901</v>
          </cell>
          <cell r="C8" t="str">
            <v>Nguyễn Trung Kiên</v>
          </cell>
          <cell r="D8">
            <v>44902</v>
          </cell>
          <cell r="E8" t="str">
            <v>P.TGĐ</v>
          </cell>
          <cell r="F8">
            <v>20</v>
          </cell>
        </row>
        <row r="9">
          <cell r="C9" t="str">
            <v>HÀNH CHÍNH NHÂN SỰ + HSE</v>
          </cell>
        </row>
        <row r="10">
          <cell r="B10" t="str">
            <v>NV0011</v>
          </cell>
          <cell r="C10" t="str">
            <v>Lê Thành Danh</v>
          </cell>
          <cell r="D10">
            <v>39609</v>
          </cell>
          <cell r="E10" t="str">
            <v>Nhân viên</v>
          </cell>
          <cell r="F10">
            <v>194</v>
          </cell>
        </row>
        <row r="11">
          <cell r="B11" t="str">
            <v>NV0039</v>
          </cell>
          <cell r="C11" t="str">
            <v>Lê Thanh Phong</v>
          </cell>
          <cell r="D11">
            <v>42593</v>
          </cell>
          <cell r="E11" t="str">
            <v>Nhân viên</v>
          </cell>
          <cell r="F11">
            <v>96</v>
          </cell>
        </row>
        <row r="12">
          <cell r="B12" t="str">
            <v>NV0009</v>
          </cell>
          <cell r="C12" t="str">
            <v>Nguyễn Thị Liên</v>
          </cell>
          <cell r="D12">
            <v>40817</v>
          </cell>
          <cell r="E12" t="str">
            <v>Nhân viên</v>
          </cell>
          <cell r="F12">
            <v>155</v>
          </cell>
        </row>
        <row r="13">
          <cell r="B13" t="str">
            <v>NV1287</v>
          </cell>
          <cell r="C13" t="str">
            <v>Nguyễn Thị Thanh Nhàn</v>
          </cell>
          <cell r="D13">
            <v>45509</v>
          </cell>
          <cell r="E13" t="str">
            <v>GĐ</v>
          </cell>
          <cell r="F13">
            <v>0</v>
          </cell>
        </row>
        <row r="14">
          <cell r="B14" t="str">
            <v>NV1234</v>
          </cell>
          <cell r="C14" t="str">
            <v>Huỳnh Minh Nguyệt</v>
          </cell>
          <cell r="D14">
            <v>45429</v>
          </cell>
          <cell r="E14" t="str">
            <v>Nhân viên</v>
          </cell>
          <cell r="F14">
            <v>3</v>
          </cell>
        </row>
        <row r="15">
          <cell r="C15" t="str">
            <v>CÔNG NGHỆ THÔNG TIN</v>
          </cell>
        </row>
        <row r="16">
          <cell r="B16" t="str">
            <v>NV0010</v>
          </cell>
          <cell r="C16" t="str">
            <v>Nguyễn Trường Trung</v>
          </cell>
          <cell r="D16">
            <v>41932</v>
          </cell>
          <cell r="E16" t="str">
            <v>Nhân viên</v>
          </cell>
          <cell r="F16">
            <v>118</v>
          </cell>
        </row>
        <row r="17">
          <cell r="B17" t="str">
            <v>NV1278</v>
          </cell>
          <cell r="C17" t="str">
            <v>Trần Hoàng Hải</v>
          </cell>
          <cell r="D17">
            <v>45495</v>
          </cell>
          <cell r="E17" t="str">
            <v>GĐ</v>
          </cell>
          <cell r="F17">
            <v>1</v>
          </cell>
        </row>
        <row r="18">
          <cell r="B18" t="str">
            <v>NV1223</v>
          </cell>
          <cell r="C18" t="str">
            <v>Lê Trần Long Qui</v>
          </cell>
          <cell r="D18">
            <v>45414</v>
          </cell>
          <cell r="E18" t="str">
            <v>Nhân viên</v>
          </cell>
          <cell r="F18">
            <v>4</v>
          </cell>
        </row>
        <row r="19">
          <cell r="C19" t="str">
            <v>KẾ TOÁN</v>
          </cell>
        </row>
        <row r="20">
          <cell r="B20" t="str">
            <v>NV1083</v>
          </cell>
          <cell r="C20" t="str">
            <v>Hoàng Thị Linh Chi</v>
          </cell>
          <cell r="D20">
            <v>45337</v>
          </cell>
          <cell r="E20" t="str">
            <v>TP</v>
          </cell>
          <cell r="F20">
            <v>6</v>
          </cell>
        </row>
        <row r="21">
          <cell r="B21" t="str">
            <v>NV0003</v>
          </cell>
          <cell r="C21" t="str">
            <v>Trần Thị Mai Duyên</v>
          </cell>
          <cell r="D21">
            <v>40441</v>
          </cell>
          <cell r="E21" t="str">
            <v>Nhân viên</v>
          </cell>
          <cell r="F21">
            <v>167</v>
          </cell>
        </row>
        <row r="22">
          <cell r="B22" t="str">
            <v>NV1233</v>
          </cell>
          <cell r="C22" t="str">
            <v>Nguyễn Quang Minh Khoa</v>
          </cell>
          <cell r="D22">
            <v>45420</v>
          </cell>
          <cell r="E22" t="str">
            <v>Nhân viên</v>
          </cell>
          <cell r="F22">
            <v>3</v>
          </cell>
        </row>
        <row r="23">
          <cell r="B23" t="str">
            <v>NV1241</v>
          </cell>
          <cell r="C23" t="str">
            <v>Tô Thị Mỹ Duyên</v>
          </cell>
          <cell r="D23">
            <v>45418</v>
          </cell>
          <cell r="E23" t="str">
            <v>Nhân viên</v>
          </cell>
          <cell r="F23">
            <v>3</v>
          </cell>
        </row>
        <row r="24">
          <cell r="B24" t="str">
            <v>NV1275</v>
          </cell>
          <cell r="C24" t="str">
            <v>Trần Đức Thiên Phú</v>
          </cell>
          <cell r="D24">
            <v>45484</v>
          </cell>
          <cell r="E24" t="str">
            <v>Nhân viên</v>
          </cell>
          <cell r="F24">
            <v>1</v>
          </cell>
        </row>
        <row r="25">
          <cell r="C25" t="str">
            <v>KINH DOANH QUỐC TẾ</v>
          </cell>
        </row>
        <row r="26">
          <cell r="B26" t="str">
            <v>NV0720</v>
          </cell>
          <cell r="C26" t="str">
            <v>Phạm Vũ Nhã Trúc</v>
          </cell>
          <cell r="D26">
            <v>44364</v>
          </cell>
          <cell r="E26" t="str">
            <v>Nhân viên</v>
          </cell>
          <cell r="F26">
            <v>38</v>
          </cell>
        </row>
        <row r="27">
          <cell r="B27" t="str">
            <v>NV0994</v>
          </cell>
          <cell r="C27" t="str">
            <v>Nguyễn Lê Hằng Nga</v>
          </cell>
          <cell r="D27">
            <v>45110</v>
          </cell>
          <cell r="E27" t="str">
            <v>Nhân viên</v>
          </cell>
          <cell r="F27">
            <v>13</v>
          </cell>
        </row>
        <row r="28">
          <cell r="B28" t="str">
            <v>NV1029</v>
          </cell>
          <cell r="C28" t="str">
            <v>Ngô Thị Hóa</v>
          </cell>
          <cell r="D28">
            <v>45141</v>
          </cell>
          <cell r="E28" t="str">
            <v>Nhân viên</v>
          </cell>
          <cell r="F28">
            <v>12</v>
          </cell>
        </row>
        <row r="29">
          <cell r="B29" t="str">
            <v>NV1063</v>
          </cell>
          <cell r="C29" t="str">
            <v>Nguyễn Nhật Thành</v>
          </cell>
          <cell r="D29">
            <v>45278</v>
          </cell>
          <cell r="E29" t="str">
            <v>Nhân viên</v>
          </cell>
          <cell r="F29">
            <v>8</v>
          </cell>
        </row>
        <row r="30">
          <cell r="C30" t="str">
            <v>PHÒNG MARKETING</v>
          </cell>
        </row>
        <row r="31">
          <cell r="B31" t="str">
            <v>NV0698</v>
          </cell>
          <cell r="C31" t="str">
            <v>Nguyễn Thị Thanh Ngân</v>
          </cell>
          <cell r="D31">
            <v>44550</v>
          </cell>
          <cell r="E31" t="str">
            <v>Nhân viên</v>
          </cell>
          <cell r="F31">
            <v>32</v>
          </cell>
        </row>
        <row r="32">
          <cell r="B32" t="str">
            <v>NV0699</v>
          </cell>
          <cell r="C32" t="str">
            <v>Nguyễn Đức Quang Minh</v>
          </cell>
          <cell r="D32">
            <v>44280</v>
          </cell>
          <cell r="E32" t="str">
            <v>Nhân viên</v>
          </cell>
          <cell r="F32">
            <v>41</v>
          </cell>
        </row>
        <row r="33">
          <cell r="C33" t="str">
            <v>Trợ lý và thư ký KD</v>
          </cell>
        </row>
        <row r="34">
          <cell r="B34" t="str">
            <v>NV0419</v>
          </cell>
          <cell r="C34" t="str">
            <v>Đỗ Thị Ngàn Thương</v>
          </cell>
          <cell r="D34">
            <v>43518</v>
          </cell>
          <cell r="E34" t="str">
            <v>Nhân viên</v>
          </cell>
          <cell r="F34">
            <v>66</v>
          </cell>
        </row>
        <row r="35">
          <cell r="B35" t="str">
            <v>NV1077</v>
          </cell>
          <cell r="C35" t="str">
            <v>Nguyễn Ngọc Tú</v>
          </cell>
          <cell r="D35">
            <v>45306</v>
          </cell>
          <cell r="E35" t="str">
            <v>Nhân viên</v>
          </cell>
          <cell r="F35">
            <v>7</v>
          </cell>
        </row>
        <row r="36">
          <cell r="C36" t="str">
            <v>KINH DOANH NỘI ĐỊA</v>
          </cell>
        </row>
        <row r="37">
          <cell r="B37" t="str">
            <v>NV0792</v>
          </cell>
          <cell r="C37" t="str">
            <v>Hà Thảo Vy</v>
          </cell>
          <cell r="D37">
            <v>44621</v>
          </cell>
          <cell r="E37" t="str">
            <v>Nhân viên</v>
          </cell>
          <cell r="F37">
            <v>30</v>
          </cell>
        </row>
        <row r="38">
          <cell r="B38" t="str">
            <v>NV0639</v>
          </cell>
          <cell r="C38" t="str">
            <v xml:space="preserve">Hồ Nguyễn Bảo Trâm </v>
          </cell>
          <cell r="D38">
            <v>44036</v>
          </cell>
          <cell r="E38" t="str">
            <v>Nhân viên</v>
          </cell>
          <cell r="F38">
            <v>49</v>
          </cell>
        </row>
        <row r="39">
          <cell r="B39" t="str">
            <v>NV0904</v>
          </cell>
          <cell r="C39" t="str">
            <v>Trần Quang Dương</v>
          </cell>
          <cell r="D39">
            <v>44929</v>
          </cell>
          <cell r="E39" t="str">
            <v>TP</v>
          </cell>
          <cell r="F39">
            <v>19</v>
          </cell>
        </row>
        <row r="40">
          <cell r="B40" t="str">
            <v>NV0961</v>
          </cell>
          <cell r="C40" t="str">
            <v>Đoàn Văn Mạnh</v>
          </cell>
          <cell r="D40">
            <v>45054</v>
          </cell>
          <cell r="E40" t="str">
            <v>Nhân viên</v>
          </cell>
          <cell r="F40">
            <v>15</v>
          </cell>
        </row>
        <row r="41">
          <cell r="C41" t="str">
            <v>PHÒNG CUNG ỨNG</v>
          </cell>
        </row>
        <row r="42">
          <cell r="B42" t="str">
            <v>NV0017</v>
          </cell>
          <cell r="C42" t="str">
            <v>Trương Thị Thảo Sương</v>
          </cell>
          <cell r="D42">
            <v>42208</v>
          </cell>
          <cell r="E42" t="str">
            <v>Nhân viên</v>
          </cell>
          <cell r="F42">
            <v>109</v>
          </cell>
        </row>
        <row r="43">
          <cell r="B43" t="str">
            <v>NV1270</v>
          </cell>
          <cell r="C43" t="str">
            <v>Nguyễn Thị Trúc Huy</v>
          </cell>
          <cell r="D43">
            <v>45474</v>
          </cell>
          <cell r="E43" t="str">
            <v>Nhân viên</v>
          </cell>
          <cell r="F43">
            <v>2</v>
          </cell>
        </row>
        <row r="44">
          <cell r="B44" t="str">
            <v>NV0963</v>
          </cell>
          <cell r="C44" t="str">
            <v>Nguyển Thị Thu Hiền</v>
          </cell>
          <cell r="D44">
            <v>45063</v>
          </cell>
          <cell r="E44" t="str">
            <v>Nhân viên</v>
          </cell>
          <cell r="F44">
            <v>15</v>
          </cell>
        </row>
        <row r="45">
          <cell r="B45" t="str">
            <v>NV0624</v>
          </cell>
          <cell r="C45" t="str">
            <v>Từ Thanh Hậu</v>
          </cell>
          <cell r="D45">
            <v>43987</v>
          </cell>
          <cell r="E45" t="str">
            <v>Nhân viên</v>
          </cell>
          <cell r="F45">
            <v>50</v>
          </cell>
        </row>
        <row r="46">
          <cell r="B46" t="str">
            <v>NV0043</v>
          </cell>
          <cell r="C46" t="str">
            <v>Hồ Thị Ngọc Trang</v>
          </cell>
          <cell r="D46">
            <v>42644.689032442133</v>
          </cell>
          <cell r="E46" t="str">
            <v>Nhân viên</v>
          </cell>
          <cell r="F46">
            <v>95</v>
          </cell>
        </row>
        <row r="47">
          <cell r="B47" t="str">
            <v>NV1235</v>
          </cell>
          <cell r="C47" t="str">
            <v>Huỳnh Chí Nguyện</v>
          </cell>
          <cell r="D47">
            <v>45427</v>
          </cell>
          <cell r="E47" t="str">
            <v>Nhân viên</v>
          </cell>
          <cell r="F47">
            <v>3</v>
          </cell>
        </row>
        <row r="48">
          <cell r="B48" t="str">
            <v>NV1165</v>
          </cell>
          <cell r="C48" t="str">
            <v>Y Nghe Knul</v>
          </cell>
          <cell r="D48">
            <v>45378</v>
          </cell>
          <cell r="E48" t="str">
            <v>TP</v>
          </cell>
          <cell r="F48">
            <v>5</v>
          </cell>
        </row>
        <row r="49">
          <cell r="B49" t="str">
            <v>NV0005</v>
          </cell>
          <cell r="C49" t="str">
            <v>Phạm Văn Trọng</v>
          </cell>
          <cell r="D49">
            <v>39184</v>
          </cell>
          <cell r="E49" t="str">
            <v>Nhân viên</v>
          </cell>
          <cell r="F49">
            <v>208</v>
          </cell>
        </row>
        <row r="50">
          <cell r="B50" t="str">
            <v>NV1172</v>
          </cell>
          <cell r="C50" t="str">
            <v>Huỳnh Ngọc Tuấn</v>
          </cell>
          <cell r="D50">
            <v>45380</v>
          </cell>
          <cell r="E50" t="str">
            <v>Nhân viên</v>
          </cell>
          <cell r="F50">
            <v>5</v>
          </cell>
        </row>
        <row r="51">
          <cell r="C51" t="str">
            <v>PHÒNG KẾ HOẠCH</v>
          </cell>
        </row>
        <row r="52">
          <cell r="B52" t="str">
            <v>NV0028</v>
          </cell>
          <cell r="C52" t="str">
            <v>Hồ Trọng Hùng</v>
          </cell>
          <cell r="D52">
            <v>42149</v>
          </cell>
          <cell r="E52" t="str">
            <v>Nhân viên</v>
          </cell>
          <cell r="F52">
            <v>111</v>
          </cell>
        </row>
        <row r="53">
          <cell r="B53" t="str">
            <v>NV1271</v>
          </cell>
          <cell r="C53" t="str">
            <v>Nguyễn Hoa Kim Chương</v>
          </cell>
          <cell r="D53">
            <v>45474</v>
          </cell>
          <cell r="E53" t="str">
            <v>Nhân viên</v>
          </cell>
          <cell r="F53">
            <v>2</v>
          </cell>
        </row>
        <row r="54">
          <cell r="B54" t="str">
            <v>NV0916</v>
          </cell>
          <cell r="C54" t="str">
            <v>Nguyển Thị Nẩn</v>
          </cell>
          <cell r="D54">
            <v>44984</v>
          </cell>
          <cell r="E54" t="str">
            <v>TP</v>
          </cell>
          <cell r="F54">
            <v>18</v>
          </cell>
        </row>
        <row r="55">
          <cell r="B55" t="str">
            <v>NV1122</v>
          </cell>
          <cell r="C55" t="str">
            <v>Bùi Võ Thanh Ngân</v>
          </cell>
          <cell r="D55">
            <v>45357</v>
          </cell>
          <cell r="E55" t="str">
            <v>Nhân viên</v>
          </cell>
          <cell r="F55">
            <v>5</v>
          </cell>
        </row>
        <row r="56">
          <cell r="C56" t="str">
            <v>VĂN PHÒNG SẢN XUẤT</v>
          </cell>
        </row>
        <row r="57">
          <cell r="B57" t="str">
            <v>NV0019</v>
          </cell>
          <cell r="C57" t="str">
            <v>Phạm Văn Doãn</v>
          </cell>
          <cell r="D57">
            <v>39221</v>
          </cell>
          <cell r="E57" t="str">
            <v>Nhân viên</v>
          </cell>
          <cell r="F57">
            <v>207</v>
          </cell>
        </row>
        <row r="58">
          <cell r="B58" t="str">
            <v>NV1062</v>
          </cell>
          <cell r="C58" t="str">
            <v>Lê Thông</v>
          </cell>
          <cell r="D58">
            <v>45278</v>
          </cell>
          <cell r="E58" t="str">
            <v>Nhân viên</v>
          </cell>
          <cell r="F58">
            <v>8</v>
          </cell>
        </row>
        <row r="59">
          <cell r="B59" t="str">
            <v>NV0738</v>
          </cell>
          <cell r="C59" t="str">
            <v>Phạm Thành Luân</v>
          </cell>
          <cell r="D59">
            <v>44501</v>
          </cell>
          <cell r="E59" t="str">
            <v>Nhân viên</v>
          </cell>
          <cell r="F59">
            <v>34</v>
          </cell>
        </row>
        <row r="60">
          <cell r="B60" t="str">
            <v>NV0027</v>
          </cell>
          <cell r="C60" t="str">
            <v>Nguyễn Công Uẩn</v>
          </cell>
          <cell r="D60">
            <v>42086</v>
          </cell>
          <cell r="E60" t="str">
            <v>Nhân viên</v>
          </cell>
          <cell r="F60">
            <v>113</v>
          </cell>
        </row>
        <row r="61">
          <cell r="B61" t="str">
            <v>NV0771</v>
          </cell>
          <cell r="C61" t="str">
            <v>Nguyễn Thị Yến Nhi</v>
          </cell>
          <cell r="D61">
            <v>44623</v>
          </cell>
          <cell r="E61" t="str">
            <v>Nhân viên</v>
          </cell>
          <cell r="F61">
            <v>29</v>
          </cell>
        </row>
        <row r="62">
          <cell r="B62" t="str">
            <v>NV1057</v>
          </cell>
          <cell r="C62" t="str">
            <v>Lê Thành Nhân</v>
          </cell>
          <cell r="D62">
            <v>45254</v>
          </cell>
          <cell r="E62" t="str">
            <v>GĐNM</v>
          </cell>
          <cell r="F62">
            <v>9</v>
          </cell>
        </row>
        <row r="63">
          <cell r="B63" t="str">
            <v>NV1193</v>
          </cell>
          <cell r="C63" t="str">
            <v>Vũ Hoàng Phương Loan</v>
          </cell>
          <cell r="D63">
            <v>45390</v>
          </cell>
          <cell r="E63" t="str">
            <v>Nhân viên</v>
          </cell>
          <cell r="F63">
            <v>4</v>
          </cell>
        </row>
        <row r="64">
          <cell r="B64" t="str">
            <v>NV1254</v>
          </cell>
          <cell r="C64" t="str">
            <v>Nguyễn Văn Thương</v>
          </cell>
          <cell r="D64">
            <v>45448</v>
          </cell>
          <cell r="E64" t="str">
            <v>Nhân viên</v>
          </cell>
          <cell r="F64">
            <v>2</v>
          </cell>
        </row>
        <row r="65">
          <cell r="B65" t="str">
            <v>NV1294</v>
          </cell>
          <cell r="C65" t="str">
            <v>Ngô Trọng Quyết</v>
          </cell>
          <cell r="D65">
            <v>45530</v>
          </cell>
          <cell r="E65" t="str">
            <v>TP</v>
          </cell>
          <cell r="F65">
            <v>0</v>
          </cell>
        </row>
        <row r="66">
          <cell r="B66" t="str">
            <v>NV1142</v>
          </cell>
          <cell r="C66" t="str">
            <v>Phạm Thị Mai Hồng</v>
          </cell>
          <cell r="D66">
            <v>45366</v>
          </cell>
          <cell r="E66" t="str">
            <v>Nhân viên</v>
          </cell>
          <cell r="F66">
            <v>5</v>
          </cell>
        </row>
        <row r="67">
          <cell r="B67" t="str">
            <v>NV1159</v>
          </cell>
          <cell r="C67" t="str">
            <v>Trần Thị Thanh Chương</v>
          </cell>
          <cell r="D67">
            <v>45377</v>
          </cell>
          <cell r="E67" t="str">
            <v>Nhân viên</v>
          </cell>
          <cell r="F67">
            <v>5</v>
          </cell>
        </row>
        <row r="68">
          <cell r="C68" t="str">
            <v>P.NC &amp; ĐÀO TẠO HTCL</v>
          </cell>
        </row>
        <row r="69">
          <cell r="B69" t="str">
            <v>NV0863</v>
          </cell>
          <cell r="C69" t="str">
            <v>Đỗ Thị Kim Phượng</v>
          </cell>
          <cell r="D69">
            <v>44774</v>
          </cell>
          <cell r="E69" t="str">
            <v>Nhân viên</v>
          </cell>
          <cell r="F69">
            <v>25</v>
          </cell>
        </row>
        <row r="70">
          <cell r="B70" t="str">
            <v>NV0977</v>
          </cell>
          <cell r="C70" t="str">
            <v>Swapnil Patil</v>
          </cell>
          <cell r="D70">
            <v>45089</v>
          </cell>
          <cell r="E70" t="str">
            <v>Nhân viên</v>
          </cell>
          <cell r="F70">
            <v>14</v>
          </cell>
        </row>
        <row r="71">
          <cell r="B71" t="str">
            <v>NV1272</v>
          </cell>
          <cell r="C71" t="str">
            <v>Nguyễn Thị Quyên</v>
          </cell>
          <cell r="D71">
            <v>45474</v>
          </cell>
          <cell r="E71" t="str">
            <v>Nhân viên</v>
          </cell>
          <cell r="F71">
            <v>2</v>
          </cell>
        </row>
        <row r="72">
          <cell r="B72" t="str">
            <v>NV1160</v>
          </cell>
          <cell r="C72" t="str">
            <v>Anurag SaRin</v>
          </cell>
          <cell r="D72">
            <v>45355</v>
          </cell>
          <cell r="E72" t="str">
            <v>TP</v>
          </cell>
          <cell r="F72">
            <v>5</v>
          </cell>
        </row>
        <row r="73">
          <cell r="C73" t="str">
            <v>PHÒNG QC &amp; RD</v>
          </cell>
        </row>
        <row r="74">
          <cell r="B74" t="str">
            <v>NV0020</v>
          </cell>
          <cell r="C74" t="str">
            <v>Trịnh Văn Dũng</v>
          </cell>
          <cell r="D74">
            <v>39167</v>
          </cell>
          <cell r="E74" t="str">
            <v>TP</v>
          </cell>
          <cell r="F74">
            <v>209</v>
          </cell>
        </row>
        <row r="75">
          <cell r="B75" t="str">
            <v>NV1289</v>
          </cell>
          <cell r="C75" t="str">
            <v>Trần Thanh Hải</v>
          </cell>
          <cell r="D75">
            <v>45517</v>
          </cell>
          <cell r="E75" t="str">
            <v>GĐ</v>
          </cell>
          <cell r="F75">
            <v>0</v>
          </cell>
        </row>
        <row r="76">
          <cell r="B76" t="str">
            <v>NV0957</v>
          </cell>
          <cell r="C76" t="str">
            <v>Trần Thị Xuân Thùy</v>
          </cell>
          <cell r="D76">
            <v>45035</v>
          </cell>
          <cell r="E76" t="str">
            <v>Nhân viên</v>
          </cell>
          <cell r="F76">
            <v>16</v>
          </cell>
        </row>
        <row r="77">
          <cell r="B77" t="str">
            <v>NV0024</v>
          </cell>
          <cell r="C77" t="str">
            <v>Nguyễn Thanh Sang</v>
          </cell>
          <cell r="D77">
            <v>41792</v>
          </cell>
          <cell r="E77" t="str">
            <v>Nhân viên</v>
          </cell>
          <cell r="F77">
            <v>123</v>
          </cell>
        </row>
        <row r="78">
          <cell r="B78" t="str">
            <v>NV0933</v>
          </cell>
          <cell r="C78" t="str">
            <v>Phùng Thị Thúy Quỳnh</v>
          </cell>
          <cell r="D78">
            <v>44994</v>
          </cell>
          <cell r="E78" t="str">
            <v>Nhân viên</v>
          </cell>
          <cell r="F78">
            <v>17</v>
          </cell>
        </row>
        <row r="79">
          <cell r="B79" t="str">
            <v>NV1099</v>
          </cell>
          <cell r="C79" t="str">
            <v>Trần Ngọc Viễn</v>
          </cell>
          <cell r="D79">
            <v>45349</v>
          </cell>
          <cell r="E79" t="str">
            <v>Nhân viên</v>
          </cell>
          <cell r="F79">
            <v>6</v>
          </cell>
        </row>
        <row r="80">
          <cell r="C80" t="str">
            <v>PHÒNG CƠ ĐIỆN</v>
          </cell>
        </row>
        <row r="81">
          <cell r="B81" t="str">
            <v>NV1049</v>
          </cell>
          <cell r="C81" t="str">
            <v>Nguyễn Tuấn Hiệp</v>
          </cell>
          <cell r="D81">
            <v>45208</v>
          </cell>
          <cell r="E81" t="str">
            <v>Nhân viên</v>
          </cell>
          <cell r="F81">
            <v>10</v>
          </cell>
        </row>
        <row r="82">
          <cell r="B82" t="str">
            <v>NV0529</v>
          </cell>
          <cell r="C82" t="str">
            <v>Huỳnh Quan</v>
          </cell>
          <cell r="D82">
            <v>43801</v>
          </cell>
          <cell r="E82" t="str">
            <v>Nhân viên</v>
          </cell>
          <cell r="F82">
            <v>57</v>
          </cell>
        </row>
        <row r="83">
          <cell r="B83" t="str">
            <v>NV0032</v>
          </cell>
          <cell r="C83" t="str">
            <v>Huỳnh Ngọc Đến</v>
          </cell>
          <cell r="D83">
            <v>39387</v>
          </cell>
          <cell r="E83" t="str">
            <v>Nhân viên</v>
          </cell>
          <cell r="F83">
            <v>202</v>
          </cell>
        </row>
        <row r="84">
          <cell r="B84" t="str">
            <v>NV0034</v>
          </cell>
          <cell r="C84" t="str">
            <v>Huỳnh Ngọc Khánh</v>
          </cell>
          <cell r="D84">
            <v>39024</v>
          </cell>
          <cell r="E84" t="str">
            <v>PP</v>
          </cell>
          <cell r="F84">
            <v>213</v>
          </cell>
        </row>
        <row r="85">
          <cell r="B85" t="str">
            <v>NV0036</v>
          </cell>
          <cell r="C85" t="str">
            <v>Phạm Quốc Tuấn</v>
          </cell>
          <cell r="D85">
            <v>40765</v>
          </cell>
          <cell r="E85" t="str">
            <v>Nhân viên</v>
          </cell>
          <cell r="F85">
            <v>156</v>
          </cell>
        </row>
        <row r="86">
          <cell r="B86" t="str">
            <v>NV0038</v>
          </cell>
          <cell r="C86" t="str">
            <v>Lê Hoàng Việt</v>
          </cell>
          <cell r="D86">
            <v>41863</v>
          </cell>
          <cell r="E86" t="str">
            <v>Nhân viên</v>
          </cell>
          <cell r="F86">
            <v>120</v>
          </cell>
        </row>
        <row r="87">
          <cell r="B87" t="str">
            <v>NV0584</v>
          </cell>
          <cell r="C87" t="str">
            <v>Phùng Văn Quyền</v>
          </cell>
          <cell r="D87">
            <v>43923</v>
          </cell>
          <cell r="E87" t="str">
            <v>Nhân viên</v>
          </cell>
          <cell r="F87">
            <v>53</v>
          </cell>
        </row>
        <row r="88">
          <cell r="B88" t="str">
            <v>NV0603</v>
          </cell>
          <cell r="C88" t="str">
            <v xml:space="preserve">Hoàng Phi Hải </v>
          </cell>
          <cell r="D88">
            <v>43969</v>
          </cell>
          <cell r="E88" t="str">
            <v>Nhân viên</v>
          </cell>
          <cell r="F88">
            <v>51</v>
          </cell>
        </row>
        <row r="89">
          <cell r="B89" t="str">
            <v>NV0622</v>
          </cell>
          <cell r="C89" t="str">
            <v xml:space="preserve">Lê Trọng Tân </v>
          </cell>
          <cell r="D89">
            <v>43983</v>
          </cell>
          <cell r="E89" t="str">
            <v>Nhân viên</v>
          </cell>
          <cell r="F89">
            <v>51</v>
          </cell>
        </row>
        <row r="90">
          <cell r="B90" t="str">
            <v>NV0643</v>
          </cell>
          <cell r="C90" t="str">
            <v xml:space="preserve">Nguyễn Văn Trắng </v>
          </cell>
          <cell r="D90">
            <v>44053</v>
          </cell>
          <cell r="E90" t="str">
            <v>Nhân viên</v>
          </cell>
          <cell r="F90">
            <v>48</v>
          </cell>
        </row>
        <row r="91">
          <cell r="B91" t="str">
            <v>NV0917</v>
          </cell>
          <cell r="C91" t="str">
            <v>Hà Công Hậu</v>
          </cell>
          <cell r="D91">
            <v>44984</v>
          </cell>
          <cell r="E91" t="str">
            <v>Nhân viên</v>
          </cell>
          <cell r="F91">
            <v>18</v>
          </cell>
        </row>
        <row r="92">
          <cell r="B92" t="str">
            <v>NV1028</v>
          </cell>
          <cell r="C92" t="str">
            <v>Nguyễn Văn Doãn</v>
          </cell>
          <cell r="D92">
            <v>45139</v>
          </cell>
          <cell r="E92" t="str">
            <v>Nhân viên</v>
          </cell>
          <cell r="F92">
            <v>13</v>
          </cell>
        </row>
        <row r="93">
          <cell r="B93" t="str">
            <v>NV1238</v>
          </cell>
          <cell r="C93" t="str">
            <v>Nguyễn Sĩ Uyên</v>
          </cell>
          <cell r="D93">
            <v>45432</v>
          </cell>
          <cell r="E93" t="str">
            <v>Nhân viên</v>
          </cell>
          <cell r="F93">
            <v>3</v>
          </cell>
        </row>
        <row r="94">
          <cell r="B94" t="str">
            <v>NV1239</v>
          </cell>
          <cell r="C94" t="str">
            <v>Lê Đình Nam</v>
          </cell>
          <cell r="D94">
            <v>45432</v>
          </cell>
          <cell r="E94" t="str">
            <v>Nhân viên</v>
          </cell>
          <cell r="F94">
            <v>3</v>
          </cell>
        </row>
        <row r="95">
          <cell r="B95" t="str">
            <v>NV1104</v>
          </cell>
          <cell r="C95" t="str">
            <v>Lê Trung Hiếu</v>
          </cell>
          <cell r="D95">
            <v>45352</v>
          </cell>
          <cell r="E95" t="str">
            <v>TP</v>
          </cell>
          <cell r="F95">
            <v>6</v>
          </cell>
        </row>
        <row r="96">
          <cell r="B96" t="str">
            <v xml:space="preserve">NV1145 </v>
          </cell>
          <cell r="C96" t="str">
            <v>Trương Quang Phơn</v>
          </cell>
          <cell r="D96">
            <v>45369</v>
          </cell>
          <cell r="E96" t="str">
            <v>Nhân viên</v>
          </cell>
          <cell r="F96">
            <v>5</v>
          </cell>
        </row>
        <row r="97">
          <cell r="C97" t="str">
            <v>Trưởng ca + Nhập liệu</v>
          </cell>
        </row>
        <row r="98">
          <cell r="B98" t="str">
            <v>CN1250</v>
          </cell>
          <cell r="C98" t="str">
            <v>Nguyễn Thị Thúy Quyên</v>
          </cell>
          <cell r="D98">
            <v>45446</v>
          </cell>
          <cell r="E98" t="str">
            <v>Nhập liệu</v>
          </cell>
          <cell r="F98">
            <v>2</v>
          </cell>
        </row>
        <row r="99">
          <cell r="B99" t="str">
            <v>CN0964</v>
          </cell>
          <cell r="C99" t="str">
            <v>Vi Thị Phượng</v>
          </cell>
          <cell r="D99">
            <v>45068</v>
          </cell>
          <cell r="E99" t="str">
            <v>Nhập liệu</v>
          </cell>
          <cell r="F99">
            <v>15</v>
          </cell>
        </row>
        <row r="100">
          <cell r="B100" t="str">
            <v>CN0960</v>
          </cell>
          <cell r="C100" t="str">
            <v>Lê Thanh Quang</v>
          </cell>
          <cell r="D100">
            <v>45049</v>
          </cell>
          <cell r="E100" t="str">
            <v>Nhập liệu</v>
          </cell>
          <cell r="F100">
            <v>15</v>
          </cell>
        </row>
        <row r="101">
          <cell r="B101" t="str">
            <v>CN1051</v>
          </cell>
          <cell r="C101" t="str">
            <v>Phan Văn Lượng</v>
          </cell>
          <cell r="D101">
            <v>45236</v>
          </cell>
          <cell r="E101" t="str">
            <v>Trưởng ca</v>
          </cell>
          <cell r="F101">
            <v>9</v>
          </cell>
        </row>
        <row r="102">
          <cell r="C102" t="str">
            <v>TÀI XẾ +  PHỤ KHO SC</v>
          </cell>
        </row>
        <row r="103">
          <cell r="B103" t="str">
            <v>CN0352</v>
          </cell>
          <cell r="C103" t="str">
            <v>Sơn Đi</v>
          </cell>
          <cell r="D103">
            <v>41682</v>
          </cell>
          <cell r="E103" t="str">
            <v>CNSX</v>
          </cell>
          <cell r="F103">
            <v>126</v>
          </cell>
        </row>
        <row r="104">
          <cell r="B104" t="str">
            <v>CN0354</v>
          </cell>
          <cell r="C104" t="str">
            <v>Lê Thanh Chất</v>
          </cell>
          <cell r="D104">
            <v>43335</v>
          </cell>
          <cell r="E104" t="str">
            <v>CNSX</v>
          </cell>
          <cell r="F104">
            <v>72</v>
          </cell>
        </row>
        <row r="105">
          <cell r="B105" t="str">
            <v>CN0254</v>
          </cell>
          <cell r="C105" t="str">
            <v>Trần Khắc Hải</v>
          </cell>
          <cell r="D105">
            <v>43178</v>
          </cell>
          <cell r="E105" t="str">
            <v>CNSX</v>
          </cell>
          <cell r="F105">
            <v>77</v>
          </cell>
        </row>
        <row r="106">
          <cell r="B106" t="str">
            <v>CN0488</v>
          </cell>
          <cell r="C106" t="str">
            <v>Hứa Cẩm Minh Tâm</v>
          </cell>
          <cell r="D106">
            <v>43673</v>
          </cell>
          <cell r="E106" t="str">
            <v>CNSX</v>
          </cell>
          <cell r="F106">
            <v>61</v>
          </cell>
        </row>
        <row r="107">
          <cell r="B107" t="str">
            <v>CN1226</v>
          </cell>
          <cell r="C107" t="str">
            <v>Lý Thành Vươn</v>
          </cell>
          <cell r="D107">
            <v>45415</v>
          </cell>
          <cell r="E107" t="str">
            <v>CNSX</v>
          </cell>
          <cell r="F107">
            <v>3</v>
          </cell>
        </row>
        <row r="108">
          <cell r="B108" t="str">
            <v>CN1080</v>
          </cell>
          <cell r="C108" t="str">
            <v>Lê Văn Giỏi</v>
          </cell>
          <cell r="D108">
            <v>45323</v>
          </cell>
          <cell r="E108" t="str">
            <v>CNSX</v>
          </cell>
          <cell r="F108">
            <v>7</v>
          </cell>
        </row>
        <row r="109">
          <cell r="C109" t="str">
            <v>Tạp vụ</v>
          </cell>
        </row>
        <row r="110">
          <cell r="B110" t="str">
            <v>CN0006</v>
          </cell>
          <cell r="C110" t="str">
            <v>Trương Thị Út</v>
          </cell>
          <cell r="D110">
            <v>41094</v>
          </cell>
          <cell r="E110" t="str">
            <v>CNSX</v>
          </cell>
          <cell r="F110">
            <v>145</v>
          </cell>
        </row>
        <row r="111">
          <cell r="B111" t="str">
            <v>CN0007</v>
          </cell>
          <cell r="C111" t="str">
            <v>Thạch Thị Thu Hồng</v>
          </cell>
          <cell r="D111">
            <v>41375</v>
          </cell>
          <cell r="E111" t="str">
            <v>CNSX</v>
          </cell>
          <cell r="F111">
            <v>136</v>
          </cell>
        </row>
        <row r="112">
          <cell r="B112" t="str">
            <v>CN1265</v>
          </cell>
          <cell r="C112" t="str">
            <v>Kiều Thị Lý Hương</v>
          </cell>
          <cell r="D112">
            <v>45465</v>
          </cell>
          <cell r="E112" t="str">
            <v>CNSX</v>
          </cell>
          <cell r="F112">
            <v>2</v>
          </cell>
        </row>
        <row r="113">
          <cell r="B113" t="str">
            <v>CN0760</v>
          </cell>
          <cell r="C113" t="str">
            <v>Nguyễn Thị Tình</v>
          </cell>
          <cell r="D113">
            <v>44552</v>
          </cell>
          <cell r="E113" t="str">
            <v>CNSX</v>
          </cell>
          <cell r="F113">
            <v>32</v>
          </cell>
        </row>
        <row r="114">
          <cell r="B114" t="str">
            <v>CN0823</v>
          </cell>
          <cell r="C114" t="str">
            <v>Phạm Thị Phấn</v>
          </cell>
          <cell r="D114">
            <v>44662</v>
          </cell>
          <cell r="E114" t="str">
            <v>CNSX</v>
          </cell>
          <cell r="F114">
            <v>28</v>
          </cell>
        </row>
        <row r="115">
          <cell r="B115" t="str">
            <v>CN0852</v>
          </cell>
          <cell r="C115" t="str">
            <v>Nguyễn Thị Lang</v>
          </cell>
          <cell r="D115">
            <v>44725</v>
          </cell>
          <cell r="E115" t="str">
            <v>CNSX</v>
          </cell>
          <cell r="F115">
            <v>26</v>
          </cell>
        </row>
        <row r="116">
          <cell r="B116" t="str">
            <v>CN0956</v>
          </cell>
          <cell r="C116" t="str">
            <v>Ngô Nhựt Nam</v>
          </cell>
          <cell r="D116">
            <v>45019</v>
          </cell>
          <cell r="E116" t="str">
            <v>CNSX</v>
          </cell>
          <cell r="F116">
            <v>16</v>
          </cell>
        </row>
        <row r="117">
          <cell r="B117" t="str">
            <v>CN1047</v>
          </cell>
          <cell r="C117" t="str">
            <v>Hồ Thị Hương</v>
          </cell>
          <cell r="D117">
            <v>45196</v>
          </cell>
          <cell r="E117" t="str">
            <v>CNSX</v>
          </cell>
          <cell r="F117">
            <v>11</v>
          </cell>
        </row>
        <row r="118">
          <cell r="B118" t="str">
            <v>CN1293</v>
          </cell>
          <cell r="C118" t="str">
            <v>Hứa Kim Ban</v>
          </cell>
          <cell r="D118">
            <v>45523</v>
          </cell>
          <cell r="E118" t="str">
            <v>CNSX</v>
          </cell>
          <cell r="F118">
            <v>0</v>
          </cell>
        </row>
        <row r="119">
          <cell r="B119" t="str">
            <v>NV0012</v>
          </cell>
          <cell r="C119" t="str">
            <v>Nguyễn Văn Hiền</v>
          </cell>
          <cell r="D119">
            <v>42552</v>
          </cell>
          <cell r="E119" t="str">
            <v>Nhân viên</v>
          </cell>
          <cell r="F119">
            <v>98</v>
          </cell>
        </row>
        <row r="120">
          <cell r="C120" t="str">
            <v>EXTRUDER 1</v>
          </cell>
        </row>
        <row r="121">
          <cell r="B121" t="str">
            <v>CN0017</v>
          </cell>
          <cell r="C121" t="str">
            <v>Trần Che</v>
          </cell>
          <cell r="D121">
            <v>41048</v>
          </cell>
          <cell r="E121" t="str">
            <v>Tổ trưởng</v>
          </cell>
          <cell r="F121">
            <v>147</v>
          </cell>
        </row>
        <row r="122">
          <cell r="B122" t="str">
            <v>CN0586</v>
          </cell>
          <cell r="C122" t="str">
            <v>Lâm Văn Luận</v>
          </cell>
          <cell r="D122">
            <v>43928</v>
          </cell>
          <cell r="E122" t="str">
            <v>CNSX</v>
          </cell>
          <cell r="F122">
            <v>52</v>
          </cell>
        </row>
        <row r="123">
          <cell r="B123" t="str">
            <v>CN0023</v>
          </cell>
          <cell r="C123" t="str">
            <v>Võ Duy Khánh</v>
          </cell>
          <cell r="D123">
            <v>41345</v>
          </cell>
          <cell r="E123" t="str">
            <v>Tổ trưởng</v>
          </cell>
          <cell r="F123">
            <v>137</v>
          </cell>
        </row>
        <row r="124">
          <cell r="B124" t="str">
            <v>CN0556</v>
          </cell>
          <cell r="C124" t="str">
            <v>Dương Hoàng Diễn</v>
          </cell>
          <cell r="D124">
            <v>43874</v>
          </cell>
          <cell r="E124" t="str">
            <v>CNSX</v>
          </cell>
          <cell r="F124">
            <v>54</v>
          </cell>
        </row>
        <row r="125">
          <cell r="B125" t="str">
            <v>CN0914</v>
          </cell>
          <cell r="C125" t="str">
            <v>Lê Hoàng Tuấn</v>
          </cell>
          <cell r="D125">
            <v>44979</v>
          </cell>
          <cell r="E125" t="str">
            <v>CNSX</v>
          </cell>
          <cell r="F125">
            <v>18</v>
          </cell>
        </row>
        <row r="126">
          <cell r="B126" t="str">
            <v>CN0949</v>
          </cell>
          <cell r="C126" t="str">
            <v>Lê Tấn An</v>
          </cell>
          <cell r="D126">
            <v>45020</v>
          </cell>
          <cell r="E126" t="str">
            <v>CNSX</v>
          </cell>
          <cell r="F126">
            <v>16</v>
          </cell>
        </row>
        <row r="127">
          <cell r="C127" t="str">
            <v>EXTRUDER 2</v>
          </cell>
        </row>
        <row r="128">
          <cell r="B128" t="str">
            <v>CN0024</v>
          </cell>
          <cell r="C128" t="str">
            <v>Trương Thanh Hận</v>
          </cell>
          <cell r="D128">
            <v>41689</v>
          </cell>
          <cell r="E128" t="str">
            <v>CNSX</v>
          </cell>
          <cell r="F128">
            <v>126</v>
          </cell>
        </row>
        <row r="129">
          <cell r="B129" t="str">
            <v>CN0132</v>
          </cell>
          <cell r="C129" t="str">
            <v>Chau Ra</v>
          </cell>
          <cell r="D129">
            <v>42850</v>
          </cell>
          <cell r="E129" t="str">
            <v>CNSX</v>
          </cell>
          <cell r="F129">
            <v>88</v>
          </cell>
        </row>
        <row r="130">
          <cell r="B130" t="str">
            <v>CN0133</v>
          </cell>
          <cell r="C130" t="str">
            <v>Vòng Anh Hùng</v>
          </cell>
          <cell r="D130">
            <v>42887</v>
          </cell>
          <cell r="E130" t="str">
            <v>CNSX</v>
          </cell>
          <cell r="F130">
            <v>87</v>
          </cell>
        </row>
        <row r="131">
          <cell r="B131" t="str">
            <v>CN0422</v>
          </cell>
          <cell r="C131" t="str">
            <v>Tạ Thành Đạt</v>
          </cell>
          <cell r="D131">
            <v>43522.672260844905</v>
          </cell>
          <cell r="E131" t="str">
            <v>CNSX</v>
          </cell>
          <cell r="F131">
            <v>66</v>
          </cell>
        </row>
        <row r="132">
          <cell r="B132" t="str">
            <v>CN0161</v>
          </cell>
          <cell r="C132" t="str">
            <v>Lâm Hoàng Tấn</v>
          </cell>
          <cell r="D132">
            <v>42990</v>
          </cell>
          <cell r="E132" t="str">
            <v>CNSX</v>
          </cell>
          <cell r="F132">
            <v>83</v>
          </cell>
        </row>
        <row r="133">
          <cell r="B133" t="str">
            <v>CN0262</v>
          </cell>
          <cell r="C133" t="str">
            <v>Lê Minh Chung</v>
          </cell>
          <cell r="D133">
            <v>43179</v>
          </cell>
          <cell r="E133" t="str">
            <v>CNSX</v>
          </cell>
          <cell r="F133">
            <v>77</v>
          </cell>
        </row>
        <row r="134">
          <cell r="B134" t="str">
            <v>CN1181</v>
          </cell>
          <cell r="C134" t="str">
            <v>Đỗ Trung Thuận</v>
          </cell>
          <cell r="D134">
            <v>45386</v>
          </cell>
          <cell r="E134" t="str">
            <v>CNSX</v>
          </cell>
          <cell r="F134">
            <v>4</v>
          </cell>
        </row>
        <row r="135">
          <cell r="B135" t="str">
            <v>CN1197</v>
          </cell>
          <cell r="C135" t="str">
            <v>Lê Phước Dĩ</v>
          </cell>
          <cell r="D135">
            <v>45391</v>
          </cell>
          <cell r="E135" t="str">
            <v>CNSX</v>
          </cell>
          <cell r="F135">
            <v>4</v>
          </cell>
        </row>
        <row r="136">
          <cell r="B136" t="str">
            <v>CN1237</v>
          </cell>
          <cell r="C136" t="str">
            <v>Nguyễn Vũ Trung</v>
          </cell>
          <cell r="D136">
            <v>45432</v>
          </cell>
          <cell r="E136" t="str">
            <v>Tổ trưởng</v>
          </cell>
          <cell r="F136">
            <v>3</v>
          </cell>
        </row>
        <row r="137">
          <cell r="C137" t="str">
            <v>ROPE</v>
          </cell>
        </row>
        <row r="138">
          <cell r="B138" t="str">
            <v>CN0025</v>
          </cell>
          <cell r="C138" t="str">
            <v>Óc Cường</v>
          </cell>
          <cell r="D138">
            <v>40301</v>
          </cell>
          <cell r="E138" t="str">
            <v>Trưởng ca</v>
          </cell>
          <cell r="F138">
            <v>171</v>
          </cell>
        </row>
        <row r="139">
          <cell r="B139" t="str">
            <v>CN0343</v>
          </cell>
          <cell r="C139" t="str">
            <v>Danh Chao Lốt</v>
          </cell>
          <cell r="D139">
            <v>41098</v>
          </cell>
          <cell r="E139" t="str">
            <v>Tổ trưởng</v>
          </cell>
          <cell r="F139">
            <v>145</v>
          </cell>
        </row>
        <row r="140">
          <cell r="B140" t="str">
            <v>CN0043</v>
          </cell>
          <cell r="C140" t="str">
            <v>Lê Thị Thơ</v>
          </cell>
          <cell r="D140">
            <v>41781</v>
          </cell>
          <cell r="E140" t="str">
            <v>CNSX</v>
          </cell>
          <cell r="F140">
            <v>123</v>
          </cell>
        </row>
        <row r="141">
          <cell r="B141" t="str">
            <v>CN0165</v>
          </cell>
          <cell r="C141" t="str">
            <v>Đặng Văn Lẩy</v>
          </cell>
          <cell r="D141">
            <v>42997.730734756944</v>
          </cell>
          <cell r="E141" t="str">
            <v>CNSX</v>
          </cell>
          <cell r="F141">
            <v>83</v>
          </cell>
        </row>
        <row r="142">
          <cell r="B142" t="str">
            <v>CN0451</v>
          </cell>
          <cell r="C142" t="str">
            <v>Danh Ra</v>
          </cell>
          <cell r="D142">
            <v>43564</v>
          </cell>
          <cell r="E142" t="str">
            <v>CNSX</v>
          </cell>
          <cell r="F142">
            <v>64</v>
          </cell>
        </row>
        <row r="143">
          <cell r="B143" t="str">
            <v>CN0420</v>
          </cell>
          <cell r="C143" t="str">
            <v>Danh Chanh Thi</v>
          </cell>
          <cell r="D143">
            <v>43523.671256400463</v>
          </cell>
          <cell r="E143" t="str">
            <v>CNSX</v>
          </cell>
          <cell r="F143">
            <v>66</v>
          </cell>
        </row>
        <row r="144">
          <cell r="B144" t="str">
            <v>CN0611</v>
          </cell>
          <cell r="C144" t="str">
            <v>Dương Thương</v>
          </cell>
          <cell r="D144">
            <v>43970</v>
          </cell>
          <cell r="E144" t="str">
            <v>Tổ trưởng</v>
          </cell>
          <cell r="F144">
            <v>51</v>
          </cell>
        </row>
        <row r="145">
          <cell r="B145" t="str">
            <v>CN0613</v>
          </cell>
          <cell r="C145" t="str">
            <v>Lý Si Phonh</v>
          </cell>
          <cell r="D145">
            <v>43969</v>
          </cell>
          <cell r="E145" t="str">
            <v>CNSX</v>
          </cell>
          <cell r="F145">
            <v>51</v>
          </cell>
        </row>
        <row r="146">
          <cell r="B146" t="str">
            <v>CN1292</v>
          </cell>
          <cell r="C146" t="str">
            <v>Châu Hoàng Danh</v>
          </cell>
          <cell r="D146">
            <v>45516</v>
          </cell>
          <cell r="E146" t="str">
            <v>CNSX</v>
          </cell>
          <cell r="F146">
            <v>0</v>
          </cell>
        </row>
        <row r="147">
          <cell r="B147" t="str">
            <v>CN0618</v>
          </cell>
          <cell r="C147" t="str">
            <v>Lê Thành Đô</v>
          </cell>
          <cell r="D147">
            <v>43983</v>
          </cell>
          <cell r="E147" t="str">
            <v>CNSX</v>
          </cell>
          <cell r="F147">
            <v>51</v>
          </cell>
        </row>
        <row r="148">
          <cell r="B148" t="str">
            <v>CN0040</v>
          </cell>
          <cell r="C148" t="str">
            <v>Đặng Văn Giang</v>
          </cell>
          <cell r="D148">
            <v>42072</v>
          </cell>
          <cell r="E148" t="str">
            <v>CNSX</v>
          </cell>
          <cell r="F148">
            <v>113</v>
          </cell>
        </row>
        <row r="149">
          <cell r="B149" t="str">
            <v>CN0516</v>
          </cell>
          <cell r="C149" t="str">
            <v>Danh Chao Chiết</v>
          </cell>
          <cell r="D149">
            <v>43749</v>
          </cell>
          <cell r="E149" t="str">
            <v>CNSX</v>
          </cell>
          <cell r="F149">
            <v>58</v>
          </cell>
        </row>
        <row r="150">
          <cell r="B150" t="str">
            <v>CN0559</v>
          </cell>
          <cell r="C150" t="str">
            <v>Lê Văn Lượng</v>
          </cell>
          <cell r="D150">
            <v>43878</v>
          </cell>
          <cell r="E150" t="str">
            <v>CNSX</v>
          </cell>
          <cell r="F150">
            <v>54</v>
          </cell>
        </row>
        <row r="151">
          <cell r="B151" t="str">
            <v>CN0341</v>
          </cell>
          <cell r="C151" t="str">
            <v>Chau Danh Sa Va</v>
          </cell>
          <cell r="D151">
            <v>43299</v>
          </cell>
          <cell r="E151" t="str">
            <v>CNSX</v>
          </cell>
          <cell r="F151">
            <v>73</v>
          </cell>
        </row>
        <row r="152">
          <cell r="B152" t="str">
            <v>CN0681</v>
          </cell>
          <cell r="C152" t="str">
            <v>Danh Ngọc</v>
          </cell>
          <cell r="D152" t="str">
            <v>12/03/2021</v>
          </cell>
          <cell r="E152" t="str">
            <v>CNSX</v>
          </cell>
          <cell r="F152">
            <v>41</v>
          </cell>
        </row>
        <row r="153">
          <cell r="B153" t="str">
            <v>CN0303</v>
          </cell>
          <cell r="C153" t="str">
            <v>Trần Thanh Tùng</v>
          </cell>
          <cell r="D153">
            <v>43227</v>
          </cell>
          <cell r="E153" t="str">
            <v>CNSX</v>
          </cell>
          <cell r="F153">
            <v>75</v>
          </cell>
        </row>
        <row r="154">
          <cell r="B154" t="str">
            <v>CN0604</v>
          </cell>
          <cell r="C154" t="str">
            <v xml:space="preserve">Danh Thị Ly Ly </v>
          </cell>
          <cell r="D154">
            <v>43969</v>
          </cell>
          <cell r="E154" t="str">
            <v>CNSX</v>
          </cell>
          <cell r="F154">
            <v>51</v>
          </cell>
        </row>
        <row r="155">
          <cell r="B155" t="str">
            <v>CN0881</v>
          </cell>
          <cell r="C155" t="str">
            <v>Sơn Hoài Thanh</v>
          </cell>
          <cell r="D155">
            <v>44867</v>
          </cell>
          <cell r="E155" t="str">
            <v>CNSX</v>
          </cell>
          <cell r="F155">
            <v>22</v>
          </cell>
        </row>
        <row r="156">
          <cell r="B156" t="str">
            <v>CN0891</v>
          </cell>
          <cell r="C156" t="str">
            <v>Nguyễn Thanh Tìm</v>
          </cell>
          <cell r="D156">
            <v>44888</v>
          </cell>
          <cell r="E156" t="str">
            <v>CNSX</v>
          </cell>
          <cell r="F156">
            <v>21</v>
          </cell>
        </row>
        <row r="157">
          <cell r="B157" t="str">
            <v>CN0906</v>
          </cell>
          <cell r="C157" t="str">
            <v>Trần Trường Giang</v>
          </cell>
          <cell r="D157">
            <v>44963</v>
          </cell>
          <cell r="E157" t="str">
            <v>Tổ trưởng</v>
          </cell>
          <cell r="F157">
            <v>18</v>
          </cell>
        </row>
        <row r="158">
          <cell r="B158" t="str">
            <v>CN0919</v>
          </cell>
          <cell r="C158" t="str">
            <v>Trần Văn Mạnh</v>
          </cell>
          <cell r="D158">
            <v>44984</v>
          </cell>
          <cell r="E158" t="str">
            <v>CNSX</v>
          </cell>
          <cell r="F158">
            <v>18</v>
          </cell>
        </row>
        <row r="159">
          <cell r="B159" t="str">
            <v>CN0924</v>
          </cell>
          <cell r="C159" t="str">
            <v>Phạm Thành Nhân</v>
          </cell>
          <cell r="D159">
            <v>44984</v>
          </cell>
          <cell r="E159" t="str">
            <v>CNSX</v>
          </cell>
          <cell r="F159">
            <v>18</v>
          </cell>
        </row>
        <row r="160">
          <cell r="B160" t="str">
            <v>CN0944</v>
          </cell>
          <cell r="C160" t="str">
            <v>Nguyễn Thanh Song</v>
          </cell>
          <cell r="D160">
            <v>45005</v>
          </cell>
          <cell r="E160" t="str">
            <v>CNSX</v>
          </cell>
          <cell r="F160">
            <v>17</v>
          </cell>
        </row>
        <row r="161">
          <cell r="B161" t="str">
            <v>CN0981</v>
          </cell>
          <cell r="C161" t="str">
            <v>Hoàng Văn Tý</v>
          </cell>
          <cell r="D161">
            <v>45093</v>
          </cell>
          <cell r="E161" t="str">
            <v>CNSX</v>
          </cell>
          <cell r="F161">
            <v>14</v>
          </cell>
        </row>
        <row r="162">
          <cell r="B162" t="str">
            <v>CN0986</v>
          </cell>
          <cell r="C162" t="str">
            <v>Miêu Quốc Khánh</v>
          </cell>
          <cell r="D162">
            <v>45096</v>
          </cell>
          <cell r="E162" t="str">
            <v>CNSX</v>
          </cell>
          <cell r="F162">
            <v>14</v>
          </cell>
        </row>
        <row r="163">
          <cell r="B163" t="str">
            <v>CN1022</v>
          </cell>
          <cell r="C163" t="str">
            <v>Đoàn Thị Hồng Nhung</v>
          </cell>
          <cell r="D163">
            <v>45134</v>
          </cell>
          <cell r="E163" t="str">
            <v>CNSX</v>
          </cell>
          <cell r="F163">
            <v>13</v>
          </cell>
        </row>
        <row r="164">
          <cell r="B164" t="str">
            <v>CN1024</v>
          </cell>
          <cell r="C164" t="str">
            <v>Đỗ Duy Thiên</v>
          </cell>
          <cell r="D164">
            <v>45134</v>
          </cell>
          <cell r="E164" t="str">
            <v>CNSX</v>
          </cell>
          <cell r="F164">
            <v>13</v>
          </cell>
        </row>
        <row r="165">
          <cell r="B165" t="str">
            <v>CN1036</v>
          </cell>
          <cell r="C165" t="str">
            <v>Nguyễn Văn Rồng</v>
          </cell>
          <cell r="D165">
            <v>45156</v>
          </cell>
          <cell r="E165" t="str">
            <v>CNSX</v>
          </cell>
          <cell r="F165">
            <v>12</v>
          </cell>
        </row>
        <row r="166">
          <cell r="B166" t="str">
            <v>CN1081</v>
          </cell>
          <cell r="C166" t="str">
            <v>Danh Phát</v>
          </cell>
          <cell r="D166">
            <v>45344</v>
          </cell>
          <cell r="E166" t="str">
            <v>CNSX</v>
          </cell>
          <cell r="F166">
            <v>6</v>
          </cell>
        </row>
        <row r="167">
          <cell r="B167" t="str">
            <v>CN1094</v>
          </cell>
          <cell r="C167" t="str">
            <v>Nguyễn Quốc Thanh</v>
          </cell>
          <cell r="D167">
            <v>45346</v>
          </cell>
          <cell r="E167" t="str">
            <v>CNSX</v>
          </cell>
          <cell r="F167">
            <v>6</v>
          </cell>
        </row>
        <row r="168">
          <cell r="B168" t="str">
            <v>CN1095</v>
          </cell>
          <cell r="C168" t="str">
            <v>Lê Việt Khánh</v>
          </cell>
          <cell r="D168">
            <v>45346</v>
          </cell>
          <cell r="E168" t="str">
            <v>CNSX</v>
          </cell>
          <cell r="F168">
            <v>6</v>
          </cell>
        </row>
        <row r="169">
          <cell r="B169" t="str">
            <v>CN1182</v>
          </cell>
          <cell r="C169" t="str">
            <v>Lý Thanh Thảo</v>
          </cell>
          <cell r="D169">
            <v>45386</v>
          </cell>
          <cell r="E169" t="str">
            <v>CNSX</v>
          </cell>
          <cell r="F169">
            <v>4</v>
          </cell>
        </row>
        <row r="170">
          <cell r="B170" t="str">
            <v>CN1183</v>
          </cell>
          <cell r="C170" t="str">
            <v>Châu Tiểu Bình</v>
          </cell>
          <cell r="D170">
            <v>45386</v>
          </cell>
          <cell r="E170" t="str">
            <v>CNSX</v>
          </cell>
          <cell r="F170">
            <v>4</v>
          </cell>
        </row>
        <row r="171">
          <cell r="B171" t="str">
            <v>CN1194</v>
          </cell>
          <cell r="C171" t="str">
            <v>Nguyễn Trần Mỹ Loan</v>
          </cell>
          <cell r="D171">
            <v>45391</v>
          </cell>
          <cell r="E171" t="str">
            <v>CNSX</v>
          </cell>
          <cell r="F171">
            <v>4</v>
          </cell>
        </row>
        <row r="172">
          <cell r="B172" t="str">
            <v>CN1196</v>
          </cell>
          <cell r="C172" t="str">
            <v>Thạch Thị Len</v>
          </cell>
          <cell r="D172">
            <v>45391</v>
          </cell>
          <cell r="E172" t="str">
            <v>CNSX</v>
          </cell>
          <cell r="F172">
            <v>4</v>
          </cell>
        </row>
        <row r="173">
          <cell r="B173" t="str">
            <v>CN1206</v>
          </cell>
          <cell r="C173" t="str">
            <v>Võ Minh Thành</v>
          </cell>
          <cell r="D173">
            <v>45393</v>
          </cell>
          <cell r="E173" t="str">
            <v>CNSX</v>
          </cell>
          <cell r="F173">
            <v>4</v>
          </cell>
        </row>
        <row r="174">
          <cell r="B174" t="str">
            <v>CN1231</v>
          </cell>
          <cell r="C174" t="str">
            <v>Lý Thành Lên</v>
          </cell>
          <cell r="D174">
            <v>45419</v>
          </cell>
          <cell r="E174" t="str">
            <v>CNSX</v>
          </cell>
          <cell r="F174">
            <v>3</v>
          </cell>
        </row>
        <row r="175">
          <cell r="B175" t="str">
            <v>CN1244</v>
          </cell>
          <cell r="C175" t="str">
            <v>Đặng Duy Khánh</v>
          </cell>
          <cell r="D175">
            <v>45442</v>
          </cell>
          <cell r="E175" t="str">
            <v>CNSX</v>
          </cell>
          <cell r="F175">
            <v>3</v>
          </cell>
        </row>
        <row r="176">
          <cell r="B176" t="str">
            <v>CN1249</v>
          </cell>
          <cell r="C176" t="str">
            <v>Trần Văn Mến</v>
          </cell>
          <cell r="D176">
            <v>45444</v>
          </cell>
          <cell r="E176" t="str">
            <v>CNSX</v>
          </cell>
          <cell r="F176">
            <v>3</v>
          </cell>
        </row>
        <row r="177">
          <cell r="B177" t="str">
            <v>CN1259</v>
          </cell>
          <cell r="C177" t="str">
            <v>Võ Hoàng Duy</v>
          </cell>
          <cell r="D177">
            <v>45454</v>
          </cell>
          <cell r="E177" t="str">
            <v>CNSX</v>
          </cell>
          <cell r="F177">
            <v>2</v>
          </cell>
        </row>
        <row r="178">
          <cell r="B178" t="str">
            <v>CN1282</v>
          </cell>
          <cell r="C178" t="str">
            <v>Phạm Tấn Linh</v>
          </cell>
          <cell r="D178">
            <v>45504</v>
          </cell>
          <cell r="E178" t="str">
            <v>CNSX</v>
          </cell>
          <cell r="F178">
            <v>1</v>
          </cell>
        </row>
        <row r="179">
          <cell r="B179" t="str">
            <v>CN1283</v>
          </cell>
          <cell r="C179" t="str">
            <v>Châu Minh Liêm</v>
          </cell>
          <cell r="D179">
            <v>45505</v>
          </cell>
          <cell r="E179" t="str">
            <v>CNSX</v>
          </cell>
          <cell r="F179">
            <v>1</v>
          </cell>
        </row>
        <row r="180">
          <cell r="B180" t="str">
            <v>CN1273</v>
          </cell>
          <cell r="C180" t="str">
            <v>Nguyễn Thịnh Phúc</v>
          </cell>
          <cell r="D180">
            <v>45482</v>
          </cell>
          <cell r="E180" t="str">
            <v>CNSX</v>
          </cell>
          <cell r="F180">
            <v>1</v>
          </cell>
        </row>
        <row r="181">
          <cell r="B181" t="str">
            <v>CN1274</v>
          </cell>
          <cell r="C181" t="str">
            <v>Lê Quốc Anh</v>
          </cell>
          <cell r="D181">
            <v>45484</v>
          </cell>
          <cell r="E181" t="str">
            <v>CNSX</v>
          </cell>
          <cell r="F181">
            <v>1</v>
          </cell>
        </row>
        <row r="182">
          <cell r="B182" t="str">
            <v>CN1276</v>
          </cell>
          <cell r="C182" t="str">
            <v>Lâm Dương Linh</v>
          </cell>
          <cell r="D182">
            <v>45491</v>
          </cell>
          <cell r="E182" t="str">
            <v>CNSX</v>
          </cell>
          <cell r="F182">
            <v>1</v>
          </cell>
        </row>
        <row r="183">
          <cell r="B183" t="str">
            <v>CN1277</v>
          </cell>
          <cell r="C183" t="str">
            <v>Nguyễn Văn Cường</v>
          </cell>
          <cell r="D183">
            <v>45493</v>
          </cell>
          <cell r="E183" t="str">
            <v>CNSX</v>
          </cell>
          <cell r="F183">
            <v>1</v>
          </cell>
        </row>
        <row r="184">
          <cell r="B184" t="str">
            <v>CN1110</v>
          </cell>
          <cell r="C184" t="str">
            <v>Nguyễn Minh Nhựt</v>
          </cell>
          <cell r="D184">
            <v>45353</v>
          </cell>
          <cell r="E184" t="str">
            <v>CNSX</v>
          </cell>
          <cell r="F184">
            <v>6</v>
          </cell>
        </row>
        <row r="185">
          <cell r="B185" t="str">
            <v>CN1111</v>
          </cell>
          <cell r="C185" t="str">
            <v>Lê Văn Mạnh</v>
          </cell>
          <cell r="D185">
            <v>45353</v>
          </cell>
          <cell r="E185" t="str">
            <v>CNSX</v>
          </cell>
          <cell r="F185">
            <v>6</v>
          </cell>
        </row>
        <row r="186">
          <cell r="B186" t="str">
            <v>CN1118</v>
          </cell>
          <cell r="C186" t="str">
            <v>Lý Minh Quý</v>
          </cell>
          <cell r="D186">
            <v>45356</v>
          </cell>
          <cell r="E186" t="str">
            <v>CNSX</v>
          </cell>
          <cell r="F186">
            <v>5</v>
          </cell>
        </row>
        <row r="187">
          <cell r="B187" t="str">
            <v>CN1131</v>
          </cell>
          <cell r="C187" t="str">
            <v>Thạch Thành</v>
          </cell>
          <cell r="D187">
            <v>45363</v>
          </cell>
          <cell r="E187" t="str">
            <v>CNSX</v>
          </cell>
          <cell r="F187">
            <v>5</v>
          </cell>
        </row>
        <row r="188">
          <cell r="B188" t="str">
            <v>CN1133</v>
          </cell>
          <cell r="C188" t="str">
            <v>Phan Văn Đức</v>
          </cell>
          <cell r="D188">
            <v>45363</v>
          </cell>
          <cell r="E188" t="str">
            <v>CNSX</v>
          </cell>
          <cell r="F188">
            <v>5</v>
          </cell>
        </row>
        <row r="189">
          <cell r="B189" t="str">
            <v>CN1137</v>
          </cell>
          <cell r="C189" t="str">
            <v xml:space="preserve">Nguyễn Thanh  Phong </v>
          </cell>
          <cell r="D189">
            <v>45365</v>
          </cell>
          <cell r="E189" t="str">
            <v>CNSX</v>
          </cell>
          <cell r="F189">
            <v>5</v>
          </cell>
        </row>
        <row r="190">
          <cell r="B190" t="str">
            <v>CN1148</v>
          </cell>
          <cell r="C190" t="str">
            <v xml:space="preserve">Dương Vũ Phong </v>
          </cell>
          <cell r="D190">
            <v>45370</v>
          </cell>
          <cell r="E190" t="str">
            <v>CNSX</v>
          </cell>
          <cell r="F190">
            <v>5</v>
          </cell>
        </row>
        <row r="191">
          <cell r="B191" t="str">
            <v>CN1167</v>
          </cell>
          <cell r="C191" t="str">
            <v>Nguyễn Thành Đạt</v>
          </cell>
          <cell r="D191">
            <v>45378</v>
          </cell>
          <cell r="E191" t="str">
            <v>CNSX</v>
          </cell>
          <cell r="F191">
            <v>5</v>
          </cell>
        </row>
        <row r="192">
          <cell r="B192" t="str">
            <v>CN1168</v>
          </cell>
          <cell r="C192" t="str">
            <v>Thạch Lửa</v>
          </cell>
          <cell r="D192">
            <v>45378</v>
          </cell>
          <cell r="E192" t="str">
            <v>CNSX</v>
          </cell>
          <cell r="F192">
            <v>5</v>
          </cell>
        </row>
        <row r="193">
          <cell r="B193" t="str">
            <v>CN1169</v>
          </cell>
          <cell r="C193" t="str">
            <v>Lý Văn Vỹ</v>
          </cell>
          <cell r="D193">
            <v>45379</v>
          </cell>
          <cell r="E193" t="str">
            <v>CNSX</v>
          </cell>
          <cell r="F193">
            <v>5</v>
          </cell>
        </row>
        <row r="194">
          <cell r="C194" t="str">
            <v>Máy Bện</v>
          </cell>
        </row>
        <row r="195">
          <cell r="B195" t="str">
            <v>CN0038</v>
          </cell>
          <cell r="C195" t="str">
            <v>Danh Kim Đồng</v>
          </cell>
          <cell r="D195">
            <v>41428</v>
          </cell>
          <cell r="E195" t="str">
            <v>CNSX</v>
          </cell>
          <cell r="F195">
            <v>134</v>
          </cell>
        </row>
        <row r="196">
          <cell r="B196" t="str">
            <v>CN0568</v>
          </cell>
          <cell r="C196" t="str">
            <v>Thạch Tài</v>
          </cell>
          <cell r="D196">
            <v>43892</v>
          </cell>
          <cell r="E196" t="str">
            <v>CNSX</v>
          </cell>
          <cell r="F196">
            <v>54</v>
          </cell>
        </row>
        <row r="197">
          <cell r="C197" t="str">
            <v xml:space="preserve">Máy RS </v>
          </cell>
        </row>
        <row r="198">
          <cell r="B198" t="str">
            <v>CN0423</v>
          </cell>
          <cell r="C198" t="str">
            <v>Sơn Đol</v>
          </cell>
          <cell r="D198">
            <v>43522</v>
          </cell>
          <cell r="E198" t="str">
            <v>Tổ trưởng</v>
          </cell>
          <cell r="F198">
            <v>66</v>
          </cell>
        </row>
        <row r="199">
          <cell r="B199" t="str">
            <v>CN0668</v>
          </cell>
          <cell r="C199" t="str">
            <v>Trần Quốc Nam</v>
          </cell>
          <cell r="D199">
            <v>44246</v>
          </cell>
          <cell r="E199" t="str">
            <v>CNSX</v>
          </cell>
          <cell r="F199">
            <v>42</v>
          </cell>
        </row>
        <row r="200">
          <cell r="C200" t="str">
            <v>Máy In</v>
          </cell>
        </row>
        <row r="201">
          <cell r="B201" t="str">
            <v>CN0042</v>
          </cell>
          <cell r="C201" t="str">
            <v>Lục Thị Kiếm</v>
          </cell>
          <cell r="D201">
            <v>41438</v>
          </cell>
          <cell r="E201" t="str">
            <v>CNSX</v>
          </cell>
          <cell r="F201">
            <v>134</v>
          </cell>
        </row>
        <row r="202">
          <cell r="B202" t="str">
            <v>CN0736</v>
          </cell>
          <cell r="C202" t="str">
            <v>Lý Thị Kim Tinh</v>
          </cell>
          <cell r="D202">
            <v>44511</v>
          </cell>
          <cell r="E202" t="str">
            <v>CNSX</v>
          </cell>
          <cell r="F202">
            <v>33</v>
          </cell>
        </row>
        <row r="203">
          <cell r="C203" t="str">
            <v>Cutlengh</v>
          </cell>
        </row>
        <row r="204">
          <cell r="B204" t="str">
            <v>CN1089</v>
          </cell>
          <cell r="C204" t="str">
            <v>Phạm Thị Thùy</v>
          </cell>
          <cell r="D204">
            <v>45345</v>
          </cell>
          <cell r="E204" t="str">
            <v>CNSX</v>
          </cell>
          <cell r="F204">
            <v>6</v>
          </cell>
        </row>
        <row r="205">
          <cell r="B205" t="str">
            <v>CN1093</v>
          </cell>
          <cell r="C205" t="str">
            <v>Huỳnh Thị Chi</v>
          </cell>
          <cell r="D205">
            <v>45346</v>
          </cell>
          <cell r="E205" t="str">
            <v>CNSX</v>
          </cell>
          <cell r="F205">
            <v>6</v>
          </cell>
        </row>
        <row r="206">
          <cell r="B206" t="str">
            <v>CN1105</v>
          </cell>
          <cell r="C206" t="str">
            <v>Võ Thị Ngọc Trân</v>
          </cell>
          <cell r="D206">
            <v>45352</v>
          </cell>
          <cell r="E206" t="str">
            <v>CNSX</v>
          </cell>
          <cell r="F206">
            <v>6</v>
          </cell>
        </row>
        <row r="207">
          <cell r="B207" t="str">
            <v>CN1132</v>
          </cell>
          <cell r="C207" t="str">
            <v>Kim Thị Na Huy</v>
          </cell>
          <cell r="D207">
            <v>45363</v>
          </cell>
          <cell r="E207" t="str">
            <v>CNSX</v>
          </cell>
          <cell r="F207">
            <v>5</v>
          </cell>
        </row>
        <row r="208">
          <cell r="C208" t="str">
            <v>TWIST</v>
          </cell>
        </row>
        <row r="209">
          <cell r="B209" t="str">
            <v>CN0373</v>
          </cell>
          <cell r="C209" t="str">
            <v>Lý Tiên</v>
          </cell>
          <cell r="D209">
            <v>43361.394189895836</v>
          </cell>
          <cell r="E209" t="str">
            <v>CNSX</v>
          </cell>
          <cell r="F209">
            <v>71</v>
          </cell>
        </row>
        <row r="210">
          <cell r="B210" t="str">
            <v>CN0206</v>
          </cell>
          <cell r="C210" t="str">
            <v>Thạch Chanh Rây</v>
          </cell>
          <cell r="D210">
            <v>43158</v>
          </cell>
          <cell r="E210" t="str">
            <v>CNSX</v>
          </cell>
          <cell r="F210">
            <v>78</v>
          </cell>
        </row>
        <row r="211">
          <cell r="B211" t="str">
            <v>CN0077</v>
          </cell>
          <cell r="C211" t="str">
            <v>Võ Minh Hưng</v>
          </cell>
          <cell r="D211">
            <v>42418</v>
          </cell>
          <cell r="E211" t="str">
            <v>CNSX</v>
          </cell>
          <cell r="F211">
            <v>102</v>
          </cell>
        </row>
        <row r="212">
          <cell r="B212" t="str">
            <v>CN0046</v>
          </cell>
          <cell r="C212" t="str">
            <v>Danh Hồng Cường</v>
          </cell>
          <cell r="D212">
            <v>40378</v>
          </cell>
          <cell r="E212" t="str">
            <v>Tổ trưởng</v>
          </cell>
          <cell r="F212">
            <v>169</v>
          </cell>
        </row>
        <row r="213">
          <cell r="B213" t="str">
            <v>CN0037</v>
          </cell>
          <cell r="C213" t="str">
            <v>Nguyễn Chí Tâm</v>
          </cell>
          <cell r="D213">
            <v>41606</v>
          </cell>
          <cell r="E213" t="str">
            <v>CNSX</v>
          </cell>
          <cell r="F213">
            <v>129</v>
          </cell>
        </row>
        <row r="214">
          <cell r="B214" t="str">
            <v>CN0029</v>
          </cell>
          <cell r="C214" t="str">
            <v>Nguyễn Văn Hiển</v>
          </cell>
          <cell r="D214">
            <v>42080</v>
          </cell>
          <cell r="E214" t="str">
            <v>Tổ trưởng</v>
          </cell>
          <cell r="F214">
            <v>113</v>
          </cell>
        </row>
        <row r="215">
          <cell r="B215" t="str">
            <v>CN0787</v>
          </cell>
          <cell r="C215" t="str">
            <v>Lý Thanh</v>
          </cell>
          <cell r="D215">
            <v>44614</v>
          </cell>
          <cell r="E215" t="str">
            <v>CNSX</v>
          </cell>
          <cell r="F215">
            <v>30</v>
          </cell>
        </row>
        <row r="216">
          <cell r="B216" t="str">
            <v>CN0796</v>
          </cell>
          <cell r="C216" t="str">
            <v>Lâm Sang</v>
          </cell>
          <cell r="D216">
            <v>44628</v>
          </cell>
          <cell r="E216" t="str">
            <v>CNSX</v>
          </cell>
          <cell r="F216">
            <v>29</v>
          </cell>
        </row>
        <row r="217">
          <cell r="B217" t="str">
            <v>CN0888</v>
          </cell>
          <cell r="C217" t="str">
            <v>Liêu Hồ Chí Ngoan</v>
          </cell>
          <cell r="D217">
            <v>44883</v>
          </cell>
          <cell r="E217" t="str">
            <v>CNSX</v>
          </cell>
          <cell r="F217">
            <v>21</v>
          </cell>
        </row>
        <row r="218">
          <cell r="B218" t="str">
            <v>CN1180</v>
          </cell>
          <cell r="C218" t="str">
            <v>Võ Minh Nhựt</v>
          </cell>
          <cell r="D218">
            <v>45386</v>
          </cell>
          <cell r="E218" t="str">
            <v>CNSX</v>
          </cell>
          <cell r="F218">
            <v>4</v>
          </cell>
        </row>
        <row r="219">
          <cell r="C219" t="str">
            <v>TORNADO</v>
          </cell>
        </row>
        <row r="220">
          <cell r="B220" t="str">
            <v>CN0058</v>
          </cell>
          <cell r="C220" t="str">
            <v>Lâm Kim Long</v>
          </cell>
          <cell r="D220">
            <v>40301</v>
          </cell>
          <cell r="E220" t="str">
            <v>Tổ trưởng</v>
          </cell>
          <cell r="F220">
            <v>171</v>
          </cell>
        </row>
        <row r="221">
          <cell r="B221" t="str">
            <v>CN0066</v>
          </cell>
          <cell r="C221" t="str">
            <v>Đỗ Thanh Nhàn</v>
          </cell>
          <cell r="D221">
            <v>41144</v>
          </cell>
          <cell r="E221" t="str">
            <v>CNSX</v>
          </cell>
          <cell r="F221">
            <v>144</v>
          </cell>
        </row>
        <row r="222">
          <cell r="B222" t="str">
            <v>CN0434</v>
          </cell>
          <cell r="C222" t="str">
            <v>Lê Văn Xoài</v>
          </cell>
          <cell r="D222">
            <v>43529</v>
          </cell>
          <cell r="E222" t="str">
            <v>CNSX</v>
          </cell>
          <cell r="F222">
            <v>65</v>
          </cell>
        </row>
        <row r="223">
          <cell r="B223" t="str">
            <v>CN0377</v>
          </cell>
          <cell r="C223" t="str">
            <v>Võ Văn Ngàn</v>
          </cell>
          <cell r="D223">
            <v>43200</v>
          </cell>
          <cell r="E223" t="str">
            <v>CNSX</v>
          </cell>
          <cell r="F223">
            <v>76</v>
          </cell>
        </row>
        <row r="224">
          <cell r="B224" t="str">
            <v>CN0027</v>
          </cell>
          <cell r="C224" t="str">
            <v>Thạch Tùng</v>
          </cell>
          <cell r="D224">
            <v>41414</v>
          </cell>
          <cell r="E224" t="str">
            <v>CNSX</v>
          </cell>
          <cell r="F224">
            <v>135</v>
          </cell>
        </row>
        <row r="225">
          <cell r="B225" t="str">
            <v>CN0048</v>
          </cell>
          <cell r="C225" t="str">
            <v>Lê Thanh Sang</v>
          </cell>
          <cell r="D225">
            <v>43564</v>
          </cell>
          <cell r="E225" t="str">
            <v>Tổ trưởng</v>
          </cell>
          <cell r="F225">
            <v>64</v>
          </cell>
        </row>
        <row r="226">
          <cell r="B226" t="str">
            <v>CN0151</v>
          </cell>
          <cell r="C226" t="str">
            <v>Lưu Văn Hiếu</v>
          </cell>
          <cell r="D226">
            <v>42949.442970949072</v>
          </cell>
          <cell r="E226" t="str">
            <v>CNSX</v>
          </cell>
          <cell r="F226">
            <v>85</v>
          </cell>
        </row>
        <row r="227">
          <cell r="B227" t="str">
            <v>CN0028</v>
          </cell>
          <cell r="C227" t="str">
            <v>Dương Hoàng Oanh</v>
          </cell>
          <cell r="D227">
            <v>41686</v>
          </cell>
          <cell r="E227" t="str">
            <v>CNSX</v>
          </cell>
          <cell r="F227">
            <v>126</v>
          </cell>
        </row>
        <row r="228">
          <cell r="B228" t="str">
            <v>CN0372</v>
          </cell>
          <cell r="C228" t="str">
            <v>Triệu Kim Phát</v>
          </cell>
          <cell r="D228">
            <v>43443</v>
          </cell>
          <cell r="E228" t="str">
            <v>CNSX</v>
          </cell>
          <cell r="F228">
            <v>68</v>
          </cell>
        </row>
        <row r="229">
          <cell r="B229" t="str">
            <v>CN0874</v>
          </cell>
          <cell r="C229" t="str">
            <v>Võ Thanh Tú</v>
          </cell>
          <cell r="D229">
            <v>44811</v>
          </cell>
          <cell r="E229" t="str">
            <v>CNSX</v>
          </cell>
          <cell r="F229">
            <v>23</v>
          </cell>
        </row>
        <row r="230">
          <cell r="B230" t="str">
            <v>CN1187</v>
          </cell>
          <cell r="C230" t="str">
            <v>Hứa Văn Hởi</v>
          </cell>
          <cell r="D230">
            <v>45388</v>
          </cell>
          <cell r="E230" t="str">
            <v>CNSX</v>
          </cell>
          <cell r="F230">
            <v>4</v>
          </cell>
        </row>
        <row r="231">
          <cell r="B231" t="str">
            <v>CN1268</v>
          </cell>
          <cell r="C231" t="str">
            <v>Võ Khải Nguyên</v>
          </cell>
          <cell r="D231">
            <v>45468</v>
          </cell>
          <cell r="E231" t="str">
            <v>CNSX</v>
          </cell>
          <cell r="F231">
            <v>2</v>
          </cell>
        </row>
        <row r="232">
          <cell r="B232" t="str">
            <v>CN1209</v>
          </cell>
          <cell r="C232" t="str">
            <v>Phạm Phát Tài</v>
          </cell>
          <cell r="D232">
            <v>45398</v>
          </cell>
          <cell r="E232" t="str">
            <v>CNSX</v>
          </cell>
          <cell r="F232">
            <v>4</v>
          </cell>
        </row>
        <row r="233">
          <cell r="B233" t="str">
            <v>CN1210</v>
          </cell>
          <cell r="C233" t="str">
            <v>Đỗ Công Danh</v>
          </cell>
          <cell r="D233">
            <v>45398</v>
          </cell>
          <cell r="E233" t="str">
            <v>CNSX</v>
          </cell>
          <cell r="F233">
            <v>4</v>
          </cell>
        </row>
        <row r="234">
          <cell r="B234" t="str">
            <v>CN1245</v>
          </cell>
          <cell r="C234" t="str">
            <v>Lâm Thành Lộc</v>
          </cell>
          <cell r="D234">
            <v>45442</v>
          </cell>
          <cell r="E234" t="str">
            <v>CNSX</v>
          </cell>
          <cell r="F234">
            <v>3</v>
          </cell>
        </row>
        <row r="235">
          <cell r="C235" t="str">
            <v>ĐÓNG GÓI</v>
          </cell>
        </row>
        <row r="236">
          <cell r="B236" t="str">
            <v>CN0011</v>
          </cell>
          <cell r="C236" t="str">
            <v>Nguyễn Diệu Hiền</v>
          </cell>
          <cell r="D236">
            <v>39629</v>
          </cell>
          <cell r="E236" t="str">
            <v>CNSX</v>
          </cell>
          <cell r="F236">
            <v>194</v>
          </cell>
        </row>
        <row r="237">
          <cell r="B237" t="str">
            <v>CN0150</v>
          </cell>
          <cell r="C237" t="str">
            <v>Lương Văn Chung</v>
          </cell>
          <cell r="D237">
            <v>42949.436983599539</v>
          </cell>
          <cell r="E237" t="str">
            <v>CNSX</v>
          </cell>
          <cell r="F237">
            <v>85</v>
          </cell>
        </row>
        <row r="238">
          <cell r="B238" t="str">
            <v>CN0549</v>
          </cell>
          <cell r="C238" t="str">
            <v>Danh Thị Thanh</v>
          </cell>
          <cell r="D238">
            <v>43866</v>
          </cell>
          <cell r="E238" t="str">
            <v>CNSX</v>
          </cell>
          <cell r="F238">
            <v>54</v>
          </cell>
        </row>
        <row r="239">
          <cell r="B239" t="str">
            <v>CN0554</v>
          </cell>
          <cell r="C239" t="str">
            <v>Trần Duy Khánh</v>
          </cell>
          <cell r="D239">
            <v>43874</v>
          </cell>
          <cell r="E239" t="str">
            <v>CNSX</v>
          </cell>
          <cell r="F239">
            <v>54</v>
          </cell>
        </row>
        <row r="240">
          <cell r="B240" t="str">
            <v>CN0512</v>
          </cell>
          <cell r="C240" t="str">
            <v>Phan Kim Tâm</v>
          </cell>
          <cell r="D240">
            <v>43726</v>
          </cell>
          <cell r="E240" t="str">
            <v>CNSX</v>
          </cell>
          <cell r="F240">
            <v>59</v>
          </cell>
        </row>
        <row r="241">
          <cell r="B241" t="str">
            <v>CN0013</v>
          </cell>
          <cell r="C241" t="str">
            <v>Hà Phước Thanh</v>
          </cell>
          <cell r="D241">
            <v>41347</v>
          </cell>
          <cell r="E241" t="str">
            <v>Tổ trưởng</v>
          </cell>
          <cell r="F241">
            <v>137</v>
          </cell>
        </row>
        <row r="242">
          <cell r="B242" t="str">
            <v>CN0170</v>
          </cell>
          <cell r="C242" t="str">
            <v>Trương Văn Dũng</v>
          </cell>
          <cell r="D242">
            <v>43000.62401929398</v>
          </cell>
          <cell r="E242" t="str">
            <v>CNSX</v>
          </cell>
          <cell r="F242">
            <v>83</v>
          </cell>
        </row>
        <row r="243">
          <cell r="B243" t="str">
            <v>CN0210</v>
          </cell>
          <cell r="C243" t="str">
            <v>Mai Thị Bé Ly</v>
          </cell>
          <cell r="D243">
            <v>43159</v>
          </cell>
          <cell r="E243" t="str">
            <v>Tổ trưởng</v>
          </cell>
          <cell r="F243">
            <v>78</v>
          </cell>
        </row>
        <row r="244">
          <cell r="B244" t="str">
            <v>CN0465</v>
          </cell>
          <cell r="C244" t="str">
            <v>Nguyễn Văn Minh</v>
          </cell>
          <cell r="D244">
            <v>43633</v>
          </cell>
          <cell r="E244" t="str">
            <v>CNSX</v>
          </cell>
          <cell r="F244">
            <v>62</v>
          </cell>
        </row>
        <row r="245">
          <cell r="B245" t="str">
            <v>CN0616</v>
          </cell>
          <cell r="C245" t="str">
            <v>Phạm Thành Tiên</v>
          </cell>
          <cell r="D245">
            <v>43976</v>
          </cell>
          <cell r="E245" t="str">
            <v>Tổ trưởng</v>
          </cell>
          <cell r="F245">
            <v>51</v>
          </cell>
        </row>
        <row r="246">
          <cell r="B246" t="str">
            <v>CN0709</v>
          </cell>
          <cell r="C246" t="str">
            <v>Đặng Thị Ngọc Trà</v>
          </cell>
          <cell r="D246">
            <v>44336</v>
          </cell>
          <cell r="E246" t="str">
            <v>CNSX</v>
          </cell>
          <cell r="F246">
            <v>39</v>
          </cell>
        </row>
        <row r="247">
          <cell r="B247" t="str">
            <v>CN0763</v>
          </cell>
          <cell r="C247" t="str">
            <v>Lương Thị Hóa</v>
          </cell>
          <cell r="D247">
            <v>44600</v>
          </cell>
          <cell r="E247" t="str">
            <v>CNSX</v>
          </cell>
          <cell r="F247">
            <v>30</v>
          </cell>
        </row>
        <row r="248">
          <cell r="B248" t="str">
            <v>CN0913</v>
          </cell>
          <cell r="C248" t="str">
            <v>Trương Minh Định</v>
          </cell>
          <cell r="D248">
            <v>44977</v>
          </cell>
          <cell r="E248" t="str">
            <v>CNSX</v>
          </cell>
          <cell r="F248">
            <v>18</v>
          </cell>
        </row>
        <row r="249">
          <cell r="B249" t="str">
            <v>CN1086</v>
          </cell>
          <cell r="C249" t="str">
            <v>Vũ Chí Thanh</v>
          </cell>
          <cell r="D249">
            <v>45345</v>
          </cell>
          <cell r="E249" t="str">
            <v>CNSX</v>
          </cell>
          <cell r="F249">
            <v>6</v>
          </cell>
        </row>
        <row r="250">
          <cell r="B250" t="str">
            <v>CN1251</v>
          </cell>
          <cell r="C250" t="str">
            <v>Võ Văn Phi</v>
          </cell>
          <cell r="D250">
            <v>45447</v>
          </cell>
          <cell r="E250" t="str">
            <v>CNSX</v>
          </cell>
          <cell r="F250">
            <v>2</v>
          </cell>
        </row>
        <row r="251">
          <cell r="C251" t="str">
            <v>Nhà máy F3</v>
          </cell>
        </row>
        <row r="252">
          <cell r="B252" t="str">
            <v>CN0032</v>
          </cell>
          <cell r="C252" t="str">
            <v>Thạch Tững</v>
          </cell>
          <cell r="D252">
            <v>40400</v>
          </cell>
          <cell r="E252" t="str">
            <v>Tổ trưởng</v>
          </cell>
          <cell r="F252">
            <v>168</v>
          </cell>
        </row>
        <row r="253">
          <cell r="B253" t="str">
            <v>CN0748</v>
          </cell>
          <cell r="C253" t="str">
            <v>Lê Văn Tỏa</v>
          </cell>
          <cell r="D253">
            <v>43983</v>
          </cell>
          <cell r="E253" t="str">
            <v>Tổ trưởng</v>
          </cell>
          <cell r="F253">
            <v>51</v>
          </cell>
        </row>
        <row r="254">
          <cell r="B254" t="str">
            <v>CN0749</v>
          </cell>
          <cell r="C254" t="str">
            <v>Chay Hoàng Sơn</v>
          </cell>
          <cell r="D254">
            <v>43983</v>
          </cell>
          <cell r="E254" t="str">
            <v>CNSX</v>
          </cell>
          <cell r="F254">
            <v>51</v>
          </cell>
        </row>
        <row r="255">
          <cell r="B255" t="str">
            <v>CN0576</v>
          </cell>
          <cell r="C255" t="str">
            <v>Trương Thái Hoàng Phong</v>
          </cell>
          <cell r="D255">
            <v>43906</v>
          </cell>
          <cell r="E255" t="str">
            <v>CNSX</v>
          </cell>
          <cell r="F255">
            <v>53</v>
          </cell>
        </row>
        <row r="256">
          <cell r="B256" t="str">
            <v>CN0766</v>
          </cell>
          <cell r="C256" t="str">
            <v>Tô Kim Hồng</v>
          </cell>
          <cell r="D256">
            <v>44606</v>
          </cell>
          <cell r="E256" t="str">
            <v>CNSX</v>
          </cell>
          <cell r="F256">
            <v>30</v>
          </cell>
        </row>
        <row r="257">
          <cell r="B257" t="str">
            <v>CN0774</v>
          </cell>
          <cell r="C257" t="str">
            <v>Phạm Thị Ngân</v>
          </cell>
          <cell r="D257">
            <v>44607</v>
          </cell>
          <cell r="E257" t="str">
            <v>CNSX</v>
          </cell>
          <cell r="F257">
            <v>30</v>
          </cell>
        </row>
        <row r="258">
          <cell r="B258" t="str">
            <v>CN0809</v>
          </cell>
          <cell r="C258" t="str">
            <v>Thạch Thị Ngọc Linh</v>
          </cell>
          <cell r="D258">
            <v>44643</v>
          </cell>
          <cell r="E258" t="str">
            <v>CNSX</v>
          </cell>
          <cell r="F258">
            <v>29</v>
          </cell>
        </row>
        <row r="259">
          <cell r="B259" t="str">
            <v>CN1205</v>
          </cell>
          <cell r="C259" t="str">
            <v>H Nhon Nie</v>
          </cell>
          <cell r="D259">
            <v>45392</v>
          </cell>
          <cell r="E259" t="str">
            <v>CNSX</v>
          </cell>
          <cell r="F259">
            <v>4</v>
          </cell>
        </row>
        <row r="260">
          <cell r="B260" t="str">
            <v>CN1224</v>
          </cell>
          <cell r="C260" t="str">
            <v>Cao Mạnh Hùng</v>
          </cell>
          <cell r="D260">
            <v>45415</v>
          </cell>
          <cell r="E260" t="str">
            <v>CNSX</v>
          </cell>
          <cell r="F260">
            <v>3</v>
          </cell>
        </row>
        <row r="261">
          <cell r="B261" t="str">
            <v>CN1255</v>
          </cell>
          <cell r="C261" t="str">
            <v>Danh Vích</v>
          </cell>
          <cell r="D261">
            <v>45450</v>
          </cell>
          <cell r="E261" t="str">
            <v>CNSX</v>
          </cell>
          <cell r="F261">
            <v>2</v>
          </cell>
        </row>
        <row r="262">
          <cell r="B262" t="str">
            <v>CN1232</v>
          </cell>
          <cell r="C262" t="str">
            <v>Lý Minh Hiếu</v>
          </cell>
          <cell r="D262">
            <v>45419</v>
          </cell>
          <cell r="E262" t="str">
            <v>CNSX</v>
          </cell>
          <cell r="F262">
            <v>3</v>
          </cell>
        </row>
        <row r="263">
          <cell r="B263" t="str">
            <v>CN1112</v>
          </cell>
          <cell r="C263" t="str">
            <v>Đặng Văn Tí</v>
          </cell>
          <cell r="D263">
            <v>45355</v>
          </cell>
          <cell r="E263" t="str">
            <v>CNSX</v>
          </cell>
          <cell r="F263">
            <v>5</v>
          </cell>
        </row>
        <row r="264">
          <cell r="B264" t="str">
            <v>CN1156</v>
          </cell>
          <cell r="C264" t="str">
            <v>Danh Chanh Tra</v>
          </cell>
          <cell r="D264">
            <v>45372</v>
          </cell>
          <cell r="E264" t="str">
            <v>CNSX</v>
          </cell>
          <cell r="F264">
            <v>5</v>
          </cell>
        </row>
        <row r="265">
          <cell r="C265" t="str">
            <v>Bảo vệ</v>
          </cell>
        </row>
        <row r="266">
          <cell r="B266" t="str">
            <v>BV1</v>
          </cell>
          <cell r="C266" t="str">
            <v>Nguyễn Tấn Hảo</v>
          </cell>
          <cell r="D266">
            <v>45292</v>
          </cell>
          <cell r="E266" t="str">
            <v>Bảo vệ</v>
          </cell>
          <cell r="F266">
            <v>8</v>
          </cell>
        </row>
        <row r="267">
          <cell r="B267" t="str">
            <v>BV2</v>
          </cell>
          <cell r="C267" t="str">
            <v>Nguyễn Văn Khánh</v>
          </cell>
          <cell r="D267">
            <v>45292</v>
          </cell>
          <cell r="E267" t="str">
            <v>Bảo vệ</v>
          </cell>
          <cell r="F267">
            <v>8</v>
          </cell>
        </row>
        <row r="268">
          <cell r="B268" t="str">
            <v>BV3</v>
          </cell>
          <cell r="C268" t="str">
            <v>Nguyễn Đức Trọng</v>
          </cell>
          <cell r="D268">
            <v>45292</v>
          </cell>
          <cell r="E268" t="str">
            <v>Bảo vệ</v>
          </cell>
          <cell r="F268">
            <v>8</v>
          </cell>
        </row>
        <row r="269">
          <cell r="B269" t="str">
            <v>BV4</v>
          </cell>
          <cell r="C269" t="str">
            <v>Từ Ngọc Đạo</v>
          </cell>
          <cell r="D269">
            <v>45292</v>
          </cell>
          <cell r="E269" t="str">
            <v>Bảo vệ</v>
          </cell>
          <cell r="F269">
            <v>8</v>
          </cell>
        </row>
        <row r="270">
          <cell r="B270" t="str">
            <v>BV5</v>
          </cell>
          <cell r="C270" t="str">
            <v>Nguyễn Văn Dũng</v>
          </cell>
          <cell r="D270">
            <v>45292</v>
          </cell>
          <cell r="E270" t="str">
            <v>Bảo vệ</v>
          </cell>
          <cell r="F270">
            <v>8</v>
          </cell>
        </row>
        <row r="271">
          <cell r="B271" t="str">
            <v>BV6</v>
          </cell>
          <cell r="C271" t="str">
            <v>Phạm Việt Anh</v>
          </cell>
          <cell r="D271">
            <v>45292</v>
          </cell>
          <cell r="E271" t="str">
            <v>Bảo vệ</v>
          </cell>
          <cell r="F271">
            <v>8</v>
          </cell>
        </row>
        <row r="272">
          <cell r="B272" t="str">
            <v>BV7</v>
          </cell>
          <cell r="C272" t="str">
            <v>Dương Quốc Hùng</v>
          </cell>
          <cell r="D272">
            <v>45292</v>
          </cell>
          <cell r="E272" t="str">
            <v>Bảo vệ</v>
          </cell>
          <cell r="F272">
            <v>8</v>
          </cell>
        </row>
        <row r="273">
          <cell r="B273" t="str">
            <v>BV8</v>
          </cell>
          <cell r="C273" t="str">
            <v>Phạm Việt Cường</v>
          </cell>
          <cell r="D273">
            <v>45292</v>
          </cell>
          <cell r="E273" t="str">
            <v>Bảo vệ</v>
          </cell>
          <cell r="F273">
            <v>8</v>
          </cell>
        </row>
        <row r="274">
          <cell r="B274" t="str">
            <v>BV9</v>
          </cell>
          <cell r="C274" t="str">
            <v>Nguyễn Văn Tiến</v>
          </cell>
          <cell r="D274">
            <v>45292</v>
          </cell>
          <cell r="E274" t="str">
            <v>Bảo vệ</v>
          </cell>
          <cell r="F274">
            <v>8</v>
          </cell>
        </row>
        <row r="275">
          <cell r="B275" t="str">
            <v>BV10</v>
          </cell>
          <cell r="C275" t="str">
            <v>Nguyễn Văn Quang</v>
          </cell>
          <cell r="D275">
            <v>45292</v>
          </cell>
          <cell r="E275" t="str">
            <v>Bảo vệ</v>
          </cell>
          <cell r="F275">
            <v>8</v>
          </cell>
        </row>
        <row r="276">
          <cell r="B276" t="str">
            <v>BV11</v>
          </cell>
          <cell r="C276" t="str">
            <v>Phan Văn Chía</v>
          </cell>
          <cell r="D276">
            <v>45292</v>
          </cell>
          <cell r="E276" t="str">
            <v>Bảo vệ</v>
          </cell>
          <cell r="F276">
            <v>8</v>
          </cell>
        </row>
        <row r="277">
          <cell r="B277" t="str">
            <v>BV12</v>
          </cell>
          <cell r="C277" t="str">
            <v>Trần Văn Nhơn</v>
          </cell>
          <cell r="D277">
            <v>45292</v>
          </cell>
          <cell r="E277" t="str">
            <v>Bảo vệ</v>
          </cell>
          <cell r="F277">
            <v>8</v>
          </cell>
        </row>
        <row r="280">
          <cell r="C280" t="str">
            <v>Người lập</v>
          </cell>
          <cell r="G280" t="str">
            <v>Người Duyệt</v>
          </cell>
        </row>
        <row r="286">
          <cell r="C286" t="str">
            <v>Nguyễn Thị Thanh Nhàn</v>
          </cell>
          <cell r="G286" t="str">
            <v>Nguyễn Thị Việt Hòa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4D68-FF77-4C8C-BA65-22CFC6F32D97}">
  <dimension ref="A1:BR259"/>
  <sheetViews>
    <sheetView workbookViewId="0">
      <selection sqref="A1:XFD1048576"/>
    </sheetView>
  </sheetViews>
  <sheetFormatPr defaultColWidth="10.140625" defaultRowHeight="12.75" outlineLevelRow="1" outlineLevelCol="4" x14ac:dyDescent="0.25"/>
  <cols>
    <col min="1" max="1" width="5.140625" style="152" customWidth="1"/>
    <col min="2" max="2" width="9.85546875" style="152" customWidth="1"/>
    <col min="3" max="3" width="25.7109375" style="27" customWidth="1"/>
    <col min="4" max="4" width="10.5703125" style="27" customWidth="1"/>
    <col min="5" max="5" width="6.28515625" style="146" customWidth="1"/>
    <col min="6" max="6" width="5.42578125" style="192" customWidth="1"/>
    <col min="7" max="7" width="3.85546875" style="146" customWidth="1"/>
    <col min="8" max="8" width="5.42578125" style="146" customWidth="1"/>
    <col min="9" max="9" width="4.28515625" style="146" customWidth="1"/>
    <col min="10" max="14" width="3.85546875" style="146" customWidth="1"/>
    <col min="15" max="15" width="4.42578125" style="146" customWidth="1"/>
    <col min="16" max="17" width="3.85546875" style="146" customWidth="1"/>
    <col min="18" max="18" width="4.5703125" style="146" customWidth="1"/>
    <col min="19" max="25" width="3.85546875" style="146" customWidth="1"/>
    <col min="26" max="26" width="5.7109375" style="144" customWidth="1"/>
    <col min="27" max="28" width="3.85546875" style="144" customWidth="1"/>
    <col min="29" max="29" width="4.42578125" style="144" customWidth="1"/>
    <col min="30" max="30" width="3.85546875" style="144" customWidth="1"/>
    <col min="31" max="31" width="5.28515625" style="144" customWidth="1"/>
    <col min="32" max="33" width="3.85546875" style="144" customWidth="1"/>
    <col min="34" max="34" width="4.42578125" style="144" customWidth="1"/>
    <col min="35" max="35" width="6.5703125" style="144" customWidth="1" outlineLevel="1"/>
    <col min="36" max="36" width="11.5703125" style="149" customWidth="1"/>
    <col min="37" max="37" width="13.7109375" style="149" customWidth="1"/>
    <col min="38" max="38" width="16.5703125" style="149" customWidth="1"/>
    <col min="39" max="39" width="11.42578125" style="149" customWidth="1"/>
    <col min="40" max="40" width="12.85546875" style="189" customWidth="1" outlineLevel="1"/>
    <col min="41" max="41" width="9.7109375" style="189" customWidth="1" outlineLevel="1"/>
    <col min="42" max="42" width="9.28515625" style="189" customWidth="1" outlineLevel="1"/>
    <col min="43" max="43" width="10.85546875" style="189" customWidth="1" outlineLevel="1"/>
    <col min="44" max="44" width="8.140625" style="189" customWidth="1" outlineLevel="1"/>
    <col min="45" max="45" width="9.140625" style="189" customWidth="1" outlineLevel="1"/>
    <col min="46" max="46" width="9.42578125" style="193" customWidth="1" outlineLevel="1"/>
    <col min="47" max="47" width="10.5703125" style="193" customWidth="1" outlineLevel="1"/>
    <col min="48" max="48" width="11" style="188" customWidth="1" outlineLevel="1"/>
    <col min="49" max="49" width="11.5703125" style="188" customWidth="1" outlineLevel="1"/>
    <col min="50" max="50" width="12.5703125" style="188" customWidth="1" outlineLevel="4"/>
    <col min="51" max="51" width="10.42578125" style="188" customWidth="1" outlineLevel="4"/>
    <col min="52" max="52" width="5.42578125" style="189" customWidth="1" outlineLevel="4"/>
    <col min="53" max="53" width="11.5703125" style="191" customWidth="1"/>
    <col min="54" max="54" width="17.7109375" style="191" customWidth="1"/>
    <col min="55" max="55" width="23.5703125" style="191" customWidth="1"/>
    <col min="56" max="56" width="19.28515625" style="191" customWidth="1"/>
    <col min="57" max="57" width="10.85546875" style="191" customWidth="1"/>
    <col min="58" max="58" width="12" style="194" hidden="1" customWidth="1"/>
    <col min="59" max="59" width="13.28515625" style="195" hidden="1" customWidth="1"/>
    <col min="60" max="61" width="10.140625" style="27" hidden="1" customWidth="1"/>
    <col min="62" max="62" width="25" style="27" hidden="1" customWidth="1"/>
    <col min="63" max="64" width="10.140625" style="27" hidden="1" customWidth="1"/>
    <col min="65" max="65" width="12.140625" style="27" hidden="1" customWidth="1"/>
    <col min="66" max="66" width="10.140625" style="27" hidden="1" customWidth="1"/>
    <col min="67" max="67" width="18.42578125" style="27" hidden="1" customWidth="1"/>
    <col min="68" max="68" width="10.140625" style="27" hidden="1" customWidth="1"/>
    <col min="69" max="72" width="0" style="27" hidden="1" customWidth="1"/>
    <col min="73" max="16384" width="10.140625" style="27"/>
  </cols>
  <sheetData>
    <row r="1" spans="1:70" s="3" customFormat="1" ht="20.25" customHeight="1" x14ac:dyDescent="0.25">
      <c r="A1" s="196"/>
      <c r="B1" s="197"/>
      <c r="C1" s="198"/>
      <c r="D1" s="205" t="str">
        <f>"BẢNG TỔNG HỢP CÔNG THÁNG "&amp;MONTH($AI$8)&amp;"/2026"</f>
        <v>BẢNG TỔNG HỢP CÔNG THÁNG 6/2026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7"/>
      <c r="BF1" s="1"/>
      <c r="BG1" s="2"/>
    </row>
    <row r="2" spans="1:70" s="3" customFormat="1" ht="15.75" customHeight="1" x14ac:dyDescent="0.25">
      <c r="A2" s="199"/>
      <c r="B2" s="200"/>
      <c r="C2" s="201"/>
      <c r="D2" s="208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10"/>
      <c r="BF2" s="1"/>
      <c r="BG2" s="2"/>
    </row>
    <row r="3" spans="1:70" s="3" customFormat="1" ht="21" customHeight="1" thickBot="1" x14ac:dyDescent="0.3">
      <c r="A3" s="202"/>
      <c r="B3" s="203"/>
      <c r="C3" s="204"/>
      <c r="D3" s="211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3"/>
      <c r="BF3" s="1"/>
      <c r="BG3" s="2"/>
    </row>
    <row r="4" spans="1:70" s="10" customFormat="1" ht="26.25" customHeight="1" x14ac:dyDescent="0.25">
      <c r="A4" s="4"/>
      <c r="B4" s="5">
        <v>46168</v>
      </c>
      <c r="C4" s="4"/>
      <c r="D4" s="4"/>
      <c r="E4" s="4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7"/>
      <c r="BB4" s="7"/>
      <c r="BC4" s="7"/>
      <c r="BD4" s="7"/>
      <c r="BE4" s="7"/>
      <c r="BF4" s="8"/>
      <c r="BG4" s="9"/>
    </row>
    <row r="5" spans="1:70" s="10" customFormat="1" ht="32.25" customHeight="1" x14ac:dyDescent="0.25">
      <c r="A5" s="11" t="s">
        <v>0</v>
      </c>
      <c r="B5" s="12"/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6"/>
      <c r="AK5" s="16"/>
      <c r="AL5" s="16"/>
      <c r="AM5" s="16"/>
      <c r="AN5" s="17"/>
      <c r="AO5" s="17"/>
      <c r="AP5" s="17"/>
      <c r="AQ5" s="17"/>
      <c r="AR5" s="17"/>
      <c r="AS5" s="17"/>
      <c r="AT5" s="18"/>
      <c r="AU5" s="18"/>
      <c r="AV5" s="19"/>
      <c r="AW5" s="19"/>
      <c r="AX5" s="19"/>
      <c r="AY5" s="19"/>
      <c r="AZ5" s="17"/>
      <c r="BA5" s="7"/>
      <c r="BB5" s="7"/>
      <c r="BC5" s="7"/>
      <c r="BD5" s="7"/>
      <c r="BE5" s="7"/>
      <c r="BF5" s="8"/>
      <c r="BG5" s="9"/>
    </row>
    <row r="6" spans="1:70" s="24" customFormat="1" ht="12" customHeight="1" thickBot="1" x14ac:dyDescent="0.3">
      <c r="A6" s="20"/>
      <c r="B6" s="21">
        <f>COLUMN()-1</f>
        <v>1</v>
      </c>
      <c r="C6" s="21">
        <f t="shared" ref="C6:BE6" si="0">COLUMN()-1</f>
        <v>2</v>
      </c>
      <c r="D6" s="20">
        <f t="shared" si="0"/>
        <v>3</v>
      </c>
      <c r="E6" s="20">
        <f t="shared" si="0"/>
        <v>4</v>
      </c>
      <c r="F6" s="20">
        <f t="shared" si="0"/>
        <v>5</v>
      </c>
      <c r="G6" s="20">
        <f t="shared" si="0"/>
        <v>6</v>
      </c>
      <c r="H6" s="20">
        <f t="shared" si="0"/>
        <v>7</v>
      </c>
      <c r="I6" s="20">
        <f t="shared" si="0"/>
        <v>8</v>
      </c>
      <c r="J6" s="20">
        <f t="shared" si="0"/>
        <v>9</v>
      </c>
      <c r="K6" s="20">
        <f t="shared" si="0"/>
        <v>10</v>
      </c>
      <c r="L6" s="20">
        <f t="shared" si="0"/>
        <v>11</v>
      </c>
      <c r="M6" s="20">
        <f t="shared" si="0"/>
        <v>12</v>
      </c>
      <c r="N6" s="20">
        <f t="shared" si="0"/>
        <v>13</v>
      </c>
      <c r="O6" s="20">
        <f t="shared" si="0"/>
        <v>14</v>
      </c>
      <c r="P6" s="20">
        <f t="shared" si="0"/>
        <v>15</v>
      </c>
      <c r="Q6" s="20">
        <f t="shared" si="0"/>
        <v>16</v>
      </c>
      <c r="R6" s="20">
        <f t="shared" si="0"/>
        <v>17</v>
      </c>
      <c r="S6" s="20">
        <f t="shared" si="0"/>
        <v>18</v>
      </c>
      <c r="T6" s="20">
        <f t="shared" si="0"/>
        <v>19</v>
      </c>
      <c r="U6" s="20">
        <f t="shared" si="0"/>
        <v>20</v>
      </c>
      <c r="V6" s="20">
        <f t="shared" si="0"/>
        <v>21</v>
      </c>
      <c r="W6" s="20">
        <f t="shared" si="0"/>
        <v>22</v>
      </c>
      <c r="X6" s="20">
        <f t="shared" si="0"/>
        <v>23</v>
      </c>
      <c r="Y6" s="20">
        <f t="shared" si="0"/>
        <v>24</v>
      </c>
      <c r="Z6" s="20">
        <f t="shared" si="0"/>
        <v>25</v>
      </c>
      <c r="AA6" s="20">
        <f t="shared" si="0"/>
        <v>26</v>
      </c>
      <c r="AB6" s="20">
        <f t="shared" si="0"/>
        <v>27</v>
      </c>
      <c r="AC6" s="20">
        <f t="shared" si="0"/>
        <v>28</v>
      </c>
      <c r="AD6" s="20">
        <f t="shared" si="0"/>
        <v>29</v>
      </c>
      <c r="AE6" s="20">
        <f t="shared" si="0"/>
        <v>30</v>
      </c>
      <c r="AF6" s="20">
        <f t="shared" si="0"/>
        <v>31</v>
      </c>
      <c r="AG6" s="20">
        <f t="shared" si="0"/>
        <v>32</v>
      </c>
      <c r="AH6" s="20">
        <f t="shared" si="0"/>
        <v>33</v>
      </c>
      <c r="AI6" s="20">
        <f t="shared" si="0"/>
        <v>34</v>
      </c>
      <c r="AJ6" s="20">
        <f t="shared" si="0"/>
        <v>35</v>
      </c>
      <c r="AK6" s="20">
        <f t="shared" si="0"/>
        <v>36</v>
      </c>
      <c r="AL6" s="20">
        <f t="shared" si="0"/>
        <v>37</v>
      </c>
      <c r="AM6" s="20">
        <f t="shared" si="0"/>
        <v>38</v>
      </c>
      <c r="AN6" s="20">
        <f t="shared" si="0"/>
        <v>39</v>
      </c>
      <c r="AO6" s="20">
        <f t="shared" si="0"/>
        <v>40</v>
      </c>
      <c r="AP6" s="20">
        <f t="shared" si="0"/>
        <v>41</v>
      </c>
      <c r="AQ6" s="20">
        <f t="shared" si="0"/>
        <v>42</v>
      </c>
      <c r="AR6" s="20">
        <f t="shared" si="0"/>
        <v>43</v>
      </c>
      <c r="AS6" s="20">
        <f t="shared" si="0"/>
        <v>44</v>
      </c>
      <c r="AT6" s="20">
        <f t="shared" si="0"/>
        <v>45</v>
      </c>
      <c r="AU6" s="20">
        <f t="shared" si="0"/>
        <v>46</v>
      </c>
      <c r="AV6" s="20">
        <f t="shared" si="0"/>
        <v>47</v>
      </c>
      <c r="AW6" s="20">
        <f t="shared" si="0"/>
        <v>48</v>
      </c>
      <c r="AX6" s="20">
        <f t="shared" si="0"/>
        <v>49</v>
      </c>
      <c r="AY6" s="20">
        <f t="shared" si="0"/>
        <v>50</v>
      </c>
      <c r="AZ6" s="20">
        <f t="shared" si="0"/>
        <v>51</v>
      </c>
      <c r="BA6" s="20">
        <f t="shared" si="0"/>
        <v>52</v>
      </c>
      <c r="BB6" s="20">
        <f t="shared" si="0"/>
        <v>53</v>
      </c>
      <c r="BC6" s="20"/>
      <c r="BD6" s="20"/>
      <c r="BE6" s="20">
        <f t="shared" si="0"/>
        <v>56</v>
      </c>
      <c r="BF6" s="20"/>
      <c r="BG6" s="22"/>
      <c r="BH6" s="23"/>
      <c r="BI6" s="23"/>
    </row>
    <row r="7" spans="1:70" ht="19.5" customHeight="1" x14ac:dyDescent="0.25">
      <c r="A7" s="214" t="s">
        <v>1</v>
      </c>
      <c r="B7" s="216" t="s">
        <v>2</v>
      </c>
      <c r="C7" s="219" t="s">
        <v>3</v>
      </c>
      <c r="D7" s="222" t="s">
        <v>4</v>
      </c>
      <c r="E7" s="221" t="s">
        <v>5</v>
      </c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5"/>
      <c r="AE7" s="25"/>
      <c r="AF7" s="25"/>
      <c r="AG7" s="25"/>
      <c r="AH7" s="25"/>
      <c r="AI7" s="25"/>
      <c r="AJ7" s="224" t="s">
        <v>6</v>
      </c>
      <c r="AK7" s="226" t="s">
        <v>7</v>
      </c>
      <c r="AL7" s="226" t="s">
        <v>8</v>
      </c>
      <c r="AM7" s="226" t="s">
        <v>9</v>
      </c>
      <c r="AN7" s="236" t="s">
        <v>10</v>
      </c>
      <c r="AO7" s="236"/>
      <c r="AP7" s="236"/>
      <c r="AQ7" s="236"/>
      <c r="AR7" s="236"/>
      <c r="AS7" s="236"/>
      <c r="AT7" s="236"/>
      <c r="AU7" s="236"/>
      <c r="AV7" s="236"/>
      <c r="AW7" s="26"/>
      <c r="AX7" s="26"/>
      <c r="AY7" s="26"/>
      <c r="AZ7" s="26"/>
      <c r="BA7" s="222" t="s">
        <v>11</v>
      </c>
      <c r="BB7" s="228" t="s">
        <v>12</v>
      </c>
      <c r="BC7" s="228" t="s">
        <v>13</v>
      </c>
      <c r="BD7" s="237" t="s">
        <v>14</v>
      </c>
      <c r="BE7" s="228" t="s">
        <v>15</v>
      </c>
      <c r="BF7" s="232" t="s">
        <v>16</v>
      </c>
      <c r="BG7" s="233" t="s">
        <v>17</v>
      </c>
      <c r="BJ7" s="27" t="s">
        <v>18</v>
      </c>
    </row>
    <row r="8" spans="1:70" ht="26.25" customHeight="1" x14ac:dyDescent="0.25">
      <c r="A8" s="215"/>
      <c r="B8" s="217"/>
      <c r="C8" s="220"/>
      <c r="D8" s="223"/>
      <c r="E8" s="28">
        <f>B4</f>
        <v>46168</v>
      </c>
      <c r="F8" s="29">
        <f t="shared" ref="F8:AI8" si="1">E8+1</f>
        <v>46169</v>
      </c>
      <c r="G8" s="29">
        <f t="shared" si="1"/>
        <v>46170</v>
      </c>
      <c r="H8" s="29">
        <f t="shared" si="1"/>
        <v>46171</v>
      </c>
      <c r="I8" s="29">
        <f t="shared" si="1"/>
        <v>46172</v>
      </c>
      <c r="J8" s="29">
        <f t="shared" si="1"/>
        <v>46173</v>
      </c>
      <c r="K8" s="29">
        <f t="shared" si="1"/>
        <v>46174</v>
      </c>
      <c r="L8" s="29">
        <f t="shared" si="1"/>
        <v>46175</v>
      </c>
      <c r="M8" s="29">
        <f t="shared" si="1"/>
        <v>46176</v>
      </c>
      <c r="N8" s="29">
        <f t="shared" si="1"/>
        <v>46177</v>
      </c>
      <c r="O8" s="29">
        <f t="shared" si="1"/>
        <v>46178</v>
      </c>
      <c r="P8" s="29">
        <f t="shared" si="1"/>
        <v>46179</v>
      </c>
      <c r="Q8" s="29">
        <f t="shared" si="1"/>
        <v>46180</v>
      </c>
      <c r="R8" s="29">
        <f t="shared" si="1"/>
        <v>46181</v>
      </c>
      <c r="S8" s="29">
        <f t="shared" si="1"/>
        <v>46182</v>
      </c>
      <c r="T8" s="29">
        <f t="shared" si="1"/>
        <v>46183</v>
      </c>
      <c r="U8" s="29">
        <f t="shared" si="1"/>
        <v>46184</v>
      </c>
      <c r="V8" s="29">
        <f t="shared" si="1"/>
        <v>46185</v>
      </c>
      <c r="W8" s="29">
        <f t="shared" si="1"/>
        <v>46186</v>
      </c>
      <c r="X8" s="29">
        <f t="shared" si="1"/>
        <v>46187</v>
      </c>
      <c r="Y8" s="29">
        <f t="shared" si="1"/>
        <v>46188</v>
      </c>
      <c r="Z8" s="29">
        <f t="shared" si="1"/>
        <v>46189</v>
      </c>
      <c r="AA8" s="29">
        <f t="shared" si="1"/>
        <v>46190</v>
      </c>
      <c r="AB8" s="29">
        <f t="shared" si="1"/>
        <v>46191</v>
      </c>
      <c r="AC8" s="29">
        <f t="shared" si="1"/>
        <v>46192</v>
      </c>
      <c r="AD8" s="29">
        <f t="shared" si="1"/>
        <v>46193</v>
      </c>
      <c r="AE8" s="29">
        <f t="shared" si="1"/>
        <v>46194</v>
      </c>
      <c r="AF8" s="29">
        <f t="shared" si="1"/>
        <v>46195</v>
      </c>
      <c r="AG8" s="29">
        <f t="shared" si="1"/>
        <v>46196</v>
      </c>
      <c r="AH8" s="29">
        <f t="shared" si="1"/>
        <v>46197</v>
      </c>
      <c r="AI8" s="29">
        <f t="shared" si="1"/>
        <v>46198</v>
      </c>
      <c r="AJ8" s="225"/>
      <c r="AK8" s="227"/>
      <c r="AL8" s="227"/>
      <c r="AM8" s="227"/>
      <c r="AN8" s="234" t="s">
        <v>19</v>
      </c>
      <c r="AO8" s="234" t="s">
        <v>20</v>
      </c>
      <c r="AP8" s="234" t="s">
        <v>21</v>
      </c>
      <c r="AQ8" s="234" t="s">
        <v>22</v>
      </c>
      <c r="AR8" s="234" t="s">
        <v>23</v>
      </c>
      <c r="AS8" s="234" t="s">
        <v>24</v>
      </c>
      <c r="AT8" s="235" t="s">
        <v>25</v>
      </c>
      <c r="AU8" s="235" t="s">
        <v>26</v>
      </c>
      <c r="AV8" s="241" t="s">
        <v>27</v>
      </c>
      <c r="AW8" s="231" t="s">
        <v>28</v>
      </c>
      <c r="AX8" s="231" t="s">
        <v>29</v>
      </c>
      <c r="AY8" s="231" t="s">
        <v>30</v>
      </c>
      <c r="AZ8" s="230"/>
      <c r="BA8" s="223"/>
      <c r="BB8" s="229"/>
      <c r="BC8" s="229"/>
      <c r="BD8" s="238"/>
      <c r="BE8" s="229"/>
      <c r="BF8" s="232"/>
      <c r="BG8" s="233"/>
    </row>
    <row r="9" spans="1:70" ht="39" customHeight="1" x14ac:dyDescent="0.25">
      <c r="A9" s="215"/>
      <c r="B9" s="218"/>
      <c r="C9" s="221"/>
      <c r="D9" s="223"/>
      <c r="E9" s="30" t="str">
        <f>IF(E8="","",CHOOSE(WEEKDAY(E8),"C.Nhật","T.Hai","T.Ba","T.Tư","T.Năm","T.Sáu","T.Bảy"))</f>
        <v>T.Ba</v>
      </c>
      <c r="F9" s="30" t="str">
        <f t="shared" ref="F9:AI9" si="2">IF(F8="","",CHOOSE(WEEKDAY(F8),"C.Nhật","T.Hai","T.Ba","T.Tư","T.Năm","T.Sáu","T.Bảy"))</f>
        <v>T.Tư</v>
      </c>
      <c r="G9" s="30" t="str">
        <f t="shared" si="2"/>
        <v>T.Năm</v>
      </c>
      <c r="H9" s="30" t="str">
        <f t="shared" si="2"/>
        <v>T.Sáu</v>
      </c>
      <c r="I9" s="30" t="str">
        <f t="shared" si="2"/>
        <v>T.Bảy</v>
      </c>
      <c r="J9" s="30" t="str">
        <f t="shared" si="2"/>
        <v>C.Nhật</v>
      </c>
      <c r="K9" s="30" t="str">
        <f t="shared" si="2"/>
        <v>T.Hai</v>
      </c>
      <c r="L9" s="30" t="str">
        <f t="shared" si="2"/>
        <v>T.Ba</v>
      </c>
      <c r="M9" s="30" t="str">
        <f t="shared" si="2"/>
        <v>T.Tư</v>
      </c>
      <c r="N9" s="30" t="str">
        <f t="shared" si="2"/>
        <v>T.Năm</v>
      </c>
      <c r="O9" s="30" t="str">
        <f t="shared" si="2"/>
        <v>T.Sáu</v>
      </c>
      <c r="P9" s="30" t="str">
        <f t="shared" si="2"/>
        <v>T.Bảy</v>
      </c>
      <c r="Q9" s="30" t="str">
        <f t="shared" si="2"/>
        <v>C.Nhật</v>
      </c>
      <c r="R9" s="30" t="str">
        <f t="shared" si="2"/>
        <v>T.Hai</v>
      </c>
      <c r="S9" s="30" t="str">
        <f t="shared" si="2"/>
        <v>T.Ba</v>
      </c>
      <c r="T9" s="30" t="str">
        <f t="shared" si="2"/>
        <v>T.Tư</v>
      </c>
      <c r="U9" s="30" t="str">
        <f t="shared" si="2"/>
        <v>T.Năm</v>
      </c>
      <c r="V9" s="30" t="str">
        <f t="shared" si="2"/>
        <v>T.Sáu</v>
      </c>
      <c r="W9" s="30" t="str">
        <f t="shared" si="2"/>
        <v>T.Bảy</v>
      </c>
      <c r="X9" s="30" t="str">
        <f t="shared" si="2"/>
        <v>C.Nhật</v>
      </c>
      <c r="Y9" s="30" t="str">
        <f t="shared" si="2"/>
        <v>T.Hai</v>
      </c>
      <c r="Z9" s="30" t="str">
        <f t="shared" si="2"/>
        <v>T.Ba</v>
      </c>
      <c r="AA9" s="30" t="str">
        <f t="shared" si="2"/>
        <v>T.Tư</v>
      </c>
      <c r="AB9" s="30" t="str">
        <f t="shared" si="2"/>
        <v>T.Năm</v>
      </c>
      <c r="AC9" s="30" t="str">
        <f t="shared" si="2"/>
        <v>T.Sáu</v>
      </c>
      <c r="AD9" s="30" t="str">
        <f t="shared" si="2"/>
        <v>T.Bảy</v>
      </c>
      <c r="AE9" s="30" t="str">
        <f t="shared" si="2"/>
        <v>C.Nhật</v>
      </c>
      <c r="AF9" s="30" t="str">
        <f t="shared" si="2"/>
        <v>T.Hai</v>
      </c>
      <c r="AG9" s="30" t="str">
        <f t="shared" si="2"/>
        <v>T.Ba</v>
      </c>
      <c r="AH9" s="30" t="str">
        <f t="shared" si="2"/>
        <v>T.Tư</v>
      </c>
      <c r="AI9" s="30" t="str">
        <f t="shared" si="2"/>
        <v>T.Năm</v>
      </c>
      <c r="AJ9" s="225"/>
      <c r="AK9" s="227"/>
      <c r="AL9" s="227"/>
      <c r="AM9" s="227"/>
      <c r="AN9" s="234"/>
      <c r="AO9" s="234"/>
      <c r="AP9" s="234"/>
      <c r="AQ9" s="234"/>
      <c r="AR9" s="234"/>
      <c r="AS9" s="234"/>
      <c r="AT9" s="235"/>
      <c r="AU9" s="235"/>
      <c r="AV9" s="241"/>
      <c r="AW9" s="231"/>
      <c r="AX9" s="231"/>
      <c r="AY9" s="231"/>
      <c r="AZ9" s="230"/>
      <c r="BA9" s="223"/>
      <c r="BB9" s="229"/>
      <c r="BC9" s="229"/>
      <c r="BD9" s="238"/>
      <c r="BE9" s="229"/>
      <c r="BF9" s="232"/>
      <c r="BG9" s="233"/>
      <c r="BM9" s="31" t="s">
        <v>31</v>
      </c>
    </row>
    <row r="10" spans="1:70" ht="30" hidden="1" customHeight="1" x14ac:dyDescent="0.25">
      <c r="A10" s="32">
        <v>1</v>
      </c>
      <c r="B10" s="33">
        <f>1+A10</f>
        <v>2</v>
      </c>
      <c r="C10" s="34">
        <f t="shared" ref="C10:AU10" si="3">1+B10</f>
        <v>3</v>
      </c>
      <c r="D10" s="33">
        <f t="shared" si="3"/>
        <v>4</v>
      </c>
      <c r="E10" s="33">
        <f>1+D10</f>
        <v>5</v>
      </c>
      <c r="F10" s="33">
        <f t="shared" si="3"/>
        <v>6</v>
      </c>
      <c r="G10" s="33">
        <f t="shared" si="3"/>
        <v>7</v>
      </c>
      <c r="H10" s="33">
        <f t="shared" si="3"/>
        <v>8</v>
      </c>
      <c r="I10" s="33">
        <f t="shared" si="3"/>
        <v>9</v>
      </c>
      <c r="J10" s="33">
        <f t="shared" si="3"/>
        <v>10</v>
      </c>
      <c r="K10" s="33">
        <f t="shared" si="3"/>
        <v>11</v>
      </c>
      <c r="L10" s="33">
        <f t="shared" si="3"/>
        <v>12</v>
      </c>
      <c r="M10" s="33">
        <f t="shared" si="3"/>
        <v>13</v>
      </c>
      <c r="N10" s="33">
        <f t="shared" si="3"/>
        <v>14</v>
      </c>
      <c r="O10" s="33">
        <f t="shared" si="3"/>
        <v>15</v>
      </c>
      <c r="P10" s="33">
        <f t="shared" si="3"/>
        <v>16</v>
      </c>
      <c r="Q10" s="33">
        <f t="shared" si="3"/>
        <v>17</v>
      </c>
      <c r="R10" s="33">
        <f t="shared" si="3"/>
        <v>18</v>
      </c>
      <c r="S10" s="33">
        <f t="shared" si="3"/>
        <v>19</v>
      </c>
      <c r="T10" s="33">
        <f t="shared" si="3"/>
        <v>20</v>
      </c>
      <c r="U10" s="33">
        <f t="shared" si="3"/>
        <v>21</v>
      </c>
      <c r="V10" s="33">
        <f t="shared" si="3"/>
        <v>22</v>
      </c>
      <c r="W10" s="33">
        <f t="shared" si="3"/>
        <v>23</v>
      </c>
      <c r="X10" s="33">
        <f t="shared" si="3"/>
        <v>24</v>
      </c>
      <c r="Y10" s="33">
        <f t="shared" si="3"/>
        <v>25</v>
      </c>
      <c r="Z10" s="33">
        <f t="shared" si="3"/>
        <v>26</v>
      </c>
      <c r="AA10" s="33">
        <f t="shared" si="3"/>
        <v>27</v>
      </c>
      <c r="AB10" s="33">
        <f t="shared" si="3"/>
        <v>28</v>
      </c>
      <c r="AC10" s="33">
        <f t="shared" si="3"/>
        <v>29</v>
      </c>
      <c r="AD10" s="33">
        <f t="shared" si="3"/>
        <v>30</v>
      </c>
      <c r="AE10" s="33">
        <f t="shared" si="3"/>
        <v>31</v>
      </c>
      <c r="AF10" s="33">
        <f t="shared" si="3"/>
        <v>32</v>
      </c>
      <c r="AG10" s="33">
        <f t="shared" si="3"/>
        <v>33</v>
      </c>
      <c r="AH10" s="33">
        <f t="shared" si="3"/>
        <v>34</v>
      </c>
      <c r="AI10" s="33"/>
      <c r="AJ10" s="33">
        <f t="shared" si="3"/>
        <v>1</v>
      </c>
      <c r="AK10" s="33">
        <f t="shared" si="3"/>
        <v>2</v>
      </c>
      <c r="AL10" s="33">
        <f t="shared" si="3"/>
        <v>3</v>
      </c>
      <c r="AM10" s="33">
        <f t="shared" si="3"/>
        <v>4</v>
      </c>
      <c r="AN10" s="33">
        <f t="shared" si="3"/>
        <v>5</v>
      </c>
      <c r="AO10" s="33">
        <f t="shared" si="3"/>
        <v>6</v>
      </c>
      <c r="AP10" s="33">
        <f t="shared" si="3"/>
        <v>7</v>
      </c>
      <c r="AQ10" s="33">
        <f t="shared" si="3"/>
        <v>8</v>
      </c>
      <c r="AR10" s="33">
        <f t="shared" si="3"/>
        <v>9</v>
      </c>
      <c r="AS10" s="33">
        <f t="shared" si="3"/>
        <v>10</v>
      </c>
      <c r="AT10" s="33">
        <f t="shared" si="3"/>
        <v>11</v>
      </c>
      <c r="AU10" s="33">
        <f t="shared" si="3"/>
        <v>12</v>
      </c>
      <c r="AV10" s="33">
        <v>48</v>
      </c>
      <c r="AW10" s="33">
        <v>50</v>
      </c>
      <c r="AX10" s="33">
        <f>1+AV10</f>
        <v>49</v>
      </c>
      <c r="AY10" s="33"/>
      <c r="AZ10" s="33">
        <f>1+AX10</f>
        <v>50</v>
      </c>
      <c r="BA10" s="33">
        <f>1+AZ10</f>
        <v>51</v>
      </c>
      <c r="BB10" s="35">
        <f>1+AZ10</f>
        <v>51</v>
      </c>
      <c r="BC10" s="35"/>
      <c r="BD10" s="36"/>
      <c r="BE10" s="35">
        <f>1+BA10</f>
        <v>52</v>
      </c>
      <c r="BF10" s="37"/>
      <c r="BG10" s="38"/>
    </row>
    <row r="11" spans="1:70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1"/>
      <c r="AW11" s="41"/>
      <c r="AX11" s="40"/>
      <c r="AY11" s="40"/>
      <c r="AZ11" s="40"/>
      <c r="BA11" s="40"/>
      <c r="BB11" s="42"/>
      <c r="BC11" s="42"/>
      <c r="BD11" s="43"/>
      <c r="BE11" s="42"/>
      <c r="BF11" s="44"/>
      <c r="BG11" s="45"/>
      <c r="BN11" s="27" t="s">
        <v>32</v>
      </c>
    </row>
    <row r="12" spans="1:70" s="53" customFormat="1" ht="26.25" customHeight="1" x14ac:dyDescent="0.25">
      <c r="A12" s="46"/>
      <c r="B12" s="46"/>
      <c r="C12" s="46" t="s">
        <v>33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7"/>
      <c r="BB12" s="48"/>
      <c r="BC12" s="48"/>
      <c r="BD12" s="49"/>
      <c r="BE12" s="48"/>
      <c r="BF12" s="50"/>
      <c r="BG12" s="51" t="s">
        <v>34</v>
      </c>
      <c r="BH12" s="52"/>
      <c r="BN12" s="54">
        <v>45535</v>
      </c>
    </row>
    <row r="13" spans="1:70" s="76" customFormat="1" ht="26.25" customHeight="1" x14ac:dyDescent="0.25">
      <c r="A13" s="33">
        <f>IF(B13="","",MAX(A12:A12)+1)</f>
        <v>1</v>
      </c>
      <c r="B13" s="33" t="s">
        <v>35</v>
      </c>
      <c r="C13" s="55" t="s">
        <v>36</v>
      </c>
      <c r="D13" s="56">
        <v>45068</v>
      </c>
      <c r="E13" s="57" t="s">
        <v>37</v>
      </c>
      <c r="F13" s="57" t="s">
        <v>37</v>
      </c>
      <c r="G13" s="57" t="s">
        <v>37</v>
      </c>
      <c r="H13" s="57" t="s">
        <v>37</v>
      </c>
      <c r="I13" s="57" t="s">
        <v>37</v>
      </c>
      <c r="J13" s="57"/>
      <c r="K13" s="57" t="s">
        <v>38</v>
      </c>
      <c r="L13" s="57" t="s">
        <v>38</v>
      </c>
      <c r="M13" s="57" t="s">
        <v>38</v>
      </c>
      <c r="N13" s="57" t="s">
        <v>38</v>
      </c>
      <c r="O13" s="57" t="s">
        <v>38</v>
      </c>
      <c r="P13" s="57" t="s">
        <v>38</v>
      </c>
      <c r="Q13" s="57" t="s">
        <v>506</v>
      </c>
      <c r="R13" s="57" t="s">
        <v>38</v>
      </c>
      <c r="S13" s="57" t="s">
        <v>38</v>
      </c>
      <c r="T13" s="57" t="s">
        <v>38</v>
      </c>
      <c r="U13" s="57" t="s">
        <v>38</v>
      </c>
      <c r="V13" s="57" t="s">
        <v>38</v>
      </c>
      <c r="W13" s="57" t="s">
        <v>38</v>
      </c>
      <c r="X13" s="57" t="s">
        <v>506</v>
      </c>
      <c r="Y13" s="57" t="s">
        <v>38</v>
      </c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8">
        <v>10110503</v>
      </c>
      <c r="AK13" s="59">
        <v>12</v>
      </c>
      <c r="AL13" s="60">
        <f>COUNTIF(D13:AI13,"N")+COUNTIF(D13:AI13,"N1")*1/AK13+COUNTIF(D13:AI13,"N2")*2/AK13+COUNTIF(D13:AI13,"N3")*3/AK13+COUNTIF(D13:AI13,"N4")*4/AK13+COUNTIF(D13:AI13,"N5")*5/AK13+COUNTIF(D13:AI13,"N6")*6/AK13+COUNTIF(D13:AI13,"N7")*7/AK13+COUNTIF(D13:AI13,"N8")*8/AK13+COUNTIF(D13:AI13,"N9")*9/AK13+COUNTIF(D13:AI13,"N10")*10/AK13+COUNTIF(D13:AI13,"N11")*11/AK13+COUNTIF(D13:AI13,"N12")*12/AK13+COUNTIF(D13:AI13,"Ro1")*1/AK13+COUNTIF(D13:AI13,"Ro2")*2/AK13+COUNTIF(D13:AI13,"Ro3")*3/AK13+COUNTIF(D13:AI13,"Ro3.0")*3/AK13+COUNTIF(D13:AI13,"Ro4")*4/AK13+COUNTIF(D13:AI13,"Ro4.0")*4/AK13+COUNTIF(D13:AI13,"Ro4.5")*4.5/AK13+COUNTIF(D13:AI13,"Ro5")*5/AK13+COUNTIF(D13:AI13,"Ro5.0")*5/AK13+COUNTIF(D13:AI13,"Ro5.5")*5.5/AK13+COUNTIF(D13:AI13,"Ro6")*6/AK13+COUNTIF(D13:AI13,"Ro7")*7/AK13+COUNTIF(D13:AI13,"Ro8")*8/AK13+COUNTIF(D13:AI13,"Ro8.0")*8/AK13+COUNTIF(D13:AI13,"Ro8.3")*8.3/AK13+COUNTIF(D13:AI13,"Ro8.5")*8.5/AK13+COUNTIF(D13:AI13,"Ro9")*9/AK13+COUNTIF(D13:AI13,"Ro9.5")*9.5/AK13+COUNTIF(D13:AI13,"Ro10")*10/AK13+COUNTIF(D13:AI13,"Ro10.0")*10/AK13+COUNTIF(D13:AI13,"Ro10.5")*10.5/AK13+COUNTIF(D13:AI13,"Ro11")*11/AK13+COUNTIF(D13:AI13,"Ro11.0")*11/AK13+COUNTIF(D13:AI13,"Ro11.5")*11.5/AK13+COUNTIF(D13:AI13,"Bu1")+COUNTIF(D13:AI13,"Bu2")+COUNTIF(D13:AI13,"Bu3")+COUNTIF(D13:AI13,"Bu4")+COUNTIF(D13:AI13,"Bu5")+COUNTIF(D13:AI13,"Bu6")+COUNTIF(D13:AI13,"Bu7")+COUNTIF(D13:AI13,"Bu8")+COUNTIF(D13:AI13,"Bu9")+COUNTIF(D13:AI13,"Bu10")+COUNTIF(D13:AI13,"Bu11")+COUNTIF(D13:AI13,"Bu")+COUNTIF(D13:AI13,"P2")*0.5</f>
        <v>13</v>
      </c>
      <c r="AM13" s="61">
        <f>COUNTIF(E13:AI13,"D")+COUNTIF(E13:AI13,"D1")*1/AK13+COUNTIF(E13:AI13,"D2")*2/AK13+COUNTIF(E13:AI13,"D3")*3/AK13+COUNTIF(E13:AI13,"D4")*4/AK13+COUNTIF(E13:AI13,"D5")*5/AK13+COUNTIF(E13:AI13,"D6")*6/AK13+COUNTIF(E13:AI13,"D7")*7/AK13+COUNTIF(E13:AI13,"D8")*8/AK13+COUNTIF(E13:AI13,"D9")*9/AK13+COUNTIF(E13:AI13,"D10")*10/AK13+COUNTIF(E13:AI13,"D11")*11/AK13+COUNTIF(E13:AI13,"D12")*12/AK13</f>
        <v>5</v>
      </c>
      <c r="AN13" s="62">
        <f>+AL13+AM13</f>
        <v>18</v>
      </c>
      <c r="AO13" s="62">
        <f>COUNTIF(E13:AI13,"p")+COUNTIF(E13:AI13,"p1")/2+COUNTIF(E13:AI13,"p2")/2</f>
        <v>0</v>
      </c>
      <c r="AP13" s="62">
        <f>COUNTIF(E13:AI13,"K")</f>
        <v>0</v>
      </c>
      <c r="AQ13" s="63">
        <f>COUNTIF(E13:AI13,"Ro")+COUNTIF(E13:AI13,"Ro1")*11/AK13+COUNTIF(E13:AI13,"Ro2")*10/AK13+COUNTIF(E13:AI13,"Ro3")*9/AK13+COUNTIF(E13:AI13,"Ro3.0")*9/AK13+COUNTIF(E13:AI13,"Ro4")*8/AK13+COUNTIF(E13:AI13,"Ro4.0")*8/AK13+COUNTIF(E13:AI13,"Ro4.5")*7.5/AK13+COUNTIF(E13:AI13,"Ro5")*7/AK13+COUNTIF(E13:AI13,"Ro5.0")*7/AK13+COUNTIF(E13:AI13,"Ro5.5")*6.5/AK13+COUNTIF(E13:AI13,"Ro6")*6/AK13+COUNTIF(E13:AI13,"Ro7")*5/AK13+COUNTIF(E13:AI13,"Ro8")*4/AK13+COUNTIF(E13:AI13,"Ro8.0")*4/AK13+COUNTIF(E13:AI13,"Ro8.3")*3.7/AK13+COUNTIF(E13:AI13,"Ro8.5")*3.5/AK13+COUNTIF(E13:AI13,"Ro9")*3/AK13+COUNTIF(E13:AI13,"Ro10")*2/AK13+COUNTIF(E13:AI13,"Ro10.0")*2/AK13+COUNTIF(E13:AI13,"Ro10.5")*1.5/AK13+COUNTIF(E13:AI13,"Ro11.0")*1/AK13+COUNTIF(E13:AI13,"Ro11")*1/AK13+COUNTIF(E13:AI13,"Ro11.5")*0.5/AK13+COUNTIF(E13:AI13,"N1")*11/AK13+COUNTIF(E13:AI13,"N2")*10/AK13+COUNTIF(E13:AI13,"N3")*9/AK13+COUNTIF(E13:AI13,"N4")*8/AK13+COUNTIF(E13:AI13,"N5")*7/AK13+COUNTIF(E13:AI13,"N6")*6/AK13+COUNTIF(E13:AI13,"N7")*5/AK13+COUNTIF(E13:AI13,"N8")*4/AK13+COUNTIF(E13:AI13,"N9")*3/AK13+COUNTIF(E13:AI13,"N10")*2/AK13+COUNTIF(E13:AI13,"N11")*1/AK13+COUNTIF(E13:AI13,"D1")*11/AK13+COUNTIF(E13:AI13,"D2")*10/AK13+COUNTIF(E13:AI13,"D3")*9/AK13+COUNTIF(E13:AI13,"D4")*8/AK13+COUNTIF(E13:AI13,"D5")*7/AK13+COUNTIF(E13:AI13,"D6")*6/AK13+COUNTIF(E13:AI13,"D7")*5/AK13+COUNTIF(E13:AI13,"D8")*4/AK13+COUNTIF(E13:AI13,"D9")*3/AK13+COUNTIF(E13:AI13,"D10")*2/AK13+COUNTIF(E13:AI13,"D11")*1/AK13+COUNTIF(E13:AI13,"P1")*0.5</f>
        <v>0</v>
      </c>
      <c r="AR13" s="62">
        <f>COUNTIF(E13:AI13,"R")</f>
        <v>0</v>
      </c>
      <c r="AS13" s="62">
        <f>COUNTIF(E13:AI13,"L")</f>
        <v>0</v>
      </c>
      <c r="AT13" s="64"/>
      <c r="AU13" s="64"/>
      <c r="AV13" s="65">
        <f>COUNTIF(E13:AI13,"12N")*12</f>
        <v>24</v>
      </c>
      <c r="AW13" s="65">
        <f>COUNTIF(F13:AI13,"12D")*12</f>
        <v>0</v>
      </c>
      <c r="AX13" s="64"/>
      <c r="AY13" s="64"/>
      <c r="AZ13" s="64"/>
      <c r="BA13" s="66">
        <f>+AN13+AR13+AS13+AO13</f>
        <v>18</v>
      </c>
      <c r="BB13" s="67"/>
      <c r="BC13" s="68"/>
      <c r="BD13" s="69">
        <f>VLOOKUP($B13,[1]CN!$B$9:$DK$221,114,0)</f>
        <v>3</v>
      </c>
      <c r="BE13" s="70">
        <f>+$AI$8-$E$8+1-INT(($AI$8-$E$8-WEEKDAY($AI$8)+8)/7)</f>
        <v>27</v>
      </c>
      <c r="BF13" s="71" t="s">
        <v>39</v>
      </c>
      <c r="BG13" s="72">
        <v>0</v>
      </c>
      <c r="BH13" s="73" t="str">
        <f>VLOOKUP(B13,'[2]Bang luong_06'!$B$9:$C$333,2,0)</f>
        <v>Vi Thị Phượng</v>
      </c>
      <c r="BI13" s="74" t="s">
        <v>35</v>
      </c>
      <c r="BJ13" s="75" t="str">
        <f>VLOOKUP($B13,'[2]Bang luong_06'!$B$10:$C$333,2,0)</f>
        <v>Vi Thị Phượng</v>
      </c>
      <c r="BK13" s="76" t="b">
        <f>BJ13=C13</f>
        <v>1</v>
      </c>
      <c r="BM13" s="77">
        <f>+VLOOKUP(B13,'[2]Thưởng Lễ 2-9'!B6:G295,6,0)</f>
        <v>0</v>
      </c>
      <c r="BN13" s="75">
        <f>ROUND(($BN$12-D13)/30,0)</f>
        <v>16</v>
      </c>
      <c r="BO13" s="76" t="str">
        <f>+VLOOKUP(B13,'[2]Bang luong_06'!B11:D335,3,0)</f>
        <v>Nhập liệu sản xuất</v>
      </c>
      <c r="BP13" s="76" t="s">
        <v>40</v>
      </c>
      <c r="BQ13" s="76">
        <v>3</v>
      </c>
      <c r="BR13" s="76">
        <f t="shared" ref="BR13:BR76" si="4">COUNTIF(D13:AI13,"N")+COUNTIF(D13:AI13,"N1")*1/AK13+COUNTIF(D13:AI13,"N2")*2/AK13+COUNTIF(D13:AI13,"N3")*3/AK13+COUNTIF(D13:AI13,"N4")*4/AK13+COUNTIF(D13:AI13,"N5")*5/AK13+COUNTIF(D13:AI13,"N6")*6/AK13+COUNTIF(D13:AI13,"N7")*7/AK13+COUNTIF(D13:AI13,"N8")*8/AK13+COUNTIF(D13:AI13,"N9")*9/AK13+COUNTIF(D13:AI13,"N10")*10/AK13+COUNTIF(D13:AI13,"N11")*11/AK13+COUNTIF(D13:AI13,"N12")*12/AK13+COUNTIF(D13:AI13,"Ro1")*1/AK13+COUNTIF(D13:AI13,"Ro2")*2/AK13+COUNTIF(D13:AI13,"Ro3")*3/AK13+COUNTIF(D13:AI13,"Ro3.0")*3/AK13+COUNTIF(D13:AI13,"Ro4")*4/AK13+COUNTIF(D13:AI13,"Ro4.0")*4/AK13+COUNTIF(D13:AI13,"Ro4.5")*4.5/AK13+COUNTIF(D13:AI13,"Ro5")*5/AK13+COUNTIF(D13:AI13,"Ro5.0")*5/AK13+COUNTIF(D13:AI13,"Ro5.5")*5.5/AK13+COUNTIF(D13:AI13,"Ro6")*6/AK13+COUNTIF(D13:AI13,"Ro7")*7/AK13+COUNTIF(D13:AI13,"Ro8")*8/AK13+COUNTIF(D13:AI13,"Ro8.0")*8/AK13+COUNTIF(D13:AI13,"Ro8.3")*8.3/AK13+COUNTIF(D13:AI13,"Ro8.5")*8.5/AK13+COUNTIF(D13:AI13,"Ro9")*9/AK13+COUNTIF(D13:AI13,"Ro9.5")*9.5/AK13+COUNTIF(D13:AI13,"Ro10")*10/AK13+COUNTIF(D13:AI13,"Ro10.0")*10/AK13+COUNTIF(D13:AI13,"Ro10.5")*10.5/AK13+COUNTIF(D13:AI13,"Ro11")*11/AK13+COUNTIF(D13:AI13,"Ro11.0")*11/AK13+COUNTIF(D13:AI13,"Ro11.5")*11.5/AK13+COUNTIF(D13:AI13,"P2")*0.5</f>
        <v>13</v>
      </c>
    </row>
    <row r="14" spans="1:70" s="76" customFormat="1" ht="26.25" customHeight="1" x14ac:dyDescent="0.25">
      <c r="A14" s="33">
        <f>IF(B14="","",MAX(A13:A13)+1)</f>
        <v>2</v>
      </c>
      <c r="B14" s="33" t="s">
        <v>41</v>
      </c>
      <c r="C14" s="55" t="s">
        <v>42</v>
      </c>
      <c r="D14" s="56">
        <v>45743</v>
      </c>
      <c r="E14" s="57" t="s">
        <v>38</v>
      </c>
      <c r="F14" s="57" t="s">
        <v>38</v>
      </c>
      <c r="G14" s="57" t="s">
        <v>38</v>
      </c>
      <c r="H14" s="57" t="s">
        <v>38</v>
      </c>
      <c r="I14" s="57" t="s">
        <v>38</v>
      </c>
      <c r="J14" s="57" t="s">
        <v>506</v>
      </c>
      <c r="K14" s="57" t="s">
        <v>37</v>
      </c>
      <c r="L14" s="57" t="s">
        <v>37</v>
      </c>
      <c r="M14" s="57" t="s">
        <v>37</v>
      </c>
      <c r="N14" s="57" t="s">
        <v>37</v>
      </c>
      <c r="O14" s="57" t="s">
        <v>37</v>
      </c>
      <c r="P14" s="57" t="s">
        <v>37</v>
      </c>
      <c r="Q14" s="57" t="s">
        <v>507</v>
      </c>
      <c r="R14" s="57" t="s">
        <v>37</v>
      </c>
      <c r="S14" s="57" t="s">
        <v>37</v>
      </c>
      <c r="T14" s="57" t="s">
        <v>37</v>
      </c>
      <c r="U14" s="57" t="s">
        <v>37</v>
      </c>
      <c r="V14" s="57" t="s">
        <v>37</v>
      </c>
      <c r="W14" s="57" t="s">
        <v>37</v>
      </c>
      <c r="X14" s="57"/>
      <c r="Y14" s="57" t="s">
        <v>38</v>
      </c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8">
        <v>10110503</v>
      </c>
      <c r="AK14" s="59">
        <v>12</v>
      </c>
      <c r="AL14" s="60">
        <f>COUNTIF(D14:AI14,"N")+COUNTIF(D14:AI14,"N1")*1/AK14+COUNTIF(D14:AI14,"N2")*2/AK14+COUNTIF(D14:AI14,"N3")*3/AK14+COUNTIF(D14:AI14,"N4")*4/AK14+COUNTIF(D14:AI14,"N5")*5/AK14+COUNTIF(D14:AI14,"N6")*6/AK14+COUNTIF(D14:AI14,"N7")*7/AK14+COUNTIF(D14:AI14,"N8")*8/AK14+COUNTIF(D14:AI14,"N9")*9/AK14+COUNTIF(D14:AI14,"N10")*10/AK14+COUNTIF(D14:AI14,"N11")*11/AK14+COUNTIF(D14:AI14,"N12")*12/AK14+COUNTIF(D14:AI14,"Ro1")*1/AK14+COUNTIF(D14:AI14,"Ro2")*2/AK14+COUNTIF(D14:AI14,"Ro3")*3/AK14+COUNTIF(D14:AI14,"Ro3.0")*3/AK14+COUNTIF(D14:AI14,"Ro4")*4/AK14+COUNTIF(D14:AI14,"Ro4.0")*4/AK14+COUNTIF(D14:AI14,"Ro4.5")*4.5/AK14+COUNTIF(D14:AI14,"Ro5")*5/AK14+COUNTIF(D14:AI14,"Ro5.0")*5/AK14+COUNTIF(D14:AI14,"Ro5.5")*5.5/AK14+COUNTIF(D14:AI14,"Ro6")*6/AK14+COUNTIF(D14:AI14,"Ro7")*7/AK14+COUNTIF(D14:AI14,"Ro8")*8/AK14+COUNTIF(D14:AI14,"Ro8.0")*8/AK14+COUNTIF(D14:AI14,"Ro8.3")*8.3/AK14+COUNTIF(D14:AI14,"Ro8.5")*8.5/AK14+COUNTIF(D14:AI14,"Ro9")*9/AK14+COUNTIF(D14:AI14,"Ro9.5")*9.5/AK14+COUNTIF(D14:AI14,"Ro10")*10/AK14+COUNTIF(D14:AI14,"Ro10.0")*10/AK14+COUNTIF(D14:AI14,"Ro10.5")*10.5/AK14+COUNTIF(D14:AI14,"Ro11")*11/AK14+COUNTIF(D14:AI14,"Ro11.0")*11/AK14+COUNTIF(D14:AI14,"Ro11.5")*11.5/AK14+COUNTIF(D14:AI14,"Bu1")+COUNTIF(D14:AI14,"Bu2")+COUNTIF(D14:AI14,"Bu3")+COUNTIF(D14:AI14,"Bu4")+COUNTIF(D14:AI14,"Bu5")+COUNTIF(D14:AI14,"Bu6")+COUNTIF(D14:AI14,"Bu7")+COUNTIF(D14:AI14,"Bu8")+COUNTIF(D14:AI14,"Bu9")+COUNTIF(D14:AI14,"Bu10")+COUNTIF(D14:AI14,"Bu11")+COUNTIF(D14:AI14,"Bu")+COUNTIF(D14:AI14,"P2")*0.5</f>
        <v>6</v>
      </c>
      <c r="AM14" s="61">
        <f>COUNTIF(E14:AI14,"D")+COUNTIF(E14:AI14,"D1")*1/AK14+COUNTIF(E14:AI14,"D2")*2/AK14+COUNTIF(E14:AI14,"D3")*3/AK14+COUNTIF(E14:AI14,"D4")*4/AK14+COUNTIF(E14:AI14,"D5")*5/AK14+COUNTIF(E14:AI14,"D6")*6/AK14+COUNTIF(E14:AI14,"D7")*7/AK14+COUNTIF(E14:AI14,"D8")*8/AK14+COUNTIF(E14:AI14,"D9")*9/AK14+COUNTIF(E14:AI14,"D10")*10/AK14+COUNTIF(E14:AI14,"D11")*11/AK14+COUNTIF(E14:AI14,"D12")*12/AK14</f>
        <v>12</v>
      </c>
      <c r="AN14" s="62">
        <f t="shared" ref="AN14" si="5">+AL14+AM14</f>
        <v>18</v>
      </c>
      <c r="AO14" s="62">
        <f>COUNTIF(E14:AI14,"p")+COUNTIF(E14:AI14,"p1")/2+COUNTIF(E14:AI14,"p2")/2</f>
        <v>0</v>
      </c>
      <c r="AP14" s="62">
        <f>COUNTIF(E14:AI14,"K")</f>
        <v>0</v>
      </c>
      <c r="AQ14" s="63">
        <f>COUNTIF(E14:AI14,"Ro")+COUNTIF(E14:AI14,"Ro1")*11/AK14+COUNTIF(E14:AI14,"Ro2")*10/AK14+COUNTIF(E14:AI14,"Ro3")*9/AK14+COUNTIF(E14:AI14,"Ro3.0")*9/AK14+COUNTIF(E14:AI14,"Ro4")*8/AK14+COUNTIF(E14:AI14,"Ro4.0")*8/AK14+COUNTIF(E14:AI14,"Ro4.5")*7.5/AK14+COUNTIF(E14:AI14,"Ro5")*7/AK14+COUNTIF(E14:AI14,"Ro5.0")*7/AK14+COUNTIF(E14:AI14,"Ro5.5")*6.5/AK14+COUNTIF(E14:AI14,"Ro6")*6/AK14+COUNTIF(E14:AI14,"Ro7")*5/AK14+COUNTIF(E14:AI14,"Ro8")*4/AK14+COUNTIF(E14:AI14,"Ro8.0")*4/AK14+COUNTIF(E14:AI14,"Ro8.3")*3.7/AK14+COUNTIF(E14:AI14,"Ro8.5")*3.5/AK14+COUNTIF(E14:AI14,"Ro9")*3/AK14+COUNTIF(E14:AI14,"Ro10")*2/AK14+COUNTIF(E14:AI14,"Ro10.0")*2/AK14+COUNTIF(E14:AI14,"Ro10.5")*1.5/AK14+COUNTIF(E14:AI14,"Ro11.0")*1/AK14+COUNTIF(E14:AI14,"Ro11")*1/AK14+COUNTIF(E14:AI14,"Ro11.5")*0.5/AK14+COUNTIF(E14:AI14,"N1")*11/AK14+COUNTIF(E14:AI14,"N2")*10/AK14+COUNTIF(E14:AI14,"N3")*9/AK14+COUNTIF(E14:AI14,"N4")*8/AK14+COUNTIF(E14:AI14,"N5")*7/AK14+COUNTIF(E14:AI14,"N6")*6/AK14+COUNTIF(E14:AI14,"N7")*5/AK14+COUNTIF(E14:AI14,"N8")*4/AK14+COUNTIF(E14:AI14,"N9")*3/AK14+COUNTIF(E14:AI14,"N10")*2/AK14+COUNTIF(E14:AI14,"N11")*1/AK14+COUNTIF(E14:AI14,"D1")*11/AK14+COUNTIF(E14:AI14,"D2")*10/AK14+COUNTIF(E14:AI14,"D3")*9/AK14+COUNTIF(E14:AI14,"D4")*8/AK14+COUNTIF(E14:AI14,"D5")*7/AK14+COUNTIF(E14:AI14,"D6")*6/AK14+COUNTIF(E14:AI14,"D7")*5/AK14+COUNTIF(E14:AI14,"D8")*4/AK14+COUNTIF(E14:AI14,"D9")*3/AK14+COUNTIF(E14:AI14,"D10")*2/AK14+COUNTIF(E14:AI14,"D11")*1/AK14+COUNTIF(E14:AI14,"P1")*0.5</f>
        <v>0</v>
      </c>
      <c r="AR14" s="62">
        <f>COUNTIF(E14:AI14,"R")</f>
        <v>0</v>
      </c>
      <c r="AS14" s="62">
        <f>COUNTIF(E14:AI14,"L")</f>
        <v>0</v>
      </c>
      <c r="AT14" s="64"/>
      <c r="AU14" s="64"/>
      <c r="AV14" s="65">
        <f t="shared" ref="AV14:AV16" si="6">COUNTIF(E14:AI14,"12N")*12</f>
        <v>12</v>
      </c>
      <c r="AW14" s="65">
        <f t="shared" ref="AW14:AW16" si="7">COUNTIF(F14:AI14,"12D")*12</f>
        <v>12</v>
      </c>
      <c r="AX14" s="64"/>
      <c r="AY14" s="64"/>
      <c r="AZ14" s="64"/>
      <c r="BA14" s="66">
        <f>+AN14+AR14+AS14+AO14</f>
        <v>18</v>
      </c>
      <c r="BB14" s="67"/>
      <c r="BC14" s="68"/>
      <c r="BD14" s="69">
        <f>VLOOKUP($B14,[1]CN!$B$9:$DK$221,114,0)</f>
        <v>2</v>
      </c>
      <c r="BE14" s="70">
        <f t="shared" ref="BE14:BE16" si="8">+$AI$8-$E$8+1-INT(($AI$8-$E$8-WEEKDAY($AI$8)+8)/7)</f>
        <v>27</v>
      </c>
      <c r="BF14" s="71" t="s">
        <v>39</v>
      </c>
      <c r="BG14" s="72">
        <v>0</v>
      </c>
      <c r="BH14" s="73" t="str">
        <f>VLOOKUP(B14,'[2]Bang luong_06'!$B$9:$C$333,2,0)</f>
        <v>Nguyễn Thị Thanh Tuyết</v>
      </c>
      <c r="BI14" s="74" t="s">
        <v>35</v>
      </c>
      <c r="BJ14" s="75" t="str">
        <f>VLOOKUP($B14,'[2]Bang luong_06'!$B$10:$C$333,2,0)</f>
        <v>Nguyễn Thị Thanh Tuyết</v>
      </c>
      <c r="BK14" s="76" t="b">
        <f>BJ14=C14</f>
        <v>1</v>
      </c>
      <c r="BM14" s="77" t="e">
        <f>+VLOOKUP(B14,'[2]Thưởng Lễ 2-9'!B7:G296,6,0)</f>
        <v>#N/A</v>
      </c>
      <c r="BN14" s="75">
        <f>ROUND(($BN$12-D14)/30,0)</f>
        <v>-7</v>
      </c>
      <c r="BO14" s="76" t="str">
        <f>+VLOOKUP(B14,'[2]Bang luong_06'!B11:D336,3,0)</f>
        <v>Nhập liệu sản xuất</v>
      </c>
      <c r="BP14" s="76" t="s">
        <v>40</v>
      </c>
      <c r="BQ14" s="76">
        <v>3</v>
      </c>
      <c r="BR14" s="76">
        <f>COUNTIF(D14:AI14,"N")+COUNTIF(D14:AI14,"N1")*1/AK14+COUNTIF(D14:AI14,"N2")*2/AK14+COUNTIF(D14:AI14,"N3")*3/AK14+COUNTIF(D14:AI14,"N4")*4/AK14+COUNTIF(D14:AI14,"N5")*5/AK14+COUNTIF(D14:AI14,"N6")*6/AK14+COUNTIF(D14:AI14,"N7")*7/AK14+COUNTIF(D14:AI14,"N8")*8/AK14+COUNTIF(D14:AI14,"N9")*9/AK14+COUNTIF(D14:AI14,"N10")*10/AK14+COUNTIF(D14:AI14,"N11")*11/AK14+COUNTIF(D14:AI14,"N12")*12/AK14+COUNTIF(D14:AI14,"Ro1")*1/AK14+COUNTIF(D14:AI14,"Ro2")*2/AK14+COUNTIF(D14:AI14,"Ro3")*3/AK14+COUNTIF(D14:AI14,"Ro3.0")*3/AK14+COUNTIF(D14:AI14,"Ro4")*4/AK14+COUNTIF(D14:AI14,"Ro4.0")*4/AK14+COUNTIF(D14:AI14,"Ro4.5")*4.5/AK14+COUNTIF(D14:AI14,"Ro5")*5/AK14+COUNTIF(D14:AI14,"Ro5.0")*5/AK14+COUNTIF(D14:AI14,"Ro5.5")*5.5/AK14+COUNTIF(D14:AI14,"Ro6")*6/AK14+COUNTIF(D14:AI14,"Ro7")*7/AK14+COUNTIF(D14:AI14,"Ro8")*8/AK14+COUNTIF(D14:AI14,"Ro8.0")*8/AK14+COUNTIF(D14:AI14,"Ro8.3")*8.3/AK14+COUNTIF(D14:AI14,"Ro8.5")*8.5/AK14+COUNTIF(D14:AI14,"Ro9")*9/AK14+COUNTIF(D14:AI14,"Ro9.5")*9.5/AK14+COUNTIF(D14:AI14,"Ro10")*10/AK14+COUNTIF(D14:AI14,"Ro10.0")*10/AK14+COUNTIF(D14:AI14,"Ro10.5")*10.5/AK14+COUNTIF(D14:AI14,"Ro11")*11/AK14+COUNTIF(D14:AI14,"Ro11.0")*11/AK14+COUNTIF(D14:AI14,"Ro11.5")*11.5/AK14+COUNTIF(D14:AI14,"P2")*0.5</f>
        <v>6</v>
      </c>
    </row>
    <row r="15" spans="1:70" s="76" customFormat="1" ht="26.25" customHeight="1" x14ac:dyDescent="0.25">
      <c r="A15" s="33">
        <f t="shared" ref="A15:A17" si="9">IF(B15="","",MAX(A14:A14)+1)</f>
        <v>3</v>
      </c>
      <c r="B15" s="78" t="s">
        <v>43</v>
      </c>
      <c r="C15" s="55" t="s">
        <v>44</v>
      </c>
      <c r="D15" s="79">
        <v>40301</v>
      </c>
      <c r="E15" s="57" t="s">
        <v>38</v>
      </c>
      <c r="F15" s="57" t="s">
        <v>38</v>
      </c>
      <c r="G15" s="57" t="s">
        <v>38</v>
      </c>
      <c r="H15" s="57" t="s">
        <v>38</v>
      </c>
      <c r="I15" s="57" t="s">
        <v>38</v>
      </c>
      <c r="J15" s="57" t="s">
        <v>506</v>
      </c>
      <c r="K15" s="57" t="s">
        <v>38</v>
      </c>
      <c r="L15" s="57" t="s">
        <v>38</v>
      </c>
      <c r="M15" s="57" t="s">
        <v>38</v>
      </c>
      <c r="N15" s="57" t="s">
        <v>38</v>
      </c>
      <c r="O15" s="57" t="s">
        <v>38</v>
      </c>
      <c r="P15" s="57" t="s">
        <v>38</v>
      </c>
      <c r="Q15" s="57" t="s">
        <v>506</v>
      </c>
      <c r="R15" s="57" t="s">
        <v>38</v>
      </c>
      <c r="S15" s="57" t="s">
        <v>38</v>
      </c>
      <c r="T15" s="57" t="s">
        <v>38</v>
      </c>
      <c r="U15" s="57" t="s">
        <v>38</v>
      </c>
      <c r="V15" s="57" t="s">
        <v>38</v>
      </c>
      <c r="W15" s="57" t="s">
        <v>38</v>
      </c>
      <c r="X15" s="57" t="s">
        <v>506</v>
      </c>
      <c r="Y15" s="57" t="s">
        <v>38</v>
      </c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8">
        <v>10110507</v>
      </c>
      <c r="AK15" s="59">
        <v>12</v>
      </c>
      <c r="AL15" s="60">
        <f>COUNTIF(D15:AI15,"N")+COUNTIF(D15:AI15,"N1")*1/AK15+COUNTIF(D15:AI15,"N2")*2/AK15+COUNTIF(D15:AI15,"N3")*3/AK15+COUNTIF(D15:AI15,"N4")*4/AK15+COUNTIF(D15:AI15,"N5")*5/AK15+COUNTIF(D15:AI15,"N6")*6/AK15+COUNTIF(D15:AI15,"N7")*7/AK15+COUNTIF(D15:AI15,"N8")*8/AK15+COUNTIF(D15:AI15,"N9")*9/AK15+COUNTIF(D15:AI15,"N10")*10/AK15+COUNTIF(D15:AI15,"N11")*11/AK15+COUNTIF(D15:AI15,"N12")*12/AK15+COUNTIF(D15:AI15,"Ro1")*1/AK15+COUNTIF(D15:AI15,"Ro2")*2/AK15+COUNTIF(D15:AI15,"Ro3")*3/AK15+COUNTIF(D15:AI15,"Ro3.0")*3/AK15+COUNTIF(D15:AI15,"Ro4")*4/AK15+COUNTIF(D15:AI15,"Ro4.0")*4/AK15+COUNTIF(D15:AI15,"Ro4.5")*4.5/AK15+COUNTIF(D15:AI15,"Ro5")*5/AK15+COUNTIF(D15:AI15,"Ro5.0")*5/AK15+COUNTIF(D15:AI15,"Ro5.5")*5.5/AK15+COUNTIF(D15:AI15,"Ro6")*6/AK15+COUNTIF(D15:AI15,"Ro7")*7/AK15+COUNTIF(D15:AI15,"Ro8")*8/AK15+COUNTIF(D15:AI15,"Ro8.0")*8/AK15+COUNTIF(D15:AI15,"Ro8.3")*8.3/AK15+COUNTIF(D15:AI15,"Ro8.5")*8.5/AK15+COUNTIF(D15:AI15,"Ro9")*9/AK15+COUNTIF(D15:AI15,"Ro9.5")*9.5/AK15+COUNTIF(D15:AI15,"Ro10")*10/AK15+COUNTIF(D15:AI15,"Ro10.0")*10/AK15+COUNTIF(D15:AI15,"Ro10.5")*10.5/AK15+COUNTIF(D15:AI15,"Ro11")*11/AK15+COUNTIF(D15:AI15,"Ro11.0")*11/AK15+COUNTIF(D15:AI15,"Ro11.5")*11.5/AK15+COUNTIF(D15:AI15,"Bu1")+COUNTIF(D15:AI15,"Bu2")+COUNTIF(D15:AI15,"Bu3")+COUNTIF(D15:AI15,"Bu4")+COUNTIF(D15:AI15,"Bu5")+COUNTIF(D15:AI15,"Bu6")+COUNTIF(D15:AI15,"Bu7")+COUNTIF(D15:AI15,"Bu8")+COUNTIF(D15:AI15,"Bu9")+COUNTIF(D15:AI15,"Bu10")+COUNTIF(D15:AI15,"Bu11")+COUNTIF(D15:AI15,"Bu")+COUNTIF(D15:AI15,"P2")*0.5</f>
        <v>18</v>
      </c>
      <c r="AM15" s="61">
        <f>COUNTIF(E15:AI15,"D")+COUNTIF(E15:AI15,"D1")*1/AK15+COUNTIF(E15:AI15,"D2")*2/AK15+COUNTIF(E15:AI15,"D3")*3/AK15+COUNTIF(E15:AI15,"D4")*4/AK15+COUNTIF(E15:AI15,"D5")*5/AK15+COUNTIF(E15:AI15,"D6")*6/AK15+COUNTIF(E15:AI15,"D7")*7/AK15+COUNTIF(E15:AI15,"D8")*8/AK15+COUNTIF(E15:AI15,"D9")*9/AK15+COUNTIF(E15:AI15,"D10")*10/AK15+COUNTIF(E15:AI15,"D11")*11/AK15+COUNTIF(E15:AI15,"D12")*12/AK15</f>
        <v>0</v>
      </c>
      <c r="AN15" s="62">
        <f>+AL15+AM15</f>
        <v>18</v>
      </c>
      <c r="AO15" s="62">
        <f>COUNTIF(E15:AI15,"p")+COUNTIF(E15:AI15,"p1")/2+COUNTIF(E15:AI15,"p2")/2</f>
        <v>0</v>
      </c>
      <c r="AP15" s="62">
        <f>COUNTIF(E15:AI15,"K")</f>
        <v>0</v>
      </c>
      <c r="AQ15" s="63">
        <f>COUNTIF(E15:AI15,"Ro")+COUNTIF(E15:AI15,"Ro1")*11/AK15+COUNTIF(E15:AI15,"Ro2")*10/AK15+COUNTIF(E15:AI15,"Ro3")*9/AK15+COUNTIF(E15:AI15,"Ro3.0")*9/AK15+COUNTIF(E15:AI15,"Ro4")*8/AK15+COUNTIF(E15:AI15,"Ro4.0")*8/AK15+COUNTIF(E15:AI15,"Ro4.5")*7.5/AK15+COUNTIF(E15:AI15,"Ro5")*7/AK15+COUNTIF(E15:AI15,"Ro5.0")*7/AK15+COUNTIF(E15:AI15,"Ro5.5")*6.5/AK15+COUNTIF(E15:AI15,"Ro6")*6/AK15+COUNTIF(E15:AI15,"Ro7")*5/AK15+COUNTIF(E15:AI15,"Ro8")*4/AK15+COUNTIF(E15:AI15,"Ro8.0")*4/AK15+COUNTIF(E15:AI15,"Ro8.3")*3.7/AK15+COUNTIF(E15:AI15,"Ro8.5")*3.5/AK15+COUNTIF(E15:AI15,"Ro9")*3/AK15+COUNTIF(E15:AI15,"Ro10")*2/AK15+COUNTIF(E15:AI15,"Ro10.0")*2/AK15+COUNTIF(E15:AI15,"Ro10.5")*1.5/AK15+COUNTIF(E15:AI15,"Ro11.0")*1/AK15+COUNTIF(E15:AI15,"Ro11")*1/AK15+COUNTIF(E15:AI15,"Ro11.5")*0.5/AK15+COUNTIF(E15:AI15,"N1")*11/AK15+COUNTIF(E15:AI15,"N2")*10/AK15+COUNTIF(E15:AI15,"N3")*9/AK15+COUNTIF(E15:AI15,"N4")*8/AK15+COUNTIF(E15:AI15,"N5")*7/AK15+COUNTIF(E15:AI15,"N6")*6/AK15+COUNTIF(E15:AI15,"N7")*5/AK15+COUNTIF(E15:AI15,"N8")*4/AK15+COUNTIF(E15:AI15,"N9")*3/AK15+COUNTIF(E15:AI15,"N10")*2/AK15+COUNTIF(E15:AI15,"N11")*1/AK15+COUNTIF(E15:AI15,"D1")*11/AK15+COUNTIF(E15:AI15,"D2")*10/AK15+COUNTIF(E15:AI15,"D3")*9/AK15+COUNTIF(E15:AI15,"D4")*8/AK15+COUNTIF(E15:AI15,"D5")*7/AK15+COUNTIF(E15:AI15,"D6")*6/AK15+COUNTIF(E15:AI15,"D7")*5/AK15+COUNTIF(E15:AI15,"D8")*4/AK15+COUNTIF(E15:AI15,"D9")*3/AK15+COUNTIF(E15:AI15,"D10")*2/AK15+COUNTIF(E15:AI15,"D11")*1/AK15+COUNTIF(E15:AI15,"P1")*0.5</f>
        <v>0</v>
      </c>
      <c r="AR15" s="62">
        <f>COUNTIF(E15:AI15,"R")</f>
        <v>0</v>
      </c>
      <c r="AS15" s="62">
        <f>COUNTIF(E15:AI15,"L")</f>
        <v>0</v>
      </c>
      <c r="AT15" s="64"/>
      <c r="AU15" s="64"/>
      <c r="AV15" s="65">
        <f t="shared" si="6"/>
        <v>36</v>
      </c>
      <c r="AW15" s="65">
        <f t="shared" si="7"/>
        <v>0</v>
      </c>
      <c r="AX15" s="64"/>
      <c r="AY15" s="64"/>
      <c r="AZ15" s="80"/>
      <c r="BA15" s="66">
        <f>+AN15+AR15+AS15+AO15</f>
        <v>18</v>
      </c>
      <c r="BB15" s="67"/>
      <c r="BC15" s="68"/>
      <c r="BD15" s="69">
        <f>VLOOKUP($B15,[1]CN!$B$9:$DK$221,114,0)</f>
        <v>4</v>
      </c>
      <c r="BE15" s="70">
        <f t="shared" si="8"/>
        <v>27</v>
      </c>
      <c r="BF15" s="71" t="s">
        <v>39</v>
      </c>
      <c r="BG15" s="72" t="s">
        <v>34</v>
      </c>
      <c r="BH15" s="73" t="str">
        <f>VLOOKUP(B15,'[2]Bang luong_06'!$B$9:$C$333,2,0)</f>
        <v>Óc Cường</v>
      </c>
      <c r="BI15" s="74" t="s">
        <v>43</v>
      </c>
      <c r="BJ15" s="75" t="str">
        <f>VLOOKUP($B15,'[2]Bang luong_06'!$B$10:$C$333,2,0)</f>
        <v>Óc Cường</v>
      </c>
      <c r="BK15" s="76" t="b">
        <f>BJ15=C15</f>
        <v>1</v>
      </c>
      <c r="BM15" s="77">
        <f>+VLOOKUP(B15,'[2]Thưởng Lễ 2-9'!B41:G331,6,0)</f>
        <v>0</v>
      </c>
      <c r="BN15" s="75">
        <f>ROUND(($BN$12-D15)/30,0)</f>
        <v>174</v>
      </c>
      <c r="BO15" s="76" t="str">
        <f>+VLOOKUP(B15,'[2]Bang luong_06'!B49:D363,3,0)</f>
        <v>Trưởng ca</v>
      </c>
      <c r="BP15" s="76" t="s">
        <v>40</v>
      </c>
      <c r="BQ15" s="76">
        <v>4</v>
      </c>
      <c r="BR15" s="76">
        <f>COUNTIF(D15:AI15,"N")+COUNTIF(D15:AI15,"N1")*1/AK15+COUNTIF(D15:AI15,"N2")*2/AK15+COUNTIF(D15:AI15,"N3")*3/AK15+COUNTIF(D15:AI15,"N4")*4/AK15+COUNTIF(D15:AI15,"N5")*5/AK15+COUNTIF(D15:AI15,"N6")*6/AK15+COUNTIF(D15:AI15,"N7")*7/AK15+COUNTIF(D15:AI15,"N8")*8/AK15+COUNTIF(D15:AI15,"N9")*9/AK15+COUNTIF(D15:AI15,"N10")*10/AK15+COUNTIF(D15:AI15,"N11")*11/AK15+COUNTIF(D15:AI15,"N12")*12/AK15+COUNTIF(D15:AI15,"Ro1")*1/AK15+COUNTIF(D15:AI15,"Ro2")*2/AK15+COUNTIF(D15:AI15,"Ro3")*3/AK15+COUNTIF(D15:AI15,"Ro3.0")*3/AK15+COUNTIF(D15:AI15,"Ro4")*4/AK15+COUNTIF(D15:AI15,"Ro4.0")*4/AK15+COUNTIF(D15:AI15,"Ro4.5")*4.5/AK15+COUNTIF(D15:AI15,"Ro5")*5/AK15+COUNTIF(D15:AI15,"Ro5.0")*5/AK15+COUNTIF(D15:AI15,"Ro5.5")*5.5/AK15+COUNTIF(D15:AI15,"Ro6")*6/AK15+COUNTIF(D15:AI15,"Ro7")*7/AK15+COUNTIF(D15:AI15,"Ro8")*8/AK15+COUNTIF(D15:AI15,"Ro8.0")*8/AK15+COUNTIF(D15:AI15,"Ro8.3")*8.3/AK15+COUNTIF(D15:AI15,"Ro8.5")*8.5/AK15+COUNTIF(D15:AI15,"Ro9")*9/AK15+COUNTIF(D15:AI15,"Ro9.5")*9.5/AK15+COUNTIF(D15:AI15,"Ro10")*10/AK15+COUNTIF(D15:AI15,"Ro10.0")*10/AK15+COUNTIF(D15:AI15,"Ro10.5")*10.5/AK15+COUNTIF(D15:AI15,"Ro11")*11/AK15+COUNTIF(D15:AI15,"Ro11.0")*11/AK15+COUNTIF(D15:AI15,"Ro11.5")*11.5/AK15+COUNTIF(D15:AI15,"P2")*0.5</f>
        <v>18</v>
      </c>
    </row>
    <row r="16" spans="1:70" s="76" customFormat="1" ht="26.25" customHeight="1" x14ac:dyDescent="0.25">
      <c r="A16" s="33">
        <f t="shared" si="9"/>
        <v>4</v>
      </c>
      <c r="B16" s="78" t="s">
        <v>45</v>
      </c>
      <c r="C16" s="55" t="s">
        <v>46</v>
      </c>
      <c r="D16" s="79">
        <v>45705</v>
      </c>
      <c r="E16" s="57" t="s">
        <v>38</v>
      </c>
      <c r="F16" s="57" t="s">
        <v>38</v>
      </c>
      <c r="G16" s="57" t="s">
        <v>38</v>
      </c>
      <c r="H16" s="57" t="s">
        <v>38</v>
      </c>
      <c r="I16" s="57" t="s">
        <v>38</v>
      </c>
      <c r="J16" s="57"/>
      <c r="K16" s="57" t="s">
        <v>38</v>
      </c>
      <c r="L16" s="57" t="s">
        <v>38</v>
      </c>
      <c r="M16" s="57" t="s">
        <v>38</v>
      </c>
      <c r="N16" s="57" t="s">
        <v>38</v>
      </c>
      <c r="O16" s="57" t="s">
        <v>38</v>
      </c>
      <c r="P16" s="57" t="s">
        <v>38</v>
      </c>
      <c r="Q16" s="57"/>
      <c r="R16" s="57" t="s">
        <v>38</v>
      </c>
      <c r="S16" s="57" t="s">
        <v>38</v>
      </c>
      <c r="T16" s="57" t="s">
        <v>38</v>
      </c>
      <c r="U16" s="57" t="s">
        <v>38</v>
      </c>
      <c r="V16" s="57" t="s">
        <v>38</v>
      </c>
      <c r="W16" s="57" t="s">
        <v>38</v>
      </c>
      <c r="X16" s="57" t="s">
        <v>506</v>
      </c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8">
        <v>10110507</v>
      </c>
      <c r="AK16" s="59">
        <v>12</v>
      </c>
      <c r="AL16" s="60">
        <f>COUNTIF(D16:AI16,"N")+COUNTIF(D16:AI16,"N1")*1/AK16+COUNTIF(D16:AI16,"N2")*2/AK16+COUNTIF(D16:AI16,"N3")*3/AK16+COUNTIF(D16:AI16,"N4")*4/AK16+COUNTIF(D16:AI16,"N5")*5/AK16+COUNTIF(D16:AI16,"N6")*6/AK16+COUNTIF(D16:AI16,"N7")*7/AK16+COUNTIF(D16:AI16,"N8")*8/AK16+COUNTIF(D16:AI16,"N9")*9/AK16+COUNTIF(D16:AI16,"N10")*10/AK16+COUNTIF(D16:AI16,"N11")*11/AK16+COUNTIF(D16:AI16,"N12")*12/AK16+COUNTIF(D16:AI16,"Ro1")*1/AK16+COUNTIF(D16:AI16,"Ro2")*2/AK16+COUNTIF(D16:AI16,"Ro3")*3/AK16+COUNTIF(D16:AI16,"Ro3.0")*3/AK16+COUNTIF(D16:AI16,"Ro4")*4/AK16+COUNTIF(D16:AI16,"Ro4.0")*4/AK16+COUNTIF(D16:AI16,"Ro4.5")*4.5/AK16+COUNTIF(D16:AI16,"Ro5")*5/AK16+COUNTIF(D16:AI16,"Ro5.0")*5/AK16+COUNTIF(D16:AI16,"Ro5.5")*5.5/AK16+COUNTIF(D16:AI16,"Ro6")*6/AK16+COUNTIF(D16:AI16,"Ro7")*7/AK16+COUNTIF(D16:AI16,"Ro8")*8/AK16+COUNTIF(D16:AI16,"Ro8.0")*8/AK16+COUNTIF(D16:AI16,"Ro8.3")*8.3/AK16+COUNTIF(D16:AI16,"Ro8.5")*8.5/AK16+COUNTIF(D16:AI16,"Ro9")*9/AK16+COUNTIF(D16:AI16,"Ro9.5")*9.5/AK16+COUNTIF(D16:AI16,"Ro10")*10/AK16+COUNTIF(D16:AI16,"Ro10.0")*10/AK16+COUNTIF(D16:AI16,"Ro10.5")*10.5/AK16+COUNTIF(D16:AI16,"Ro11")*11/AK16+COUNTIF(D16:AI16,"Ro11.0")*11/AK16+COUNTIF(D16:AI16,"Ro11.5")*11.5/AK16+COUNTIF(D16:AI16,"Bu1")+COUNTIF(D16:AI16,"Bu2")+COUNTIF(D16:AI16,"Bu3")+COUNTIF(D16:AI16,"Bu4")+COUNTIF(D16:AI16,"Bu5")+COUNTIF(D16:AI16,"Bu6")+COUNTIF(D16:AI16,"Bu7")+COUNTIF(D16:AI16,"Bu8")+COUNTIF(D16:AI16,"Bu9")+COUNTIF(D16:AI16,"Bu10")+COUNTIF(D16:AI16,"Bu11")+COUNTIF(D16:AI16,"Bu")+COUNTIF(D16:AI16,"P2")*0.5</f>
        <v>17</v>
      </c>
      <c r="AM16" s="61">
        <f>COUNTIF(E16:AI16,"D")+COUNTIF(E16:AI16,"D1")*1/AK16+COUNTIF(E16:AI16,"D2")*2/AK16+COUNTIF(E16:AI16,"D3")*3/AK16+COUNTIF(E16:AI16,"D4")*4/AK16+COUNTIF(E16:AI16,"D5")*5/AK16+COUNTIF(E16:AI16,"D6")*6/AK16+COUNTIF(E16:AI16,"D7")*7/AK16+COUNTIF(E16:AI16,"D8")*8/AK16+COUNTIF(E16:AI16,"D9")*9/AK16+COUNTIF(E16:AI16,"D10")*10/AK16+COUNTIF(E16:AI16,"D11")*11/AK16+COUNTIF(E16:AI16,"D12")*12/AK16</f>
        <v>0</v>
      </c>
      <c r="AN16" s="62">
        <f>+AL16+AM16</f>
        <v>17</v>
      </c>
      <c r="AO16" s="62">
        <f>COUNTIF(E16:AI16,"p")+COUNTIF(E16:AI16,"p1")/2+COUNTIF(E16:AI16,"p2")/2</f>
        <v>0</v>
      </c>
      <c r="AP16" s="62">
        <f>COUNTIF(E16:AI16,"K")</f>
        <v>0</v>
      </c>
      <c r="AQ16" s="63">
        <f>COUNTIF(E16:AI16,"Ro")+COUNTIF(E16:AI16,"Ro1")*11/AK16+COUNTIF(E16:AI16,"Ro2")*10/AK16+COUNTIF(E16:AI16,"Ro3")*9/AK16+COUNTIF(E16:AI16,"Ro3.0")*9/AK16+COUNTIF(E16:AI16,"Ro4")*8/AK16+COUNTIF(E16:AI16,"Ro4.0")*8/AK16+COUNTIF(E16:AI16,"Ro4.5")*7.5/AK16+COUNTIF(E16:AI16,"Ro5")*7/AK16+COUNTIF(E16:AI16,"Ro5.0")*7/AK16+COUNTIF(E16:AI16,"Ro5.5")*6.5/AK16+COUNTIF(E16:AI16,"Ro6")*6/AK16+COUNTIF(E16:AI16,"Ro7")*5/AK16+COUNTIF(E16:AI16,"Ro8")*4/AK16+COUNTIF(E16:AI16,"Ro8.0")*4/AK16+COUNTIF(E16:AI16,"Ro8.3")*3.7/AK16+COUNTIF(E16:AI16,"Ro8.5")*3.5/AK16+COUNTIF(E16:AI16,"Ro9")*3/AK16+COUNTIF(E16:AI16,"Ro10")*2/AK16+COUNTIF(E16:AI16,"Ro10.0")*2/AK16+COUNTIF(E16:AI16,"Ro10.5")*1.5/AK16+COUNTIF(E16:AI16,"Ro11.0")*1/AK16+COUNTIF(E16:AI16,"Ro11")*1/AK16+COUNTIF(E16:AI16,"Ro11.5")*0.5/AK16+COUNTIF(E16:AI16,"N1")*11/AK16+COUNTIF(E16:AI16,"N2")*10/AK16+COUNTIF(E16:AI16,"N3")*9/AK16+COUNTIF(E16:AI16,"N4")*8/AK16+COUNTIF(E16:AI16,"N5")*7/AK16+COUNTIF(E16:AI16,"N6")*6/AK16+COUNTIF(E16:AI16,"N7")*5/AK16+COUNTIF(E16:AI16,"N8")*4/AK16+COUNTIF(E16:AI16,"N9")*3/AK16+COUNTIF(E16:AI16,"N10")*2/AK16+COUNTIF(E16:AI16,"N11")*1/AK16+COUNTIF(E16:AI16,"D1")*11/AK16+COUNTIF(E16:AI16,"D2")*10/AK16+COUNTIF(E16:AI16,"D3")*9/AK16+COUNTIF(E16:AI16,"D4")*8/AK16+COUNTIF(E16:AI16,"D5")*7/AK16+COUNTIF(E16:AI16,"D6")*6/AK16+COUNTIF(E16:AI16,"D7")*5/AK16+COUNTIF(E16:AI16,"D8")*4/AK16+COUNTIF(E16:AI16,"D9")*3/AK16+COUNTIF(E16:AI16,"D10")*2/AK16+COUNTIF(E16:AI16,"D11")*1/AK16+COUNTIF(E16:AI16,"P1")*0.5</f>
        <v>0</v>
      </c>
      <c r="AR16" s="62">
        <f>COUNTIF(E16:AI16,"R")</f>
        <v>0</v>
      </c>
      <c r="AS16" s="62">
        <f>COUNTIF(E16:AI16,"L")</f>
        <v>0</v>
      </c>
      <c r="AT16" s="64"/>
      <c r="AU16" s="64"/>
      <c r="AV16" s="65">
        <f t="shared" si="6"/>
        <v>12</v>
      </c>
      <c r="AW16" s="65">
        <f t="shared" si="7"/>
        <v>0</v>
      </c>
      <c r="AX16" s="64"/>
      <c r="AY16" s="64"/>
      <c r="AZ16" s="80"/>
      <c r="BA16" s="66">
        <f>+AN16+AR16+AS16+AO16</f>
        <v>17</v>
      </c>
      <c r="BB16" s="67"/>
      <c r="BC16" s="68"/>
      <c r="BD16" s="69">
        <f>VLOOKUP($B16,[1]CN!$B$9:$DK$221,114,0)</f>
        <v>3</v>
      </c>
      <c r="BE16" s="70">
        <f t="shared" si="8"/>
        <v>27</v>
      </c>
      <c r="BF16" s="71" t="s">
        <v>39</v>
      </c>
      <c r="BG16" s="72" t="s">
        <v>34</v>
      </c>
      <c r="BH16" s="73" t="str">
        <f>VLOOKUP(B16,'[2]Bang luong_06'!$B$9:$C$333,2,0)</f>
        <v>Võ Nguyễn Đức Tài</v>
      </c>
      <c r="BI16" s="74" t="s">
        <v>43</v>
      </c>
      <c r="BJ16" s="75" t="str">
        <f>VLOOKUP($B16,'[2]Bang luong_06'!$B$10:$C$333,2,0)</f>
        <v>Võ Nguyễn Đức Tài</v>
      </c>
      <c r="BK16" s="76" t="b">
        <f>BJ16=C16</f>
        <v>1</v>
      </c>
      <c r="BM16" s="77" t="e">
        <f>+VLOOKUP(B16,'[2]Thưởng Lễ 2-9'!B42:G332,6,0)</f>
        <v>#N/A</v>
      </c>
      <c r="BN16" s="75">
        <f>ROUND(($BN$12-D16)/30,0)</f>
        <v>-6</v>
      </c>
      <c r="BO16" s="76" t="str">
        <f>+VLOOKUP(B16,'[2]Bang luong_06'!B50:D364,3,0)</f>
        <v>Trưởng ca</v>
      </c>
      <c r="BP16" s="76" t="s">
        <v>40</v>
      </c>
      <c r="BQ16" s="76">
        <v>4</v>
      </c>
      <c r="BR16" s="76">
        <f>COUNTIF(D16:AI16,"N")+COUNTIF(D16:AI16,"N1")*1/AK16+COUNTIF(D16:AI16,"N2")*2/AK16+COUNTIF(D16:AI16,"N3")*3/AK16+COUNTIF(D16:AI16,"N4")*4/AK16+COUNTIF(D16:AI16,"N5")*5/AK16+COUNTIF(D16:AI16,"N6")*6/AK16+COUNTIF(D16:AI16,"N7")*7/AK16+COUNTIF(D16:AI16,"N8")*8/AK16+COUNTIF(D16:AI16,"N9")*9/AK16+COUNTIF(D16:AI16,"N10")*10/AK16+COUNTIF(D16:AI16,"N11")*11/AK16+COUNTIF(D16:AI16,"N12")*12/AK16+COUNTIF(D16:AI16,"Ro1")*1/AK16+COUNTIF(D16:AI16,"Ro2")*2/AK16+COUNTIF(D16:AI16,"Ro3")*3/AK16+COUNTIF(D16:AI16,"Ro3.0")*3/AK16+COUNTIF(D16:AI16,"Ro4")*4/AK16+COUNTIF(D16:AI16,"Ro4.0")*4/AK16+COUNTIF(D16:AI16,"Ro4.5")*4.5/AK16+COUNTIF(D16:AI16,"Ro5")*5/AK16+COUNTIF(D16:AI16,"Ro5.0")*5/AK16+COUNTIF(D16:AI16,"Ro5.5")*5.5/AK16+COUNTIF(D16:AI16,"Ro6")*6/AK16+COUNTIF(D16:AI16,"Ro7")*7/AK16+COUNTIF(D16:AI16,"Ro8")*8/AK16+COUNTIF(D16:AI16,"Ro8.0")*8/AK16+COUNTIF(D16:AI16,"Ro8.3")*8.3/AK16+COUNTIF(D16:AI16,"Ro8.5")*8.5/AK16+COUNTIF(D16:AI16,"Ro9")*9/AK16+COUNTIF(D16:AI16,"Ro9.5")*9.5/AK16+COUNTIF(D16:AI16,"Ro10")*10/AK16+COUNTIF(D16:AI16,"Ro10.0")*10/AK16+COUNTIF(D16:AI16,"Ro10.5")*10.5/AK16+COUNTIF(D16:AI16,"Ro11")*11/AK16+COUNTIF(D16:AI16,"Ro11.0")*11/AK16+COUNTIF(D16:AI16,"Ro11.5")*11.5/AK16+COUNTIF(D16:AI16,"P2")*0.5</f>
        <v>17</v>
      </c>
    </row>
    <row r="17" spans="1:70" s="84" customFormat="1" ht="27" customHeight="1" x14ac:dyDescent="0.25">
      <c r="A17" s="33" t="str">
        <f t="shared" si="9"/>
        <v/>
      </c>
      <c r="B17" s="46"/>
      <c r="C17" s="46" t="s">
        <v>47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81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82"/>
      <c r="BE17" s="46"/>
      <c r="BF17" s="83"/>
      <c r="BG17" s="72" t="s">
        <v>34</v>
      </c>
      <c r="BH17" s="73"/>
      <c r="BI17" s="73"/>
      <c r="BJ17" s="75"/>
      <c r="BK17" s="76"/>
      <c r="BM17" s="77"/>
      <c r="BN17" s="75"/>
      <c r="BO17" s="76"/>
      <c r="BP17" s="76"/>
      <c r="BQ17" s="76"/>
      <c r="BR17" s="76" t="e">
        <f t="shared" si="4"/>
        <v>#DIV/0!</v>
      </c>
    </row>
    <row r="18" spans="1:70" s="76" customFormat="1" ht="24.75" customHeight="1" x14ac:dyDescent="0.25">
      <c r="A18" s="33">
        <f>IF(B18="","",MAX(A16:A17)+1)</f>
        <v>5</v>
      </c>
      <c r="B18" s="33" t="s">
        <v>48</v>
      </c>
      <c r="C18" s="55" t="s">
        <v>49</v>
      </c>
      <c r="D18" s="56">
        <v>41682</v>
      </c>
      <c r="E18" s="57" t="s">
        <v>38</v>
      </c>
      <c r="F18" s="57" t="s">
        <v>38</v>
      </c>
      <c r="G18" s="57" t="s">
        <v>38</v>
      </c>
      <c r="H18" s="57" t="s">
        <v>38</v>
      </c>
      <c r="I18" s="57" t="s">
        <v>38</v>
      </c>
      <c r="J18" s="57"/>
      <c r="K18" s="57" t="s">
        <v>38</v>
      </c>
      <c r="L18" s="57" t="s">
        <v>38</v>
      </c>
      <c r="M18" s="57" t="s">
        <v>38</v>
      </c>
      <c r="N18" s="57" t="s">
        <v>38</v>
      </c>
      <c r="O18" s="57" t="s">
        <v>38</v>
      </c>
      <c r="P18" s="57" t="s">
        <v>38</v>
      </c>
      <c r="Q18" s="57"/>
      <c r="R18" s="57" t="s">
        <v>38</v>
      </c>
      <c r="S18" s="57" t="s">
        <v>38</v>
      </c>
      <c r="T18" s="57" t="s">
        <v>38</v>
      </c>
      <c r="U18" s="57" t="s">
        <v>38</v>
      </c>
      <c r="V18" s="57" t="s">
        <v>38</v>
      </c>
      <c r="W18" s="57" t="s">
        <v>38</v>
      </c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85" t="s">
        <v>50</v>
      </c>
      <c r="AK18" s="59">
        <v>9</v>
      </c>
      <c r="AL18" s="60">
        <f t="shared" ref="AL18:AL25" si="10">COUNTIF(D18:AI18,"N")+COUNTIF(D18:AI18,"N1")*1/AK18+COUNTIF(D18:AI18,"N2")*2/AK18+COUNTIF(D18:AI18,"N3")*3/AK18+COUNTIF(D18:AI18,"N4")*4/AK18+COUNTIF(D18:AI18,"N5")*5/AK18+COUNTIF(D18:AI18,"N6")*6/AK18+COUNTIF(D18:AI18,"N7")*7/AK18+COUNTIF(D18:AI18,"N8")*8/AK18+COUNTIF(D18:AI18,"N9")*9/AK18+COUNTIF(D18:AI18,"N10")*10/AK18+COUNTIF(D18:AI18,"N11")*11/AK18+COUNTIF(D18:AI18,"N12")*12/AK18+COUNTIF(D18:AI18,"Ro1")*1/AK18+COUNTIF(D18:AI18,"Ro2")*2/AK18+COUNTIF(D18:AI18,"Ro3")*3/AK18+COUNTIF(D18:AI18,"Ro3.0")*3/AK18+COUNTIF(D18:AI18,"Ro4")*4/AK18+COUNTIF(D18:AI18,"Ro4.0")*4/AK18+COUNTIF(D18:AI18,"Ro4.5")*4.5/AK18+COUNTIF(D18:AI18,"Ro5")*5/AK18+COUNTIF(D18:AI18,"Ro5.0")*5/AK18+COUNTIF(D18:AI18,"Ro5.5")*5.5/AK18+COUNTIF(D18:AI18,"Ro6")*6/AK18+COUNTIF(D18:AI18,"Ro7")*7/AK18+COUNTIF(D18:AI18,"Ro8")*8/AK18+COUNTIF(D18:AI18,"Ro8.0")*8/AK18+COUNTIF(D18:AI18,"Ro8.3")*8.3/AK18+COUNTIF(D18:AI18,"Ro8.5")*8.5/AK18+COUNTIF(D18:AI18,"Ro9")*9/AK18+COUNTIF(D18:AI18,"Ro9.5")*9.5/AK18+COUNTIF(D18:AI18,"Ro10")*10/AK18+COUNTIF(D18:AI18,"Ro10.0")*10/AK18+COUNTIF(D18:AI18,"Ro10.5")*10.5/AK18+COUNTIF(D18:AI18,"Ro11")*11/AK18+COUNTIF(D18:AI18,"Ro11.0")*11/AK18+COUNTIF(D18:AI18,"Ro11.5")*11.5/AK18+COUNTIF(D18:AI18,"Bu1")+COUNTIF(D18:AI18,"Bu2")+COUNTIF(D18:AI18,"Bu3")+COUNTIF(D18:AI18,"Bu4")+COUNTIF(D18:AI18,"Bu5")+COUNTIF(D18:AI18,"Bu6")+COUNTIF(D18:AI18,"Bu7")+COUNTIF(D18:AI18,"Bu8")+COUNTIF(D18:AI18,"Bu9")+COUNTIF(D18:AI18,"Bu10")+COUNTIF(D18:AI18,"Bu11")+COUNTIF(D18:AI18,"Bu")+COUNTIF(D18:AI18,"P2")*0.5</f>
        <v>17</v>
      </c>
      <c r="AM18" s="61">
        <f t="shared" ref="AM18:AM25" si="11">COUNTIF(E18:AI18,"D")+COUNTIF(E18:AI18,"D1")*1/AK18+COUNTIF(E18:AI18,"D2")*2/AK18+COUNTIF(E18:AI18,"D3")*3/AK18+COUNTIF(E18:AI18,"D4")*4/AK18+COUNTIF(E18:AI18,"D5")*5/AK18+COUNTIF(E18:AI18,"D6")*6/AK18+COUNTIF(E18:AI18,"D7")*7/AK18+COUNTIF(E18:AI18,"D8")*8/AK18+COUNTIF(E18:AI18,"D9")*9/AK18+COUNTIF(E18:AI18,"D10")*10/AK18+COUNTIF(E18:AI18,"D11")*11/AK18+COUNTIF(E18:AI18,"D12")*12/AK18</f>
        <v>0</v>
      </c>
      <c r="AN18" s="62">
        <f t="shared" ref="AN18:AN25" si="12">+AL18+AM18</f>
        <v>17</v>
      </c>
      <c r="AO18" s="62">
        <f t="shared" ref="AO18:AO25" si="13">COUNTIF(E18:AI18,"p")+COUNTIF(E18:AI18,"p1")/2+COUNTIF(E18:AI18,"p2")/2</f>
        <v>0</v>
      </c>
      <c r="AP18" s="62">
        <f t="shared" ref="AP18:AP25" si="14">COUNTIF(E18:AI18,"K")</f>
        <v>0</v>
      </c>
      <c r="AQ18" s="63">
        <f t="shared" ref="AQ18:AQ25" si="15">COUNTIF(E18:AI18,"Ro")+COUNTIF(E18:AI18,"Ro1")*11/AK18+COUNTIF(E18:AI18,"Ro2")*10/AK18+COUNTIF(E18:AI18,"Ro3")*9/AK18+COUNTIF(E18:AI18,"Ro3.0")*9/AK18+COUNTIF(E18:AI18,"Ro4")*8/AK18+COUNTIF(E18:AI18,"Ro4.0")*8/AK18+COUNTIF(E18:AI18,"Ro4.5")*7.5/AK18+COUNTIF(E18:AI18,"Ro5")*7/AK18+COUNTIF(E18:AI18,"Ro5.0")*7/AK18+COUNTIF(E18:AI18,"Ro5.5")*6.5/AK18+COUNTIF(E18:AI18,"Ro6")*6/AK18+COUNTIF(E18:AI18,"Ro7")*5/AK18+COUNTIF(E18:AI18,"Ro8")*4/AK18+COUNTIF(E18:AI18,"Ro8.0")*4/AK18+COUNTIF(E18:AI18,"Ro8.3")*3.7/AK18+COUNTIF(E18:AI18,"Ro8.5")*3.5/AK18+COUNTIF(E18:AI18,"Ro9")*3/AK18+COUNTIF(E18:AI18,"Ro10")*2/AK18+COUNTIF(E18:AI18,"Ro10.0")*2/AK18+COUNTIF(E18:AI18,"Ro10.5")*1.5/AK18+COUNTIF(E18:AI18,"Ro11.0")*1/AK18+COUNTIF(E18:AI18,"Ro11")*1/AK18+COUNTIF(E18:AI18,"Ro11.5")*0.5/AK18+COUNTIF(E18:AI18,"N1")*11/AK18+COUNTIF(E18:AI18,"N2")*10/AK18+COUNTIF(E18:AI18,"N3")*9/AK18+COUNTIF(E18:AI18,"N4")*8/AK18+COUNTIF(E18:AI18,"N5")*7/AK18+COUNTIF(E18:AI18,"N6")*6/AK18+COUNTIF(E18:AI18,"N7")*5/AK18+COUNTIF(E18:AI18,"N8")*4/AK18+COUNTIF(E18:AI18,"N9")*3/AK18+COUNTIF(E18:AI18,"N10")*2/AK18+COUNTIF(E18:AI18,"N11")*1/AK18+COUNTIF(E18:AI18,"D1")*11/AK18+COUNTIF(E18:AI18,"D2")*10/AK18+COUNTIF(E18:AI18,"D3")*9/AK18+COUNTIF(E18:AI18,"D4")*8/AK18+COUNTIF(E18:AI18,"D5")*7/AK18+COUNTIF(E18:AI18,"D6")*6/AK18+COUNTIF(E18:AI18,"D7")*5/AK18+COUNTIF(E18:AI18,"D8")*4/AK18+COUNTIF(E18:AI18,"D9")*3/AK18+COUNTIF(E18:AI18,"D10")*2/AK18+COUNTIF(E18:AI18,"D11")*1/AK18+COUNTIF(E18:AI18,"P1")*0.5</f>
        <v>0</v>
      </c>
      <c r="AR18" s="62">
        <f t="shared" ref="AR18:AR25" si="16">COUNTIF(E18:AI18,"R")</f>
        <v>0</v>
      </c>
      <c r="AS18" s="62">
        <f t="shared" ref="AS18:AS25" si="17">COUNTIF(E18:AI18,"L")</f>
        <v>0</v>
      </c>
      <c r="AT18" s="64"/>
      <c r="AU18" s="64"/>
      <c r="AV18" s="65">
        <f t="shared" ref="AV18:AV25" si="18">COUNTIF(E18:AI18,"12N")*12</f>
        <v>0</v>
      </c>
      <c r="AW18" s="65">
        <f t="shared" ref="AW18:AW25" si="19">COUNTIF(F18:AI18,"12D")*12</f>
        <v>0</v>
      </c>
      <c r="AX18" s="64"/>
      <c r="AY18" s="64"/>
      <c r="AZ18" s="80"/>
      <c r="BA18" s="66">
        <f t="shared" ref="BA18:BA24" si="20">+AN18+AR18+AS18+AO18</f>
        <v>17</v>
      </c>
      <c r="BB18" s="67"/>
      <c r="BC18" s="68"/>
      <c r="BD18" s="69">
        <f>VLOOKUP($B18,[1]CN!$B$9:$DK$221,114,0)</f>
        <v>0</v>
      </c>
      <c r="BE18" s="70">
        <f t="shared" ref="BE18:BE25" si="21">+$AI$8-$E$8+1-INT(($AI$8-$E$8-WEEKDAY($AI$8)+8)/7)</f>
        <v>27</v>
      </c>
      <c r="BF18" s="71" t="s">
        <v>51</v>
      </c>
      <c r="BG18" s="72" t="s">
        <v>34</v>
      </c>
      <c r="BH18" s="73" t="str">
        <f>VLOOKUP(B18,'[2]Bang luong_06'!$B$9:$C$333,2,0)</f>
        <v>Sơn Đi</v>
      </c>
      <c r="BI18" s="74" t="s">
        <v>48</v>
      </c>
      <c r="BJ18" s="75" t="str">
        <f>VLOOKUP($B18,'[2]Bang luong_06'!$B$10:$C$333,2,0)</f>
        <v>Sơn Đi</v>
      </c>
      <c r="BK18" s="76" t="b">
        <f t="shared" ref="BK18:BK25" si="22">BJ18=C18</f>
        <v>1</v>
      </c>
      <c r="BM18" s="77">
        <f>+VLOOKUP(B18,'[2]Thưởng Lễ 2-9'!B10:G299,6,0)</f>
        <v>0</v>
      </c>
      <c r="BN18" s="75">
        <f t="shared" ref="BN18:BN25" si="23">ROUND(($BN$12-D18)/30,0)</f>
        <v>128</v>
      </c>
      <c r="BO18" s="76" t="str">
        <f>+VLOOKUP(B18,'[2]Bang luong_06'!B16:D339,3,0)</f>
        <v>Tài xế</v>
      </c>
      <c r="BP18" s="76" t="s">
        <v>40</v>
      </c>
      <c r="BQ18" s="76">
        <v>4</v>
      </c>
      <c r="BR18" s="76">
        <f>COUNTIF(D18:AI18,"N")+COUNTIF(D18:AI18,"N1")*1/AK18+COUNTIF(D18:AI18,"N2")*2/AK18+COUNTIF(D18:AI18,"N3")*3/AK18+COUNTIF(D18:AI18,"N4")*4/AK18+COUNTIF(D18:AI18,"N5")*5/AK18+COUNTIF(D18:AI18,"N6")*6/AK18+COUNTIF(D18:AI18,"N7")*7/AK18+COUNTIF(D18:AI18,"N8")*8/AK18+COUNTIF(D18:AI18,"N9")*9/AK18+COUNTIF(D18:AI18,"N10")*10/AK18+COUNTIF(D18:AI18,"N11")*11/AK18+COUNTIF(D18:AI18,"N12")*12/AK18+COUNTIF(D18:AI18,"Ro1")*1/AK18+COUNTIF(D18:AI18,"Ro2")*2/AK18+COUNTIF(D18:AI18,"Ro3")*3/AK18+COUNTIF(D18:AI18,"Ro3.0")*3/AK18+COUNTIF(D18:AI18,"Ro4")*4/AK18+COUNTIF(D18:AI18,"Ro4.0")*4/AK18+COUNTIF(D18:AI18,"Ro4.5")*4.5/AK18+COUNTIF(D18:AI18,"Ro5")*5/AK18+COUNTIF(D18:AI18,"Ro5.0")*5/AK18+COUNTIF(D18:AI18,"Ro5.5")*5.5/AK18+COUNTIF(D18:AI18,"Ro6")*6/AK18+COUNTIF(D18:AI18,"Ro7")*7/AK18+COUNTIF(D18:AI18,"Ro8")*8/AK18+COUNTIF(D18:AI18,"Ro8.0")*8/AK18+COUNTIF(D18:AI18,"Ro8.3")*8.3/AK18+COUNTIF(D18:AI18,"Ro8.5")*8.5/AK18+COUNTIF(D18:AI18,"Ro9")*9/AK18+COUNTIF(D18:AI18,"Ro9.5")*9.5/AK18+COUNTIF(D18:AI18,"Ro10")*10/AK18+COUNTIF(D18:AI18,"Ro10.0")*10/AK18+COUNTIF(D18:AI18,"Ro10.5")*10.5/AK18+COUNTIF(D18:AI18,"Ro11")*11/AK18+COUNTIF(D18:AI18,"Ro11.0")*11/AK18+COUNTIF(D18:AI18,"Ro11.5")*11.5/AK18+COUNTIF(D18:AI18,"P2")*0.5</f>
        <v>17</v>
      </c>
    </row>
    <row r="19" spans="1:70" s="76" customFormat="1" ht="24.75" customHeight="1" x14ac:dyDescent="0.25">
      <c r="A19" s="33">
        <f t="shared" ref="A19:A82" si="24">IF(B19="","",MAX(A17:A18)+1)</f>
        <v>6</v>
      </c>
      <c r="B19" s="33" t="s">
        <v>52</v>
      </c>
      <c r="C19" s="55" t="s">
        <v>53</v>
      </c>
      <c r="D19" s="56">
        <v>43178</v>
      </c>
      <c r="E19" s="57" t="s">
        <v>38</v>
      </c>
      <c r="F19" s="57" t="s">
        <v>38</v>
      </c>
      <c r="G19" s="57" t="s">
        <v>38</v>
      </c>
      <c r="H19" s="57" t="s">
        <v>38</v>
      </c>
      <c r="I19" s="57" t="s">
        <v>38</v>
      </c>
      <c r="J19" s="57"/>
      <c r="K19" s="57" t="s">
        <v>38</v>
      </c>
      <c r="L19" s="57" t="s">
        <v>38</v>
      </c>
      <c r="M19" s="57" t="s">
        <v>38</v>
      </c>
      <c r="N19" s="57" t="s">
        <v>38</v>
      </c>
      <c r="O19" s="57" t="s">
        <v>38</v>
      </c>
      <c r="P19" s="57" t="s">
        <v>38</v>
      </c>
      <c r="Q19" s="57"/>
      <c r="R19" s="57" t="s">
        <v>38</v>
      </c>
      <c r="S19" s="57" t="s">
        <v>38</v>
      </c>
      <c r="T19" s="57" t="s">
        <v>38</v>
      </c>
      <c r="U19" s="57" t="s">
        <v>38</v>
      </c>
      <c r="V19" s="57" t="s">
        <v>38</v>
      </c>
      <c r="W19" s="57" t="s">
        <v>38</v>
      </c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85" t="s">
        <v>50</v>
      </c>
      <c r="AK19" s="59">
        <v>9</v>
      </c>
      <c r="AL19" s="60">
        <f t="shared" si="10"/>
        <v>17</v>
      </c>
      <c r="AM19" s="61">
        <f t="shared" si="11"/>
        <v>0</v>
      </c>
      <c r="AN19" s="62">
        <f t="shared" si="12"/>
        <v>17</v>
      </c>
      <c r="AO19" s="62">
        <f t="shared" si="13"/>
        <v>0</v>
      </c>
      <c r="AP19" s="62">
        <f t="shared" si="14"/>
        <v>0</v>
      </c>
      <c r="AQ19" s="63">
        <f t="shared" si="15"/>
        <v>0</v>
      </c>
      <c r="AR19" s="62">
        <f t="shared" si="16"/>
        <v>0</v>
      </c>
      <c r="AS19" s="62">
        <f t="shared" si="17"/>
        <v>0</v>
      </c>
      <c r="AT19" s="64"/>
      <c r="AU19" s="64"/>
      <c r="AV19" s="65">
        <f t="shared" si="18"/>
        <v>0</v>
      </c>
      <c r="AW19" s="65">
        <f t="shared" si="19"/>
        <v>0</v>
      </c>
      <c r="AX19" s="64"/>
      <c r="AY19" s="64"/>
      <c r="AZ19" s="80"/>
      <c r="BA19" s="66">
        <f t="shared" si="20"/>
        <v>17</v>
      </c>
      <c r="BB19" s="67"/>
      <c r="BC19" s="68"/>
      <c r="BD19" s="69">
        <f>VLOOKUP($B19,[1]CN!$B$9:$DK$221,114,0)</f>
        <v>3.5</v>
      </c>
      <c r="BE19" s="70">
        <f t="shared" si="21"/>
        <v>27</v>
      </c>
      <c r="BF19" s="71" t="s">
        <v>51</v>
      </c>
      <c r="BG19" s="72">
        <v>0</v>
      </c>
      <c r="BH19" s="73" t="str">
        <f>VLOOKUP(B19,'[2]Bang luong_06'!$B$9:$C$333,2,0)</f>
        <v>Trần Khắc Hải</v>
      </c>
      <c r="BI19" s="74" t="s">
        <v>52</v>
      </c>
      <c r="BJ19" s="75" t="str">
        <f>VLOOKUP($B19,'[2]Bang luong_06'!$B$10:$C$333,2,0)</f>
        <v>Trần Khắc Hải</v>
      </c>
      <c r="BK19" s="76" t="b">
        <f>BJ19=C19</f>
        <v>1</v>
      </c>
      <c r="BM19" s="77">
        <f>+VLOOKUP(B19,'[2]Thưởng Lễ 2-9'!B12:G301,6,0)</f>
        <v>0</v>
      </c>
      <c r="BN19" s="75">
        <f>ROUND(($BN$12-D19)/30,0)</f>
        <v>79</v>
      </c>
      <c r="BO19" s="76" t="str">
        <f>+VLOOKUP(B19,'[2]Bang luong_06'!B20:D341,3,0)</f>
        <v>Tài xế</v>
      </c>
      <c r="BP19" s="76" t="s">
        <v>40</v>
      </c>
      <c r="BQ19" s="76">
        <v>7</v>
      </c>
      <c r="BR19" s="76">
        <f t="shared" si="4"/>
        <v>17</v>
      </c>
    </row>
    <row r="20" spans="1:70" s="76" customFormat="1" ht="24.75" customHeight="1" x14ac:dyDescent="0.25">
      <c r="A20" s="33">
        <f t="shared" si="24"/>
        <v>7</v>
      </c>
      <c r="B20" s="33" t="s">
        <v>54</v>
      </c>
      <c r="C20" s="55" t="s">
        <v>55</v>
      </c>
      <c r="D20" s="56">
        <v>45323</v>
      </c>
      <c r="E20" s="57" t="s">
        <v>38</v>
      </c>
      <c r="F20" s="57" t="s">
        <v>38</v>
      </c>
      <c r="G20" s="57" t="s">
        <v>38</v>
      </c>
      <c r="H20" s="57" t="s">
        <v>38</v>
      </c>
      <c r="I20" s="57" t="s">
        <v>38</v>
      </c>
      <c r="J20" s="57"/>
      <c r="K20" s="57" t="s">
        <v>38</v>
      </c>
      <c r="L20" s="57" t="s">
        <v>38</v>
      </c>
      <c r="M20" s="57" t="s">
        <v>38</v>
      </c>
      <c r="N20" s="57" t="s">
        <v>38</v>
      </c>
      <c r="O20" s="57" t="s">
        <v>38</v>
      </c>
      <c r="P20" s="57" t="s">
        <v>38</v>
      </c>
      <c r="Q20" s="57"/>
      <c r="R20" s="57" t="s">
        <v>38</v>
      </c>
      <c r="S20" s="57" t="s">
        <v>38</v>
      </c>
      <c r="T20" s="57" t="s">
        <v>38</v>
      </c>
      <c r="U20" s="57" t="s">
        <v>38</v>
      </c>
      <c r="V20" s="57" t="s">
        <v>38</v>
      </c>
      <c r="W20" s="57" t="s">
        <v>38</v>
      </c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8">
        <v>10100404</v>
      </c>
      <c r="AK20" s="59">
        <v>12</v>
      </c>
      <c r="AL20" s="60">
        <f t="shared" si="10"/>
        <v>17</v>
      </c>
      <c r="AM20" s="61">
        <f t="shared" si="11"/>
        <v>0</v>
      </c>
      <c r="AN20" s="62">
        <f t="shared" si="12"/>
        <v>17</v>
      </c>
      <c r="AO20" s="62">
        <f t="shared" si="13"/>
        <v>0</v>
      </c>
      <c r="AP20" s="62">
        <f t="shared" si="14"/>
        <v>0</v>
      </c>
      <c r="AQ20" s="63">
        <f t="shared" si="15"/>
        <v>0</v>
      </c>
      <c r="AR20" s="62">
        <f t="shared" si="16"/>
        <v>0</v>
      </c>
      <c r="AS20" s="62">
        <f t="shared" si="17"/>
        <v>0</v>
      </c>
      <c r="AT20" s="64"/>
      <c r="AU20" s="64"/>
      <c r="AV20" s="65">
        <f t="shared" si="18"/>
        <v>0</v>
      </c>
      <c r="AW20" s="65">
        <f t="shared" si="19"/>
        <v>0</v>
      </c>
      <c r="AX20" s="64"/>
      <c r="AY20" s="64"/>
      <c r="AZ20" s="80"/>
      <c r="BA20" s="66">
        <f>+AN20+AR20+AS20+AO20</f>
        <v>17</v>
      </c>
      <c r="BB20" s="67"/>
      <c r="BC20" s="68"/>
      <c r="BD20" s="69">
        <f>VLOOKUP($B20,[1]CN!$B$9:$DK$221,114,0)</f>
        <v>0</v>
      </c>
      <c r="BE20" s="70">
        <f t="shared" si="21"/>
        <v>27</v>
      </c>
      <c r="BF20" s="71" t="s">
        <v>51</v>
      </c>
      <c r="BG20" s="72" t="s">
        <v>34</v>
      </c>
      <c r="BH20" s="73" t="str">
        <f>VLOOKUP(B20,'[2]Bang luong_06'!$B$9:$C$333,2,0)</f>
        <v>Lê Văn Giỏi</v>
      </c>
      <c r="BI20" s="74" t="s">
        <v>54</v>
      </c>
      <c r="BJ20" s="75" t="str">
        <f>VLOOKUP($B20,'[2]Bang luong_06'!$B$10:$C$333,2,0)</f>
        <v>Lê Văn Giỏi</v>
      </c>
      <c r="BK20" s="76" t="b">
        <f>BJ20=C20</f>
        <v>1</v>
      </c>
      <c r="BM20" s="77">
        <f>+VLOOKUP(B20,'[2]Thưởng Lễ 2-9'!B14:G303,6,0)</f>
        <v>0</v>
      </c>
      <c r="BN20" s="75">
        <f>ROUND(($BN$12-D20)/30,0)</f>
        <v>7</v>
      </c>
      <c r="BO20" s="76" t="str">
        <f>+VLOOKUP(B20,'[2]Bang luong_06'!B20:D342,3,0)</f>
        <v>Công nhân kho</v>
      </c>
      <c r="BP20" s="76" t="s">
        <v>40</v>
      </c>
      <c r="BQ20" s="76">
        <v>0</v>
      </c>
      <c r="BR20" s="76">
        <f t="shared" si="4"/>
        <v>17</v>
      </c>
    </row>
    <row r="21" spans="1:70" s="76" customFormat="1" ht="24.75" customHeight="1" x14ac:dyDescent="0.25">
      <c r="A21" s="33">
        <f t="shared" si="24"/>
        <v>8</v>
      </c>
      <c r="B21" s="33" t="s">
        <v>56</v>
      </c>
      <c r="C21" s="55" t="s">
        <v>57</v>
      </c>
      <c r="D21" s="56">
        <v>46118</v>
      </c>
      <c r="E21" s="57" t="s">
        <v>38</v>
      </c>
      <c r="F21" s="57" t="s">
        <v>38</v>
      </c>
      <c r="G21" s="57" t="s">
        <v>38</v>
      </c>
      <c r="H21" s="57" t="s">
        <v>38</v>
      </c>
      <c r="I21" s="57" t="s">
        <v>38</v>
      </c>
      <c r="J21" s="57"/>
      <c r="K21" s="57" t="s">
        <v>38</v>
      </c>
      <c r="L21" s="57" t="s">
        <v>38</v>
      </c>
      <c r="M21" s="57" t="s">
        <v>38</v>
      </c>
      <c r="N21" s="57" t="s">
        <v>38</v>
      </c>
      <c r="O21" s="57" t="s">
        <v>38</v>
      </c>
      <c r="P21" s="57" t="s">
        <v>38</v>
      </c>
      <c r="Q21" s="57"/>
      <c r="R21" s="57" t="s">
        <v>38</v>
      </c>
      <c r="S21" s="57" t="s">
        <v>38</v>
      </c>
      <c r="T21" s="57" t="s">
        <v>38</v>
      </c>
      <c r="U21" s="57" t="s">
        <v>38</v>
      </c>
      <c r="V21" s="57" t="s">
        <v>38</v>
      </c>
      <c r="W21" s="57" t="s">
        <v>38</v>
      </c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8">
        <v>10100404</v>
      </c>
      <c r="AK21" s="59">
        <v>12</v>
      </c>
      <c r="AL21" s="60">
        <f t="shared" si="10"/>
        <v>17</v>
      </c>
      <c r="AM21" s="61">
        <f t="shared" si="11"/>
        <v>0</v>
      </c>
      <c r="AN21" s="62">
        <f t="shared" si="12"/>
        <v>17</v>
      </c>
      <c r="AO21" s="62">
        <f t="shared" si="13"/>
        <v>0</v>
      </c>
      <c r="AP21" s="62">
        <f t="shared" si="14"/>
        <v>0</v>
      </c>
      <c r="AQ21" s="63">
        <f t="shared" si="15"/>
        <v>0</v>
      </c>
      <c r="AR21" s="62">
        <f t="shared" si="16"/>
        <v>0</v>
      </c>
      <c r="AS21" s="62">
        <f t="shared" si="17"/>
        <v>0</v>
      </c>
      <c r="AT21" s="64"/>
      <c r="AU21" s="64"/>
      <c r="AV21" s="65">
        <f t="shared" si="18"/>
        <v>0</v>
      </c>
      <c r="AW21" s="65">
        <f t="shared" si="19"/>
        <v>0</v>
      </c>
      <c r="AX21" s="64"/>
      <c r="AY21" s="64"/>
      <c r="AZ21" s="80"/>
      <c r="BA21" s="66">
        <f>+AN21+AR21+AS21+AO21</f>
        <v>17</v>
      </c>
      <c r="BB21" s="67"/>
      <c r="BC21" s="68"/>
      <c r="BD21" s="69">
        <f>VLOOKUP($B21,[1]CN!$B$9:$DK$221,114,0)</f>
        <v>0</v>
      </c>
      <c r="BE21" s="70">
        <f t="shared" si="21"/>
        <v>27</v>
      </c>
      <c r="BF21" s="71" t="s">
        <v>51</v>
      </c>
      <c r="BG21" s="72" t="s">
        <v>34</v>
      </c>
      <c r="BH21" s="73" t="str">
        <f>VLOOKUP(B21,'[2]Bang luong_06'!$B$9:$C$333,2,0)</f>
        <v>Huỳnh Văn Phúc</v>
      </c>
      <c r="BI21" s="74" t="s">
        <v>54</v>
      </c>
      <c r="BJ21" s="75" t="str">
        <f>VLOOKUP($B21,'[2]Bang luong_06'!$B$10:$C$333,2,0)</f>
        <v>Huỳnh Văn Phúc</v>
      </c>
      <c r="BK21" s="76" t="b">
        <f>BJ21=C21</f>
        <v>1</v>
      </c>
      <c r="BM21" s="77" t="e">
        <f>+VLOOKUP(B21,'[2]Thưởng Lễ 2-9'!B15:G304,6,0)</f>
        <v>#N/A</v>
      </c>
      <c r="BN21" s="75">
        <f>ROUND(($BN$12-D21)/30,0)</f>
        <v>-19</v>
      </c>
      <c r="BO21" s="76" t="str">
        <f>+VLOOKUP(B21,'[2]Bang luong_06'!B21:D343,3,0)</f>
        <v>Công nhân kho</v>
      </c>
      <c r="BP21" s="76" t="s">
        <v>40</v>
      </c>
      <c r="BQ21" s="76">
        <v>0</v>
      </c>
      <c r="BR21" s="76">
        <f t="shared" si="4"/>
        <v>17</v>
      </c>
    </row>
    <row r="22" spans="1:70" s="76" customFormat="1" ht="24" customHeight="1" x14ac:dyDescent="0.25">
      <c r="A22" s="33">
        <f t="shared" si="24"/>
        <v>9</v>
      </c>
      <c r="B22" s="33" t="s">
        <v>58</v>
      </c>
      <c r="C22" s="55" t="s">
        <v>59</v>
      </c>
      <c r="D22" s="56">
        <v>43335</v>
      </c>
      <c r="E22" s="57" t="s">
        <v>38</v>
      </c>
      <c r="F22" s="57" t="s">
        <v>38</v>
      </c>
      <c r="G22" s="57" t="s">
        <v>38</v>
      </c>
      <c r="H22" s="57" t="s">
        <v>38</v>
      </c>
      <c r="I22" s="57" t="s">
        <v>38</v>
      </c>
      <c r="J22" s="57">
        <v>10</v>
      </c>
      <c r="K22" s="57" t="s">
        <v>38</v>
      </c>
      <c r="L22" s="57" t="s">
        <v>38</v>
      </c>
      <c r="M22" s="57" t="s">
        <v>38</v>
      </c>
      <c r="N22" s="57" t="s">
        <v>38</v>
      </c>
      <c r="O22" s="57" t="s">
        <v>38</v>
      </c>
      <c r="P22" s="57" t="s">
        <v>38</v>
      </c>
      <c r="Q22" s="57">
        <v>10</v>
      </c>
      <c r="R22" s="57" t="s">
        <v>38</v>
      </c>
      <c r="S22" s="57" t="s">
        <v>38</v>
      </c>
      <c r="T22" s="57" t="s">
        <v>38</v>
      </c>
      <c r="U22" s="57" t="s">
        <v>38</v>
      </c>
      <c r="V22" s="57" t="s">
        <v>38</v>
      </c>
      <c r="W22" s="57" t="s">
        <v>38</v>
      </c>
      <c r="X22" s="57" t="s">
        <v>508</v>
      </c>
      <c r="Y22" s="57" t="s">
        <v>38</v>
      </c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8">
        <v>10100403</v>
      </c>
      <c r="AK22" s="59">
        <v>12</v>
      </c>
      <c r="AL22" s="60">
        <f t="shared" si="10"/>
        <v>18</v>
      </c>
      <c r="AM22" s="61">
        <f t="shared" si="11"/>
        <v>0</v>
      </c>
      <c r="AN22" s="62">
        <f t="shared" si="12"/>
        <v>18</v>
      </c>
      <c r="AO22" s="62">
        <f t="shared" si="13"/>
        <v>0</v>
      </c>
      <c r="AP22" s="62">
        <f t="shared" si="14"/>
        <v>0</v>
      </c>
      <c r="AQ22" s="63">
        <f t="shared" si="15"/>
        <v>0</v>
      </c>
      <c r="AR22" s="62">
        <f t="shared" si="16"/>
        <v>0</v>
      </c>
      <c r="AS22" s="62">
        <f t="shared" si="17"/>
        <v>0</v>
      </c>
      <c r="AT22" s="64"/>
      <c r="AU22" s="64"/>
      <c r="AV22" s="65">
        <f t="shared" si="18"/>
        <v>0</v>
      </c>
      <c r="AW22" s="65">
        <f t="shared" si="19"/>
        <v>0</v>
      </c>
      <c r="AX22" s="64"/>
      <c r="AY22" s="64"/>
      <c r="AZ22" s="80"/>
      <c r="BA22" s="66">
        <f t="shared" si="20"/>
        <v>18</v>
      </c>
      <c r="BB22" s="67"/>
      <c r="BC22" s="68"/>
      <c r="BD22" s="69">
        <f>VLOOKUP($B22,[1]CN!$B$9:$DK$221,114,0)</f>
        <v>3</v>
      </c>
      <c r="BE22" s="70">
        <f t="shared" si="21"/>
        <v>27</v>
      </c>
      <c r="BF22" s="71" t="s">
        <v>39</v>
      </c>
      <c r="BG22" s="72" t="s">
        <v>34</v>
      </c>
      <c r="BH22" s="73" t="str">
        <f>VLOOKUP(B22,'[2]Bang luong_06'!$B$9:$C$333,2,0)</f>
        <v>Lê Thanh Chất</v>
      </c>
      <c r="BI22" s="74" t="s">
        <v>58</v>
      </c>
      <c r="BJ22" s="75" t="str">
        <f>VLOOKUP($B22,'[2]Bang luong_06'!$B$10:$C$333,2,0)</f>
        <v>Lê Thanh Chất</v>
      </c>
      <c r="BK22" s="76" t="b">
        <f t="shared" si="22"/>
        <v>1</v>
      </c>
      <c r="BM22" s="77">
        <f>+VLOOKUP(B22,'[2]Thưởng Lễ 2-9'!B11:G300,6,0)</f>
        <v>0</v>
      </c>
      <c r="BN22" s="75">
        <f t="shared" si="23"/>
        <v>73</v>
      </c>
      <c r="BO22" s="76" t="str">
        <f>+VLOOKUP(B22,'[2]Bang luong_06'!B16:D340,3,0)</f>
        <v>Tài xế</v>
      </c>
      <c r="BP22" s="76" t="s">
        <v>40</v>
      </c>
      <c r="BQ22" s="76">
        <v>7</v>
      </c>
      <c r="BR22" s="76">
        <f t="shared" si="4"/>
        <v>18</v>
      </c>
    </row>
    <row r="23" spans="1:70" s="76" customFormat="1" ht="24.75" customHeight="1" x14ac:dyDescent="0.25">
      <c r="A23" s="33">
        <f>IF(B23="","",MAX(A22:A22)+1)</f>
        <v>10</v>
      </c>
      <c r="B23" s="33" t="s">
        <v>61</v>
      </c>
      <c r="C23" s="55" t="s">
        <v>62</v>
      </c>
      <c r="D23" s="56">
        <v>45983</v>
      </c>
      <c r="E23" s="57" t="s">
        <v>38</v>
      </c>
      <c r="F23" s="57" t="s">
        <v>38</v>
      </c>
      <c r="G23" s="86" t="s">
        <v>38</v>
      </c>
      <c r="H23" s="57" t="s">
        <v>38</v>
      </c>
      <c r="I23" s="57" t="s">
        <v>38</v>
      </c>
      <c r="J23" s="57" t="s">
        <v>506</v>
      </c>
      <c r="K23" s="57" t="s">
        <v>38</v>
      </c>
      <c r="L23" s="57" t="s">
        <v>38</v>
      </c>
      <c r="M23" s="57" t="s">
        <v>38</v>
      </c>
      <c r="N23" s="86" t="s">
        <v>38</v>
      </c>
      <c r="O23" s="57" t="s">
        <v>38</v>
      </c>
      <c r="P23" s="57" t="s">
        <v>271</v>
      </c>
      <c r="Q23" s="57"/>
      <c r="R23" s="57" t="s">
        <v>38</v>
      </c>
      <c r="S23" s="57" t="s">
        <v>38</v>
      </c>
      <c r="T23" s="86" t="s">
        <v>143</v>
      </c>
      <c r="U23" s="86" t="s">
        <v>143</v>
      </c>
      <c r="V23" s="57" t="s">
        <v>143</v>
      </c>
      <c r="W23" s="57" t="s">
        <v>143</v>
      </c>
      <c r="X23" s="57"/>
      <c r="Y23" s="57"/>
      <c r="Z23" s="57"/>
      <c r="AA23" s="57"/>
      <c r="AB23" s="57"/>
      <c r="AC23" s="57"/>
      <c r="AD23" s="57"/>
      <c r="AE23" s="57"/>
      <c r="AF23" s="86"/>
      <c r="AG23" s="86"/>
      <c r="AH23" s="86"/>
      <c r="AI23" s="86"/>
      <c r="AJ23" s="58">
        <v>10100403</v>
      </c>
      <c r="AK23" s="59">
        <v>12</v>
      </c>
      <c r="AL23" s="60">
        <f>COUNTIF(D23:AI23,"N")+COUNTIF(D23:AI23,"N1")*1/AK23+COUNTIF(D23:AI23,"N2")*2/AK23+COUNTIF(D23:AI23,"N3")*3/AK23+COUNTIF(D23:AI23,"N4")*4/AK23+COUNTIF(D23:AI23,"N5")*5/AK23+COUNTIF(D23:AI23,"N6")*6/AK23+COUNTIF(D23:AI23,"N7")*7/AK23+COUNTIF(D23:AI23,"N8")*8/AK23+COUNTIF(D23:AI23,"N9")*9/AK23+COUNTIF(D23:AI23,"N10")*10/AK23+COUNTIF(D23:AI23,"N11")*11/AK23+COUNTIF(D23:AI23,"N12")*12/AK23+COUNTIF(D23:AI23,"Ro1")*1/AK23+COUNTIF(D23:AI23,"Ro2")*2/AK23+COUNTIF(D23:AI23,"Ro3")*3/AK23+COUNTIF(D23:AI23,"Ro3.0")*3/AK23+COUNTIF(D23:AI23,"Ro4")*4/AK23+COUNTIF(D23:AI23,"Ro4.0")*4/AK23+COUNTIF(D23:AI23,"Ro4.5")*4.5/AK23+COUNTIF(D23:AI23,"Ro5")*5/AK23+COUNTIF(D23:AI23,"Ro5.0")*5/AK23+COUNTIF(D23:AI23,"Ro5.5")*5.5/AK23+COUNTIF(D23:AI23,"Ro6")*6/AK23+COUNTIF(D23:AI23,"Ro7")*7/AK23+COUNTIF(D23:AI23,"Ro8")*8/AK23+COUNTIF(D23:AI23,"Ro8.0")*8/AK23+COUNTIF(D23:AI23,"Ro8.3")*8.3/AK23+COUNTIF(D23:AI23,"Ro8.5")*8.5/AK23+COUNTIF(D23:AI23,"Ro9")*9/AK23+COUNTIF(D23:AI23,"Ro9.5")*9.5/AK23+COUNTIF(D23:AI23,"Ro10")*10/AK23+COUNTIF(D23:AI23,"Ro10.0")*10/AK23+COUNTIF(D23:AI23,"Ro10.5")*10.5/AK23+COUNTIF(D23:AI23,"Ro11")*11/AK23+COUNTIF(D23:AI23,"Ro11.0")*11/AK23+COUNTIF(D23:AI23,"Ro11.5")*11.5/AK23+COUNTIF(D23:AI23,"Bu1")+COUNTIF(D23:AI23,"Bu2")+COUNTIF(D23:AI23,"Bu3")+COUNTIF(D23:AI23,"Bu4")+COUNTIF(D23:AI23,"Bu5")+COUNTIF(D23:AI23,"Bu6")+COUNTIF(D23:AI23,"Bu7")+COUNTIF(D23:AI23,"Bu8")+COUNTIF(D23:AI23,"Bu9")+COUNTIF(D23:AI23,"Bu10")+COUNTIF(D23:AI23,"Bu11")+COUNTIF(D23:AI23,"Bu")+COUNTIF(D23:AI23,"P2")*0.5</f>
        <v>12</v>
      </c>
      <c r="AM23" s="61">
        <f>COUNTIF(E23:AI23,"D")+COUNTIF(E23:AI23,"D1")*1/AK23+COUNTIF(E23:AI23,"D2")*2/AK23+COUNTIF(E23:AI23,"D3")*3/AK23+COUNTIF(E23:AI23,"D4")*4/AK23+COUNTIF(E23:AI23,"D5")*5/AK23+COUNTIF(E23:AI23,"D6")*6/AK23+COUNTIF(E23:AI23,"D7")*7/AK23+COUNTIF(E23:AI23,"D8")*8/AK23+COUNTIF(E23:AI23,"D9")*9/AK23+COUNTIF(E23:AI23,"D10")*10/AK23+COUNTIF(E23:AI23,"D11")*11/AK23+COUNTIF(E23:AI23,"D12")*12/AK23</f>
        <v>0</v>
      </c>
      <c r="AN23" s="62">
        <f t="shared" si="12"/>
        <v>12</v>
      </c>
      <c r="AO23" s="62">
        <f t="shared" si="13"/>
        <v>0</v>
      </c>
      <c r="AP23" s="62">
        <f t="shared" si="14"/>
        <v>1</v>
      </c>
      <c r="AQ23" s="63">
        <f t="shared" si="15"/>
        <v>0</v>
      </c>
      <c r="AR23" s="62">
        <f t="shared" si="16"/>
        <v>0</v>
      </c>
      <c r="AS23" s="62">
        <f t="shared" si="17"/>
        <v>0</v>
      </c>
      <c r="AT23" s="64"/>
      <c r="AU23" s="64"/>
      <c r="AV23" s="65">
        <f t="shared" si="18"/>
        <v>12</v>
      </c>
      <c r="AW23" s="65">
        <f t="shared" si="19"/>
        <v>0</v>
      </c>
      <c r="AX23" s="64"/>
      <c r="AY23" s="64"/>
      <c r="AZ23" s="80"/>
      <c r="BA23" s="66">
        <f t="shared" si="20"/>
        <v>12</v>
      </c>
      <c r="BB23" s="67"/>
      <c r="BC23" s="87"/>
      <c r="BD23" s="69">
        <f>VLOOKUP($B23,[1]CN!$B$9:$DK$221,114,0)</f>
        <v>1</v>
      </c>
      <c r="BE23" s="70">
        <f t="shared" si="21"/>
        <v>27</v>
      </c>
      <c r="BF23" s="71" t="s">
        <v>39</v>
      </c>
      <c r="BG23" s="72">
        <v>0</v>
      </c>
      <c r="BH23" s="73" t="str">
        <f>VLOOKUP(B23,'[2]Bang luong_06'!$B$9:$C$333,2,0)</f>
        <v>Đặng Thành An</v>
      </c>
      <c r="BI23" s="74" t="s">
        <v>63</v>
      </c>
      <c r="BJ23" s="75" t="str">
        <f>VLOOKUP($B23,'[2]Bang luong_06'!$B$10:$C$333,2,0)</f>
        <v>Đặng Thành An</v>
      </c>
      <c r="BK23" s="76" t="b">
        <f>BJ23=C23</f>
        <v>1</v>
      </c>
      <c r="BM23" s="77" t="e">
        <f>+VLOOKUP(B23,'[2]Thưởng Lễ 2-9'!B10:G299,6,0)</f>
        <v>#N/A</v>
      </c>
      <c r="BN23" s="75">
        <f>ROUND(($BN$12-D23)/30,0)</f>
        <v>-15</v>
      </c>
      <c r="BO23" s="76" t="str">
        <f>+VLOOKUP(B23,'[2]Bang luong_06'!B20:D339,3,0)</f>
        <v>Tài xế</v>
      </c>
      <c r="BP23" s="76" t="s">
        <v>40</v>
      </c>
      <c r="BQ23" s="76">
        <v>6.5</v>
      </c>
      <c r="BR23" s="76">
        <f>COUNTIF(D23:AI23,"N")+COUNTIF(D23:AI23,"N1")*1/AK23+COUNTIF(D23:AI23,"N2")*2/AK23+COUNTIF(D23:AI23,"N3")*3/AK23+COUNTIF(D23:AI23,"N4")*4/AK23+COUNTIF(D23:AI23,"N5")*5/AK23+COUNTIF(D23:AI23,"N6")*6/AK23+COUNTIF(D23:AI23,"N7")*7/AK23+COUNTIF(D23:AI23,"N8")*8/AK23+COUNTIF(D23:AI23,"N9")*9/AK23+COUNTIF(D23:AI23,"N10")*10/AK23+COUNTIF(D23:AI23,"N11")*11/AK23+COUNTIF(D23:AI23,"N12")*12/AK23+COUNTIF(D23:AI23,"Ro1")*1/AK23+COUNTIF(D23:AI23,"Ro2")*2/AK23+COUNTIF(D23:AI23,"Ro3")*3/AK23+COUNTIF(D23:AI23,"Ro3.0")*3/AK23+COUNTIF(D23:AI23,"Ro4")*4/AK23+COUNTIF(D23:AI23,"Ro4.0")*4/AK23+COUNTIF(D23:AI23,"Ro4.5")*4.5/AK23+COUNTIF(D23:AI23,"Ro5")*5/AK23+COUNTIF(D23:AI23,"Ro5.0")*5/AK23+COUNTIF(D23:AI23,"Ro5.5")*5.5/AK23+COUNTIF(D23:AI23,"Ro6")*6/AK23+COUNTIF(D23:AI23,"Ro7")*7/AK23+COUNTIF(D23:AI23,"Ro8")*8/AK23+COUNTIF(D23:AI23,"Ro8.0")*8/AK23+COUNTIF(D23:AI23,"Ro8.3")*8.3/AK23+COUNTIF(D23:AI23,"Ro8.5")*8.5/AK23+COUNTIF(D23:AI23,"Ro9")*9/AK23+COUNTIF(D23:AI23,"Ro9.5")*9.5/AK23+COUNTIF(D23:AI23,"Ro10")*10/AK23+COUNTIF(D23:AI23,"Ro10.0")*10/AK23+COUNTIF(D23:AI23,"Ro10.5")*10.5/AK23+COUNTIF(D23:AI23,"Ro11")*11/AK23+COUNTIF(D23:AI23,"Ro11.0")*11/AK23+COUNTIF(D23:AI23,"Ro11.5")*11.5/AK23+COUNTIF(D23:AI23,"P2")*0.5</f>
        <v>12</v>
      </c>
    </row>
    <row r="24" spans="1:70" s="76" customFormat="1" ht="31.5" customHeight="1" x14ac:dyDescent="0.25">
      <c r="A24" s="33">
        <f>IF(B24="","",MAX(A23:A23)+1)</f>
        <v>11</v>
      </c>
      <c r="B24" s="88" t="s">
        <v>64</v>
      </c>
      <c r="C24" s="89" t="s">
        <v>65</v>
      </c>
      <c r="D24" s="90">
        <v>46079</v>
      </c>
      <c r="E24" s="57" t="s">
        <v>38</v>
      </c>
      <c r="F24" s="57" t="s">
        <v>38</v>
      </c>
      <c r="G24" s="57" t="s">
        <v>38</v>
      </c>
      <c r="H24" s="57" t="s">
        <v>38</v>
      </c>
      <c r="I24" s="57" t="s">
        <v>38</v>
      </c>
      <c r="J24" s="57" t="s">
        <v>506</v>
      </c>
      <c r="K24" s="57" t="s">
        <v>38</v>
      </c>
      <c r="L24" s="57" t="s">
        <v>38</v>
      </c>
      <c r="M24" s="57" t="s">
        <v>38</v>
      </c>
      <c r="N24" s="57" t="s">
        <v>38</v>
      </c>
      <c r="O24" s="57" t="s">
        <v>38</v>
      </c>
      <c r="P24" s="57" t="s">
        <v>38</v>
      </c>
      <c r="Q24" s="57"/>
      <c r="R24" s="57" t="s">
        <v>38</v>
      </c>
      <c r="S24" s="57" t="s">
        <v>38</v>
      </c>
      <c r="T24" s="57" t="s">
        <v>38</v>
      </c>
      <c r="U24" s="57" t="s">
        <v>38</v>
      </c>
      <c r="V24" s="57" t="s">
        <v>38</v>
      </c>
      <c r="W24" s="57" t="s">
        <v>38</v>
      </c>
      <c r="X24" s="57"/>
      <c r="Y24" s="57" t="s">
        <v>38</v>
      </c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8">
        <v>10100403</v>
      </c>
      <c r="AK24" s="59">
        <v>12</v>
      </c>
      <c r="AL24" s="60">
        <f t="shared" ref="AL24" si="25">COUNTIF(D24:AI24,"N")+COUNTIF(D24:AI24,"N1")*1/AK24+COUNTIF(D24:AI24,"N2")*2/AK24+COUNTIF(D24:AI24,"N3")*3/AK24+COUNTIF(D24:AI24,"N4")*4/AK24+COUNTIF(D24:AI24,"N5")*5/AK24+COUNTIF(D24:AI24,"N6")*6/AK24+COUNTIF(D24:AI24,"N7")*7/AK24+COUNTIF(D24:AI24,"N8")*8/AK24+COUNTIF(D24:AI24,"N9")*9/AK24+COUNTIF(D24:AI24,"N10")*10/AK24+COUNTIF(D24:AI24,"N11")*11/AK24+COUNTIF(D24:AI24,"N12")*12/AK24+COUNTIF(D24:AI24,"Ro1")*1/AK24+COUNTIF(D24:AI24,"Ro2")*2/AK24+COUNTIF(D24:AI24,"Ro3")*3/AK24+COUNTIF(D24:AI24,"Ro3.0")*3/AK24+COUNTIF(D24:AI24,"Ro4")*4/AK24+COUNTIF(D24:AI24,"Ro4.0")*4/AK24+COUNTIF(D24:AI24,"Ro4.5")*4.5/AK24+COUNTIF(D24:AI24,"Ro5")*5/AK24+COUNTIF(D24:AI24,"Ro5.0")*5/AK24+COUNTIF(D24:AI24,"Ro5.5")*5.5/AK24+COUNTIF(D24:AI24,"Ro6")*6/AK24+COUNTIF(D24:AI24,"Ro7")*7/AK24+COUNTIF(D24:AI24,"Ro8")*8/AK24+COUNTIF(D24:AI24,"Ro8.0")*8/AK24+COUNTIF(D24:AI24,"Ro8.3")*8.3/AK24+COUNTIF(D24:AI24,"Ro8.5")*8.5/AK24+COUNTIF(D24:AI24,"Ro9")*9/AK24+COUNTIF(D24:AI24,"Ro9.5")*9.5/AK24+COUNTIF(D24:AI24,"Ro10")*10/AK24+COUNTIF(D24:AI24,"Ro10.0")*10/AK24+COUNTIF(D24:AI24,"Ro10.5")*10.5/AK24+COUNTIF(D24:AI24,"Ro11")*11/AK24+COUNTIF(D24:AI24,"Ro11.0")*11/AK24+COUNTIF(D24:AI24,"Ro11.5")*11.5/AK24+COUNTIF(D24:AI24,"Bu1")+COUNTIF(D24:AI24,"Bu2")+COUNTIF(D24:AI24,"Bu3")+COUNTIF(D24:AI24,"Bu4")+COUNTIF(D24:AI24,"Bu5")+COUNTIF(D24:AI24,"Bu6")+COUNTIF(D24:AI24,"Bu7")+COUNTIF(D24:AI24,"Bu8")+COUNTIF(D24:AI24,"Bu9")+COUNTIF(D24:AI24,"Bu10")+COUNTIF(D24:AI24,"Bu11")+COUNTIF(D24:AI24,"Bu")+COUNTIF(D24:AI24,"P2")*0.5</f>
        <v>18</v>
      </c>
      <c r="AM24" s="61">
        <f t="shared" ref="AM24" si="26">COUNTIF(E24:AI24,"D")+COUNTIF(E24:AI24,"D1")*1/AK24+COUNTIF(E24:AI24,"D2")*2/AK24+COUNTIF(E24:AI24,"D3")*3/AK24+COUNTIF(E24:AI24,"D4")*4/AK24+COUNTIF(E24:AI24,"D5")*5/AK24+COUNTIF(E24:AI24,"D6")*6/AK24+COUNTIF(E24:AI24,"D7")*7/AK24+COUNTIF(E24:AI24,"D8")*8/AK24+COUNTIF(E24:AI24,"D9")*9/AK24+COUNTIF(E24:AI24,"D10")*10/AK24+COUNTIF(E24:AI24,"D11")*11/AK24+COUNTIF(E24:AI24,"D12")*12/AK24</f>
        <v>0</v>
      </c>
      <c r="AN24" s="62">
        <f t="shared" si="12"/>
        <v>18</v>
      </c>
      <c r="AO24" s="62">
        <f t="shared" si="13"/>
        <v>0</v>
      </c>
      <c r="AP24" s="62">
        <f t="shared" si="14"/>
        <v>0</v>
      </c>
      <c r="AQ24" s="63">
        <f t="shared" si="15"/>
        <v>0</v>
      </c>
      <c r="AR24" s="62">
        <f t="shared" si="16"/>
        <v>0</v>
      </c>
      <c r="AS24" s="62">
        <f t="shared" si="17"/>
        <v>0</v>
      </c>
      <c r="AT24" s="64"/>
      <c r="AU24" s="64"/>
      <c r="AV24" s="65">
        <f t="shared" si="18"/>
        <v>12</v>
      </c>
      <c r="AW24" s="65">
        <f t="shared" si="19"/>
        <v>0</v>
      </c>
      <c r="AX24" s="64"/>
      <c r="AY24" s="64"/>
      <c r="AZ24" s="80"/>
      <c r="BA24" s="66">
        <f t="shared" si="20"/>
        <v>18</v>
      </c>
      <c r="BB24" s="67"/>
      <c r="BC24" s="68"/>
      <c r="BD24" s="69">
        <f>VLOOKUP($B24,[1]CN!$B$9:$DK$221,114,0)</f>
        <v>3</v>
      </c>
      <c r="BE24" s="70">
        <f t="shared" si="21"/>
        <v>27</v>
      </c>
      <c r="BF24" s="71" t="s">
        <v>39</v>
      </c>
      <c r="BG24" s="72" t="s">
        <v>34</v>
      </c>
      <c r="BH24" s="73" t="str">
        <f>VLOOKUP(B24,'[2]Bang luong_06'!$B$9:$C$333,2,0)</f>
        <v>Chau Kim Siêng</v>
      </c>
      <c r="BI24" s="74"/>
      <c r="BJ24" s="75" t="str">
        <f>VLOOKUP($B24,'[2]Bang luong_06'!$B$10:$C$333,2,0)</f>
        <v>Chau Kim Siêng</v>
      </c>
      <c r="BK24" s="76" t="b">
        <f t="shared" ref="BK24" si="27">BJ24=C24</f>
        <v>1</v>
      </c>
      <c r="BM24" s="77" t="e">
        <f>+VLOOKUP(B24,'[2]Thưởng Lễ 2-9'!#REF!,6,0)</f>
        <v>#REF!</v>
      </c>
      <c r="BN24" s="75">
        <f t="shared" ref="BN24" si="28">ROUND(($BN$12-D24)/30,0)</f>
        <v>-18</v>
      </c>
      <c r="BO24" s="76" t="e">
        <f>+VLOOKUP(B24,'[2]Bang luong_06'!#REF!,3,0)</f>
        <v>#REF!</v>
      </c>
      <c r="BP24" s="76" t="s">
        <v>40</v>
      </c>
      <c r="BQ24" s="76">
        <v>0</v>
      </c>
      <c r="BR24" s="76">
        <f t="shared" ref="BR24" si="29">COUNTIF(D24:AI24,"N")+COUNTIF(D24:AI24,"N1")*1/AK24+COUNTIF(D24:AI24,"N2")*2/AK24+COUNTIF(D24:AI24,"N3")*3/AK24+COUNTIF(D24:AI24,"N4")*4/AK24+COUNTIF(D24:AI24,"N5")*5/AK24+COUNTIF(D24:AI24,"N6")*6/AK24+COUNTIF(D24:AI24,"N7")*7/AK24+COUNTIF(D24:AI24,"N8")*8/AK24+COUNTIF(D24:AI24,"N9")*9/AK24+COUNTIF(D24:AI24,"N10")*10/AK24+COUNTIF(D24:AI24,"N11")*11/AK24+COUNTIF(D24:AI24,"N12")*12/AK24+COUNTIF(D24:AI24,"Ro1")*1/AK24+COUNTIF(D24:AI24,"Ro2")*2/AK24+COUNTIF(D24:AI24,"Ro3")*3/AK24+COUNTIF(D24:AI24,"Ro3.0")*3/AK24+COUNTIF(D24:AI24,"Ro4")*4/AK24+COUNTIF(D24:AI24,"Ro4.0")*4/AK24+COUNTIF(D24:AI24,"Ro4.5")*4.5/AK24+COUNTIF(D24:AI24,"Ro5")*5/AK24+COUNTIF(D24:AI24,"Ro5.0")*5/AK24+COUNTIF(D24:AI24,"Ro5.5")*5.5/AK24+COUNTIF(D24:AI24,"Ro6")*6/AK24+COUNTIF(D24:AI24,"Ro7")*7/AK24+COUNTIF(D24:AI24,"Ro8")*8/AK24+COUNTIF(D24:AI24,"Ro8.0")*8/AK24+COUNTIF(D24:AI24,"Ro8.3")*8.3/AK24+COUNTIF(D24:AI24,"Ro8.5")*8.5/AK24+COUNTIF(D24:AI24,"Ro9")*9/AK24+COUNTIF(D24:AI24,"Ro9.5")*9.5/AK24+COUNTIF(D24:AI24,"Ro10")*10/AK24+COUNTIF(D24:AI24,"Ro10.0")*10/AK24+COUNTIF(D24:AI24,"Ro10.5")*10.5/AK24+COUNTIF(D24:AI24,"Ro11")*11/AK24+COUNTIF(D24:AI24,"Ro11.0")*11/AK24+COUNTIF(D24:AI24,"Ro11.5")*11.5/AK24+COUNTIF(D24:AI24,"P2")*0.5</f>
        <v>18</v>
      </c>
    </row>
    <row r="25" spans="1:70" s="76" customFormat="1" ht="24.75" customHeight="1" x14ac:dyDescent="0.25">
      <c r="A25" s="33">
        <f t="shared" si="24"/>
        <v>12</v>
      </c>
      <c r="B25" s="33" t="s">
        <v>66</v>
      </c>
      <c r="C25" s="55" t="s">
        <v>67</v>
      </c>
      <c r="D25" s="56">
        <v>46121</v>
      </c>
      <c r="E25" s="57" t="s">
        <v>509</v>
      </c>
      <c r="F25" s="57" t="s">
        <v>509</v>
      </c>
      <c r="G25" s="57" t="s">
        <v>38</v>
      </c>
      <c r="H25" s="57" t="s">
        <v>38</v>
      </c>
      <c r="I25" s="57" t="s">
        <v>38</v>
      </c>
      <c r="J25" s="57">
        <v>9</v>
      </c>
      <c r="K25" s="57" t="s">
        <v>38</v>
      </c>
      <c r="L25" s="57" t="s">
        <v>38</v>
      </c>
      <c r="M25" s="57" t="s">
        <v>509</v>
      </c>
      <c r="N25" s="86" t="s">
        <v>509</v>
      </c>
      <c r="O25" s="57" t="s">
        <v>509</v>
      </c>
      <c r="P25" s="57" t="s">
        <v>38</v>
      </c>
      <c r="Q25" s="57">
        <v>9</v>
      </c>
      <c r="R25" s="57" t="s">
        <v>38</v>
      </c>
      <c r="S25" s="57" t="s">
        <v>38</v>
      </c>
      <c r="T25" s="57" t="s">
        <v>38</v>
      </c>
      <c r="U25" s="57" t="s">
        <v>38</v>
      </c>
      <c r="V25" s="57" t="s">
        <v>38</v>
      </c>
      <c r="W25" s="91" t="s">
        <v>38</v>
      </c>
      <c r="X25" s="91">
        <v>9</v>
      </c>
      <c r="Y25" s="57"/>
      <c r="Z25" s="91"/>
      <c r="AA25" s="57"/>
      <c r="AB25" s="57"/>
      <c r="AC25" s="57"/>
      <c r="AD25" s="91"/>
      <c r="AE25" s="91"/>
      <c r="AF25" s="91"/>
      <c r="AG25" s="91"/>
      <c r="AH25" s="57"/>
      <c r="AI25" s="86"/>
      <c r="AJ25" s="58">
        <v>10100403</v>
      </c>
      <c r="AK25" s="59">
        <v>12</v>
      </c>
      <c r="AL25" s="60">
        <f t="shared" si="10"/>
        <v>12</v>
      </c>
      <c r="AM25" s="61">
        <f t="shared" si="11"/>
        <v>0</v>
      </c>
      <c r="AN25" s="62">
        <f t="shared" si="12"/>
        <v>12</v>
      </c>
      <c r="AO25" s="62">
        <f t="shared" si="13"/>
        <v>0</v>
      </c>
      <c r="AP25" s="62">
        <f t="shared" si="14"/>
        <v>0</v>
      </c>
      <c r="AQ25" s="63">
        <f t="shared" si="15"/>
        <v>0</v>
      </c>
      <c r="AR25" s="62">
        <f t="shared" si="16"/>
        <v>0</v>
      </c>
      <c r="AS25" s="62">
        <f t="shared" si="17"/>
        <v>0</v>
      </c>
      <c r="AT25" s="64"/>
      <c r="AU25" s="64"/>
      <c r="AV25" s="65">
        <f t="shared" si="18"/>
        <v>0</v>
      </c>
      <c r="AW25" s="65">
        <f t="shared" si="19"/>
        <v>0</v>
      </c>
      <c r="AX25" s="64"/>
      <c r="AY25" s="64"/>
      <c r="AZ25" s="80"/>
      <c r="BA25" s="66">
        <f>+AN25+AR25+AS25+AO25</f>
        <v>12</v>
      </c>
      <c r="BB25" s="67"/>
      <c r="BC25" s="87"/>
      <c r="BD25" s="69">
        <f>VLOOKUP($B25,[1]CN!$B$9:$DK$221,114,0)</f>
        <v>0</v>
      </c>
      <c r="BE25" s="70">
        <f t="shared" si="21"/>
        <v>27</v>
      </c>
      <c r="BF25" s="71" t="s">
        <v>39</v>
      </c>
      <c r="BG25" s="72">
        <v>0</v>
      </c>
      <c r="BH25" s="73" t="str">
        <f>VLOOKUP(B25,'[2]Bang luong_06'!$B$9:$C$333,2,0)</f>
        <v>Sơn Văn Cường</v>
      </c>
      <c r="BI25" s="74" t="s">
        <v>63</v>
      </c>
      <c r="BJ25" s="75" t="str">
        <f>VLOOKUP($B25,'[2]Bang luong_06'!$B$10:$C$333,2,0)</f>
        <v>Sơn Văn Cường</v>
      </c>
      <c r="BK25" s="76" t="b">
        <f t="shared" si="22"/>
        <v>1</v>
      </c>
      <c r="BM25" s="77" t="e">
        <f>+VLOOKUP(B25,'[2]Thưởng Lễ 2-9'!B11:G300,6,0)</f>
        <v>#N/A</v>
      </c>
      <c r="BN25" s="75">
        <f t="shared" si="23"/>
        <v>-20</v>
      </c>
      <c r="BO25" s="76" t="str">
        <f>+VLOOKUP(B25,'[2]Bang luong_06'!B20:D340,3,0)</f>
        <v>Tài xế</v>
      </c>
      <c r="BP25" s="76" t="s">
        <v>40</v>
      </c>
      <c r="BQ25" s="76">
        <v>6.5</v>
      </c>
      <c r="BR25" s="76">
        <f t="shared" si="4"/>
        <v>12</v>
      </c>
    </row>
    <row r="26" spans="1:70" s="84" customFormat="1" ht="31.5" customHeight="1" x14ac:dyDescent="0.25">
      <c r="A26" s="33" t="str">
        <f>IF(B26="","",MAX(A23:A25)+1)</f>
        <v/>
      </c>
      <c r="B26" s="46"/>
      <c r="C26" s="46" t="s">
        <v>68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81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82"/>
      <c r="BE26" s="46"/>
      <c r="BF26" s="71" t="s">
        <v>39</v>
      </c>
      <c r="BG26" s="92" t="s">
        <v>34</v>
      </c>
      <c r="BH26" s="73"/>
      <c r="BI26" s="73"/>
      <c r="BJ26" s="75"/>
      <c r="BK26" s="76"/>
      <c r="BM26" s="77"/>
      <c r="BN26" s="75"/>
      <c r="BO26" s="76"/>
      <c r="BP26" s="76"/>
      <c r="BQ26" s="76"/>
      <c r="BR26" s="76" t="e">
        <f t="shared" si="4"/>
        <v>#DIV/0!</v>
      </c>
    </row>
    <row r="27" spans="1:70" s="76" customFormat="1" ht="31.5" customHeight="1" outlineLevel="1" x14ac:dyDescent="0.25">
      <c r="A27" s="33">
        <f t="shared" si="24"/>
        <v>13</v>
      </c>
      <c r="B27" s="33" t="s">
        <v>69</v>
      </c>
      <c r="C27" s="55" t="s">
        <v>70</v>
      </c>
      <c r="D27" s="56">
        <v>44552</v>
      </c>
      <c r="E27" s="86" t="s">
        <v>38</v>
      </c>
      <c r="F27" s="86" t="s">
        <v>38</v>
      </c>
      <c r="G27" s="86" t="s">
        <v>38</v>
      </c>
      <c r="H27" s="86" t="s">
        <v>38</v>
      </c>
      <c r="I27" s="86" t="s">
        <v>38</v>
      </c>
      <c r="J27" s="86"/>
      <c r="K27" s="86" t="s">
        <v>38</v>
      </c>
      <c r="L27" s="86" t="s">
        <v>38</v>
      </c>
      <c r="M27" s="86" t="s">
        <v>38</v>
      </c>
      <c r="N27" s="86" t="s">
        <v>38</v>
      </c>
      <c r="O27" s="86" t="s">
        <v>38</v>
      </c>
      <c r="P27" s="86" t="s">
        <v>38</v>
      </c>
      <c r="Q27" s="86"/>
      <c r="R27" s="86" t="s">
        <v>38</v>
      </c>
      <c r="S27" s="86" t="s">
        <v>38</v>
      </c>
      <c r="T27" s="86" t="s">
        <v>38</v>
      </c>
      <c r="U27" s="86" t="s">
        <v>38</v>
      </c>
      <c r="V27" s="86" t="s">
        <v>38</v>
      </c>
      <c r="W27" s="86" t="s">
        <v>38</v>
      </c>
      <c r="X27" s="86"/>
      <c r="Y27" s="86" t="s">
        <v>38</v>
      </c>
      <c r="Z27" s="86"/>
      <c r="AA27" s="86"/>
      <c r="AB27" s="86"/>
      <c r="AC27" s="57"/>
      <c r="AD27" s="86"/>
      <c r="AE27" s="86"/>
      <c r="AF27" s="86"/>
      <c r="AG27" s="86"/>
      <c r="AH27" s="86"/>
      <c r="AI27" s="86"/>
      <c r="AJ27" s="58">
        <v>10110503</v>
      </c>
      <c r="AK27" s="59">
        <v>10</v>
      </c>
      <c r="AL27" s="60">
        <f>COUNTIF(D27:AI27,"N")+COUNTIF(D27:AI27,"N1")*1/AK27+COUNTIF(D27:AI27,"N2")*2/AK27+COUNTIF(D27:AI27,"N3")*3/AK27+COUNTIF(D27:AI27,"N4")*4/AK27+COUNTIF(D27:AI27,"N5")*5/AK27+COUNTIF(D27:AI27,"N6")*6/AK27+COUNTIF(D27:AI27,"N7")*7/AK27+COUNTIF(D27:AI27,"N8")*8/AK27+COUNTIF(D27:AI27,"N9")*9/AK27+COUNTIF(D27:AI27,"N10")*10/AK27+COUNTIF(D27:AI27,"N11")*11/AK27+COUNTIF(D27:AI27,"N12")*12/AK27+COUNTIF(D27:AI27,"Ro1")*1/AK27+COUNTIF(D27:AI27,"Ro2")*2/AK27+COUNTIF(D27:AI27,"Ro3")*3/AK27+COUNTIF(D27:AI27,"Ro3.0")*3/AK27+COUNTIF(D27:AI27,"Ro4")*4/AK27+COUNTIF(D27:AI27,"Ro4.0")*4/AK27+COUNTIF(D27:AI27,"Ro4.5")*4.5/AK27+COUNTIF(D27:AI27,"Ro5")*5/AK27+COUNTIF(D27:AI27,"Ro5.0")*5/AK27+COUNTIF(D27:AI27,"Ro5.5")*5.5/AK27+COUNTIF(D27:AI27,"Ro6")*6/AK27+COUNTIF(D27:AI27,"Ro7")*7/AK27+COUNTIF(D27:AI27,"Ro8")*8/AK27+COUNTIF(D27:AI27,"Ro8.0")*8/AK27+COUNTIF(D27:AI27,"Ro8.3")*8.3/AK27+COUNTIF(D27:AI27,"Ro8.5")*8.5/AK27+COUNTIF(D27:AI27,"Ro9")*9/AK27+COUNTIF(D27:AI27,"Ro9.5")*9.5/AK27+COUNTIF(D27:AI27,"Ro10")*10/AK27+COUNTIF(D27:AI27,"Ro10.0")*10/AK27+COUNTIF(D27:AI27,"Ro10.5")*10.5/AK27+COUNTIF(D27:AI27,"Ro11")*11/AK27+COUNTIF(D27:AI27,"Ro11.0")*11/AK27+COUNTIF(D27:AI27,"Ro11.5")*11.5/AK27+COUNTIF(D27:AI27,"Bu1")+COUNTIF(D27:AI27,"Bu2")+COUNTIF(D27:AI27,"Bu3")+COUNTIF(D27:AI27,"Bu4")+COUNTIF(D27:AI27,"Bu5")+COUNTIF(D27:AI27,"Bu6")+COUNTIF(D27:AI27,"Bu7")+COUNTIF(D27:AI27,"Bu8")+COUNTIF(D27:AI27,"Bu9")+COUNTIF(D27:AI27,"Bu10")+COUNTIF(D27:AI27,"Bu11")+COUNTIF(D27:AI27,"Bu")+COUNTIF(D27:AI27,"P2")*0.5</f>
        <v>18</v>
      </c>
      <c r="AM27" s="61">
        <f t="shared" ref="AM27:AM36" si="30">COUNTIF(E27:AI27,"D")+COUNTIF(E27:AI27,"D1")*1/AK27+COUNTIF(E27:AI27,"D2")*2/AK27+COUNTIF(E27:AI27,"D3")*3/AK27+COUNTIF(E27:AI27,"D4")*4/AK27+COUNTIF(E27:AI27,"D5")*5/AK27+COUNTIF(E27:AI27,"D6")*6/AK27+COUNTIF(E27:AI27,"D7")*7/AK27+COUNTIF(E27:AI27,"D8")*8/AK27+COUNTIF(E27:AI27,"D9")*9/AK27+COUNTIF(E27:AI27,"D10")*10/AK27+COUNTIF(E27:AI27,"D11")*11/AK27+COUNTIF(E27:AI27,"D12")*12/AK27</f>
        <v>0</v>
      </c>
      <c r="AN27" s="62">
        <f>+AL27+AM27</f>
        <v>18</v>
      </c>
      <c r="AO27" s="62">
        <f t="shared" ref="AO27:AO36" si="31">COUNTIF(E27:AI27,"p")+COUNTIF(E27:AI27,"p1")/2+COUNTIF(E27:AI27,"p2")/2</f>
        <v>0</v>
      </c>
      <c r="AP27" s="62">
        <f t="shared" ref="AP27:AP36" si="32">COUNTIF(E27:AI27,"K")</f>
        <v>0</v>
      </c>
      <c r="AQ27" s="63">
        <f t="shared" ref="AQ27:AQ36" si="33">COUNTIF(E27:AI27,"Ro")+COUNTIF(E27:AI27,"Ro1")*11/AK27+COUNTIF(E27:AI27,"Ro2")*10/AK27+COUNTIF(E27:AI27,"Ro3")*9/AK27+COUNTIF(E27:AI27,"Ro3.0")*9/AK27+COUNTIF(E27:AI27,"Ro4")*8/AK27+COUNTIF(E27:AI27,"Ro4.0")*8/AK27+COUNTIF(E27:AI27,"Ro4.5")*7.5/AK27+COUNTIF(E27:AI27,"Ro5")*7/AK27+COUNTIF(E27:AI27,"Ro5.0")*7/AK27+COUNTIF(E27:AI27,"Ro5.5")*6.5/AK27+COUNTIF(E27:AI27,"Ro6")*6/AK27+COUNTIF(E27:AI27,"Ro7")*5/AK27+COUNTIF(E27:AI27,"Ro8")*4/AK27+COUNTIF(E27:AI27,"Ro8.0")*4/AK27+COUNTIF(E27:AI27,"Ro8.3")*3.7/AK27+COUNTIF(E27:AI27,"Ro8.5")*3.5/AK27+COUNTIF(E27:AI27,"Ro9")*3/AK27+COUNTIF(E27:AI27,"Ro10")*2/AK27+COUNTIF(E27:AI27,"Ro10.0")*2/AK27+COUNTIF(E27:AI27,"Ro10.5")*1.5/AK27+COUNTIF(E27:AI27,"Ro11.0")*1/AK27+COUNTIF(E27:AI27,"Ro11")*1/AK27+COUNTIF(E27:AI27,"Ro11.5")*0.5/AK27+COUNTIF(E27:AI27,"N1")*11/AK27+COUNTIF(E27:AI27,"N2")*10/AK27+COUNTIF(E27:AI27,"N3")*9/AK27+COUNTIF(E27:AI27,"N4")*8/AK27+COUNTIF(E27:AI27,"N5")*7/AK27+COUNTIF(E27:AI27,"N6")*6/AK27+COUNTIF(E27:AI27,"N7")*5/AK27+COUNTIF(E27:AI27,"N8")*4/AK27+COUNTIF(E27:AI27,"N9")*3/AK27+COUNTIF(E27:AI27,"N10")*2/AK27+COUNTIF(E27:AI27,"N11")*1/AK27+COUNTIF(E27:AI27,"D1")*11/AK27+COUNTIF(E27:AI27,"D2")*10/AK27+COUNTIF(E27:AI27,"D3")*9/AK27+COUNTIF(E27:AI27,"D4")*8/AK27+COUNTIF(E27:AI27,"D5")*7/AK27+COUNTIF(E27:AI27,"D6")*6/AK27+COUNTIF(E27:AI27,"D7")*5/AK27+COUNTIF(E27:AI27,"D8")*4/AK27+COUNTIF(E27:AI27,"D9")*3/AK27+COUNTIF(E27:AI27,"D10")*2/AK27+COUNTIF(E27:AI27,"D11")*1/AK27+COUNTIF(E27:AI27,"P1")*0.5</f>
        <v>0</v>
      </c>
      <c r="AR27" s="62">
        <f t="shared" ref="AR27:AR36" si="34">COUNTIF(E27:AI27,"R")</f>
        <v>0</v>
      </c>
      <c r="AS27" s="62">
        <f t="shared" ref="AS27:AS36" si="35">COUNTIF(E27:AI27,"L")</f>
        <v>0</v>
      </c>
      <c r="AT27" s="64"/>
      <c r="AU27" s="64"/>
      <c r="AV27" s="93"/>
      <c r="AW27" s="64"/>
      <c r="AX27" s="64"/>
      <c r="AY27" s="64"/>
      <c r="AZ27" s="80"/>
      <c r="BA27" s="66">
        <f t="shared" ref="BA27:BA36" si="36">+AN27+AR27+AS27+AO27</f>
        <v>18</v>
      </c>
      <c r="BB27" s="67"/>
      <c r="BC27" s="94"/>
      <c r="BD27" s="69">
        <f>VLOOKUP($B27,[1]CN!$B$9:$DK$221,114,0)</f>
        <v>-1</v>
      </c>
      <c r="BE27" s="70">
        <f t="shared" ref="BE27:BE36" si="37">+$AI$8-$E$8+1-INT(($AI$8-$E$8-WEEKDAY($AI$8)+8)/7)</f>
        <v>27</v>
      </c>
      <c r="BF27" s="71" t="s">
        <v>39</v>
      </c>
      <c r="BG27" s="72" t="s">
        <v>34</v>
      </c>
      <c r="BH27" s="73" t="str">
        <f>VLOOKUP(B27,'[2]Bang luong_06'!$B$9:$C$333,2,0)</f>
        <v>Nguyễn Thị Tình</v>
      </c>
      <c r="BI27" s="74" t="s">
        <v>69</v>
      </c>
      <c r="BJ27" s="75" t="str">
        <f>VLOOKUP($B27,'[2]Bang luong_06'!$B$10:$C$333,2,0)</f>
        <v>Nguyễn Thị Tình</v>
      </c>
      <c r="BK27" s="76" t="b">
        <f t="shared" ref="BK27:BK36" si="38">BJ27=C27</f>
        <v>1</v>
      </c>
      <c r="BM27" s="77">
        <f>+VLOOKUP(B27,'[2]Thưởng Lễ 2-9'!B19:G308,6,0)</f>
        <v>0</v>
      </c>
      <c r="BN27" s="75">
        <f t="shared" ref="BN27:BN36" si="39">ROUND(($BN$12-D27)/30,0)</f>
        <v>33</v>
      </c>
      <c r="BO27" s="76" t="str">
        <f>+VLOOKUP(B27,'[2]Bang luong_06'!B21:D343,3,0)</f>
        <v>Tạp vụ xưởng</v>
      </c>
      <c r="BP27" s="76" t="s">
        <v>40</v>
      </c>
      <c r="BQ27" s="76">
        <v>12.5</v>
      </c>
      <c r="BR27" s="76">
        <f t="shared" si="4"/>
        <v>18</v>
      </c>
    </row>
    <row r="28" spans="1:70" s="76" customFormat="1" ht="31.5" customHeight="1" outlineLevel="1" x14ac:dyDescent="0.25">
      <c r="A28" s="33">
        <f t="shared" si="24"/>
        <v>14</v>
      </c>
      <c r="B28" s="95" t="s">
        <v>71</v>
      </c>
      <c r="C28" s="55" t="s">
        <v>72</v>
      </c>
      <c r="D28" s="56">
        <v>45841</v>
      </c>
      <c r="E28" s="86" t="s">
        <v>38</v>
      </c>
      <c r="F28" s="86" t="s">
        <v>38</v>
      </c>
      <c r="G28" s="86" t="s">
        <v>38</v>
      </c>
      <c r="H28" s="86" t="s">
        <v>38</v>
      </c>
      <c r="I28" s="86" t="s">
        <v>38</v>
      </c>
      <c r="J28" s="86"/>
      <c r="K28" s="86" t="s">
        <v>38</v>
      </c>
      <c r="L28" s="86" t="s">
        <v>38</v>
      </c>
      <c r="M28" s="86" t="s">
        <v>38</v>
      </c>
      <c r="N28" s="86" t="s">
        <v>38</v>
      </c>
      <c r="O28" s="86" t="s">
        <v>38</v>
      </c>
      <c r="P28" s="86" t="s">
        <v>38</v>
      </c>
      <c r="Q28" s="86"/>
      <c r="R28" s="86" t="s">
        <v>38</v>
      </c>
      <c r="S28" s="86" t="s">
        <v>38</v>
      </c>
      <c r="T28" s="86" t="s">
        <v>38</v>
      </c>
      <c r="U28" s="86" t="s">
        <v>38</v>
      </c>
      <c r="V28" s="86" t="s">
        <v>38</v>
      </c>
      <c r="W28" s="86" t="s">
        <v>38</v>
      </c>
      <c r="X28" s="86"/>
      <c r="Y28" s="86" t="s">
        <v>107</v>
      </c>
      <c r="Z28" s="86"/>
      <c r="AA28" s="86"/>
      <c r="AB28" s="86"/>
      <c r="AC28" s="57"/>
      <c r="AD28" s="86"/>
      <c r="AE28" s="86"/>
      <c r="AF28" s="86"/>
      <c r="AG28" s="86"/>
      <c r="AH28" s="86"/>
      <c r="AI28" s="86"/>
      <c r="AJ28" s="58">
        <v>10110503</v>
      </c>
      <c r="AK28" s="59">
        <v>10</v>
      </c>
      <c r="AL28" s="60">
        <f t="shared" ref="AL28:AL36" si="40">COUNTIF(D28:AI28,"N")+COUNTIF(D28:AI28,"N1")*1/AK28+COUNTIF(D28:AI28,"N2")*2/AK28+COUNTIF(D28:AI28,"N3")*3/AK28+COUNTIF(D28:AI28,"N4")*4/AK28+COUNTIF(D28:AI28,"N5")*5/AK28+COUNTIF(D28:AI28,"N6")*6/AK28+COUNTIF(D28:AI28,"N7")*7/AK28+COUNTIF(D28:AI28,"N8")*8/AK28+COUNTIF(D28:AI28,"N9")*9/AK28+COUNTIF(D28:AI28,"N10")*10/AK28+COUNTIF(D28:AI28,"N11")*11/AK28+COUNTIF(D28:AI28,"N12")*12/AK28+COUNTIF(D28:AI28,"Ro1")*1/AK28+COUNTIF(D28:AI28,"Ro2")*2/AK28+COUNTIF(D28:AI28,"Ro3")*3/AK28+COUNTIF(D28:AI28,"Ro3.0")*3/AK28+COUNTIF(D28:AI28,"Ro4")*4/AK28+COUNTIF(D28:AI28,"Ro4.0")*4/AK28+COUNTIF(D28:AI28,"Ro4.5")*4.5/AK28+COUNTIF(D28:AI28,"Ro5")*5/AK28+COUNTIF(D28:AI28,"Ro5.0")*5/AK28+COUNTIF(D28:AI28,"Ro5.5")*5.5/AK28+COUNTIF(D28:AI28,"Ro6")*6/AK28+COUNTIF(D28:AI28,"Ro7")*7/AK28+COUNTIF(D28:AI28,"Ro8")*8/AK28+COUNTIF(D28:AI28,"Ro8.0")*8/AK28+COUNTIF(D28:AI28,"Ro8.3")*8.3/AK28+COUNTIF(D28:AI28,"Ro8.5")*8.5/AK28+COUNTIF(D28:AI28,"Ro9")*9/AK28+COUNTIF(D28:AI28,"Ro9.5")*9.5/AK28+COUNTIF(D28:AI28,"Ro10")*10/AK28+COUNTIF(D28:AI28,"Ro10.0")*10/AK28+COUNTIF(D28:AI28,"Ro10.5")*10.5/AK28+COUNTIF(D28:AI28,"Ro11")*11/AK28+COUNTIF(D28:AI28,"Ro11.0")*11/AK28+COUNTIF(D28:AI28,"Ro11.5")*11.5/AK28+COUNTIF(D28:AI28,"Bu1")+COUNTIF(D28:AI28,"Bu2")+COUNTIF(D28:AI28,"Bu3")+COUNTIF(D28:AI28,"Bu4")+COUNTIF(D28:AI28,"Bu5")+COUNTIF(D28:AI28,"Bu6")+COUNTIF(D28:AI28,"Bu7")+COUNTIF(D28:AI28,"Bu8")+COUNTIF(D28:AI28,"Bu9")+COUNTIF(D28:AI28,"Bu10")+COUNTIF(D28:AI28,"Bu11")+COUNTIF(D28:AI28,"Bu")+COUNTIF(D28:AI28,"P2")*0.5</f>
        <v>17</v>
      </c>
      <c r="AM28" s="61">
        <f t="shared" si="30"/>
        <v>0</v>
      </c>
      <c r="AN28" s="62">
        <f t="shared" ref="AN28:AN36" si="41">+AL28+AM28</f>
        <v>17</v>
      </c>
      <c r="AO28" s="62">
        <f t="shared" si="31"/>
        <v>1</v>
      </c>
      <c r="AP28" s="62">
        <f t="shared" si="32"/>
        <v>0</v>
      </c>
      <c r="AQ28" s="63">
        <f t="shared" si="33"/>
        <v>0</v>
      </c>
      <c r="AR28" s="62">
        <f t="shared" si="34"/>
        <v>0</v>
      </c>
      <c r="AS28" s="62">
        <f t="shared" si="35"/>
        <v>0</v>
      </c>
      <c r="AT28" s="64"/>
      <c r="AU28" s="64"/>
      <c r="AV28" s="93"/>
      <c r="AW28" s="64"/>
      <c r="AX28" s="64"/>
      <c r="AY28" s="64"/>
      <c r="AZ28" s="80"/>
      <c r="BA28" s="66">
        <f t="shared" si="36"/>
        <v>18</v>
      </c>
      <c r="BB28" s="67"/>
      <c r="BC28" s="68"/>
      <c r="BD28" s="69">
        <f>VLOOKUP($B28,[1]CN!$B$9:$DK$221,114,0)</f>
        <v>3</v>
      </c>
      <c r="BE28" s="70">
        <f t="shared" si="37"/>
        <v>27</v>
      </c>
      <c r="BF28" s="71" t="s">
        <v>39</v>
      </c>
      <c r="BG28" s="72" t="s">
        <v>34</v>
      </c>
      <c r="BH28" s="73" t="str">
        <f>VLOOKUP(B28,'[2]Bang luong_06'!$B$9:$C$333,2,0)</f>
        <v>Huỳnh Thị Linh</v>
      </c>
      <c r="BI28" s="74" t="s">
        <v>73</v>
      </c>
      <c r="BJ28" s="75" t="str">
        <f>VLOOKUP($B28,'[2]Bang luong_06'!$B$10:$C$333,2,0)</f>
        <v>Huỳnh Thị Linh</v>
      </c>
      <c r="BK28" s="76" t="b">
        <f t="shared" si="38"/>
        <v>1</v>
      </c>
      <c r="BM28" s="77" t="e">
        <f>+VLOOKUP(B28,'[2]Thưởng Lễ 2-9'!B23:G313,6,0)</f>
        <v>#N/A</v>
      </c>
      <c r="BN28" s="75">
        <f t="shared" si="39"/>
        <v>-10</v>
      </c>
      <c r="BO28" s="76" t="str">
        <f>+VLOOKUP(B28,'[2]Bang luong_06'!B26:D345,3,0)</f>
        <v>Tạp vụ căntin</v>
      </c>
      <c r="BP28" s="76" t="s">
        <v>40</v>
      </c>
      <c r="BQ28" s="76">
        <v>4</v>
      </c>
      <c r="BR28" s="76">
        <f t="shared" si="4"/>
        <v>17</v>
      </c>
    </row>
    <row r="29" spans="1:70" s="76" customFormat="1" ht="31.5" customHeight="1" outlineLevel="1" x14ac:dyDescent="0.25">
      <c r="A29" s="33">
        <f t="shared" si="24"/>
        <v>15</v>
      </c>
      <c r="B29" s="95" t="s">
        <v>74</v>
      </c>
      <c r="C29" s="55" t="s">
        <v>75</v>
      </c>
      <c r="D29" s="56" t="s">
        <v>76</v>
      </c>
      <c r="E29" s="86" t="s">
        <v>38</v>
      </c>
      <c r="F29" s="86" t="s">
        <v>38</v>
      </c>
      <c r="G29" s="86" t="s">
        <v>38</v>
      </c>
      <c r="H29" s="86" t="s">
        <v>38</v>
      </c>
      <c r="I29" s="86" t="s">
        <v>38</v>
      </c>
      <c r="J29" s="86"/>
      <c r="K29" s="86" t="s">
        <v>38</v>
      </c>
      <c r="L29" s="86" t="s">
        <v>38</v>
      </c>
      <c r="M29" s="86" t="s">
        <v>38</v>
      </c>
      <c r="N29" s="86" t="s">
        <v>38</v>
      </c>
      <c r="O29" s="86" t="s">
        <v>38</v>
      </c>
      <c r="P29" s="86" t="s">
        <v>38</v>
      </c>
      <c r="Q29" s="86"/>
      <c r="R29" s="86" t="s">
        <v>38</v>
      </c>
      <c r="S29" s="86" t="s">
        <v>38</v>
      </c>
      <c r="T29" s="86" t="s">
        <v>38</v>
      </c>
      <c r="U29" s="86" t="s">
        <v>38</v>
      </c>
      <c r="V29" s="86" t="s">
        <v>38</v>
      </c>
      <c r="W29" s="86" t="s">
        <v>38</v>
      </c>
      <c r="X29" s="86"/>
      <c r="Y29" s="86" t="s">
        <v>38</v>
      </c>
      <c r="Z29" s="86"/>
      <c r="AA29" s="86"/>
      <c r="AB29" s="86"/>
      <c r="AC29" s="57"/>
      <c r="AD29" s="86"/>
      <c r="AE29" s="86"/>
      <c r="AF29" s="86"/>
      <c r="AG29" s="86"/>
      <c r="AH29" s="86"/>
      <c r="AI29" s="86"/>
      <c r="AJ29" s="58">
        <v>10110503</v>
      </c>
      <c r="AK29" s="59">
        <v>10</v>
      </c>
      <c r="AL29" s="60">
        <f t="shared" si="40"/>
        <v>18</v>
      </c>
      <c r="AM29" s="61">
        <f t="shared" si="30"/>
        <v>0</v>
      </c>
      <c r="AN29" s="62">
        <f t="shared" si="41"/>
        <v>18</v>
      </c>
      <c r="AO29" s="62">
        <f t="shared" si="31"/>
        <v>0</v>
      </c>
      <c r="AP29" s="62">
        <f t="shared" si="32"/>
        <v>0</v>
      </c>
      <c r="AQ29" s="63">
        <f t="shared" si="33"/>
        <v>0</v>
      </c>
      <c r="AR29" s="62">
        <f t="shared" si="34"/>
        <v>0</v>
      </c>
      <c r="AS29" s="62">
        <f t="shared" si="35"/>
        <v>0</v>
      </c>
      <c r="AT29" s="64"/>
      <c r="AU29" s="64"/>
      <c r="AV29" s="93"/>
      <c r="AW29" s="64"/>
      <c r="AX29" s="64"/>
      <c r="AY29" s="64"/>
      <c r="AZ29" s="80"/>
      <c r="BA29" s="66">
        <f t="shared" si="36"/>
        <v>18</v>
      </c>
      <c r="BB29" s="67"/>
      <c r="BC29" s="68"/>
      <c r="BD29" s="69">
        <f>VLOOKUP($B29,[1]CN!$B$9:$DK$221,114,0)</f>
        <v>4</v>
      </c>
      <c r="BE29" s="70">
        <f t="shared" si="37"/>
        <v>27</v>
      </c>
      <c r="BF29" s="71" t="s">
        <v>39</v>
      </c>
      <c r="BG29" s="72" t="s">
        <v>34</v>
      </c>
      <c r="BH29" s="73" t="str">
        <f>VLOOKUP(B29,'[2]Bang luong_06'!$B$9:$C$333,2,0)</f>
        <v>Nguyễn Kim Hoa</v>
      </c>
      <c r="BI29" s="74" t="s">
        <v>73</v>
      </c>
      <c r="BJ29" s="75" t="str">
        <f>VLOOKUP($B29,'[2]Bang luong_06'!$B$10:$C$333,2,0)</f>
        <v>Nguyễn Kim Hoa</v>
      </c>
      <c r="BK29" s="76" t="b">
        <f t="shared" si="38"/>
        <v>1</v>
      </c>
      <c r="BM29" s="77" t="e">
        <f>+VLOOKUP(B29,'[2]Thưởng Lễ 2-9'!B21:G311,6,0)</f>
        <v>#N/A</v>
      </c>
      <c r="BN29" s="75">
        <f t="shared" si="39"/>
        <v>-6</v>
      </c>
      <c r="BO29" s="76" t="str">
        <f>+VLOOKUP(B29,'[2]Bang luong_06'!B24:D343,3,0)</f>
        <v>Tạp vụ căntin</v>
      </c>
      <c r="BP29" s="76" t="s">
        <v>40</v>
      </c>
      <c r="BQ29" s="76">
        <v>0</v>
      </c>
      <c r="BR29" s="76">
        <f t="shared" si="4"/>
        <v>18</v>
      </c>
    </row>
    <row r="30" spans="1:70" s="76" customFormat="1" ht="31.5" customHeight="1" outlineLevel="1" x14ac:dyDescent="0.25">
      <c r="A30" s="33">
        <f t="shared" si="24"/>
        <v>16</v>
      </c>
      <c r="B30" s="95" t="s">
        <v>77</v>
      </c>
      <c r="C30" s="55" t="s">
        <v>78</v>
      </c>
      <c r="D30" s="56">
        <v>45812</v>
      </c>
      <c r="E30" s="86" t="s">
        <v>38</v>
      </c>
      <c r="F30" s="86" t="s">
        <v>38</v>
      </c>
      <c r="G30" s="86" t="s">
        <v>38</v>
      </c>
      <c r="H30" s="86" t="s">
        <v>38</v>
      </c>
      <c r="I30" s="86" t="s">
        <v>38</v>
      </c>
      <c r="J30" s="86"/>
      <c r="K30" s="86" t="s">
        <v>38</v>
      </c>
      <c r="L30" s="86" t="s">
        <v>38</v>
      </c>
      <c r="M30" s="86" t="s">
        <v>38</v>
      </c>
      <c r="N30" s="86" t="s">
        <v>38</v>
      </c>
      <c r="O30" s="86" t="s">
        <v>38</v>
      </c>
      <c r="P30" s="86" t="s">
        <v>38</v>
      </c>
      <c r="Q30" s="86"/>
      <c r="R30" s="86" t="s">
        <v>38</v>
      </c>
      <c r="S30" s="86" t="s">
        <v>38</v>
      </c>
      <c r="T30" s="86" t="s">
        <v>38</v>
      </c>
      <c r="U30" s="86" t="s">
        <v>38</v>
      </c>
      <c r="V30" s="86" t="s">
        <v>38</v>
      </c>
      <c r="W30" s="86" t="s">
        <v>38</v>
      </c>
      <c r="X30" s="86"/>
      <c r="Y30" s="86" t="s">
        <v>38</v>
      </c>
      <c r="Z30" s="86"/>
      <c r="AA30" s="86"/>
      <c r="AB30" s="86"/>
      <c r="AC30" s="57"/>
      <c r="AD30" s="86"/>
      <c r="AE30" s="86"/>
      <c r="AF30" s="86"/>
      <c r="AG30" s="86"/>
      <c r="AH30" s="86"/>
      <c r="AI30" s="86"/>
      <c r="AJ30" s="58">
        <v>10110503</v>
      </c>
      <c r="AK30" s="59">
        <v>10</v>
      </c>
      <c r="AL30" s="60">
        <f t="shared" si="40"/>
        <v>18</v>
      </c>
      <c r="AM30" s="61">
        <f t="shared" si="30"/>
        <v>0</v>
      </c>
      <c r="AN30" s="62">
        <f t="shared" si="41"/>
        <v>18</v>
      </c>
      <c r="AO30" s="62">
        <f t="shared" si="31"/>
        <v>0</v>
      </c>
      <c r="AP30" s="62">
        <f t="shared" si="32"/>
        <v>0</v>
      </c>
      <c r="AQ30" s="63">
        <f t="shared" si="33"/>
        <v>0</v>
      </c>
      <c r="AR30" s="62">
        <f t="shared" si="34"/>
        <v>0</v>
      </c>
      <c r="AS30" s="62">
        <f t="shared" si="35"/>
        <v>0</v>
      </c>
      <c r="AT30" s="64"/>
      <c r="AU30" s="64"/>
      <c r="AV30" s="93"/>
      <c r="AW30" s="64"/>
      <c r="AX30" s="64"/>
      <c r="AY30" s="64"/>
      <c r="AZ30" s="80"/>
      <c r="BA30" s="66">
        <f t="shared" si="36"/>
        <v>18</v>
      </c>
      <c r="BB30" s="67"/>
      <c r="BC30" s="68"/>
      <c r="BD30" s="69">
        <f>VLOOKUP($B30,[1]CN!$B$9:$DK$221,114,0)</f>
        <v>3</v>
      </c>
      <c r="BE30" s="70">
        <f t="shared" si="37"/>
        <v>27</v>
      </c>
      <c r="BF30" s="71" t="s">
        <v>39</v>
      </c>
      <c r="BG30" s="72" t="s">
        <v>34</v>
      </c>
      <c r="BH30" s="73" t="str">
        <f>VLOOKUP(B30,'[2]Bang luong_06'!$B$9:$C$333,2,0)</f>
        <v>Nguyễn Hoàng Bảo Luật</v>
      </c>
      <c r="BI30" s="74" t="s">
        <v>73</v>
      </c>
      <c r="BJ30" s="75" t="str">
        <f>VLOOKUP($B30,'[2]Bang luong_06'!$B$10:$C$333,2,0)</f>
        <v>Nguyễn Hoàng Bảo Luật</v>
      </c>
      <c r="BK30" s="76" t="b">
        <f t="shared" si="38"/>
        <v>1</v>
      </c>
      <c r="BM30" s="77" t="e">
        <f>+VLOOKUP(B30,'[2]Thưởng Lễ 2-9'!B22:G312,6,0)</f>
        <v>#N/A</v>
      </c>
      <c r="BN30" s="75">
        <f t="shared" si="39"/>
        <v>-9</v>
      </c>
      <c r="BO30" s="76" t="str">
        <f>+VLOOKUP(B30,'[2]Bang luong_06'!B25:D344,3,0)</f>
        <v>Trưởng cấp dưỡng</v>
      </c>
      <c r="BP30" s="76" t="s">
        <v>40</v>
      </c>
      <c r="BQ30" s="76">
        <v>0</v>
      </c>
      <c r="BR30" s="76">
        <f t="shared" si="4"/>
        <v>18</v>
      </c>
    </row>
    <row r="31" spans="1:70" s="76" customFormat="1" ht="31.5" customHeight="1" outlineLevel="1" x14ac:dyDescent="0.25">
      <c r="A31" s="33">
        <f t="shared" si="24"/>
        <v>17</v>
      </c>
      <c r="B31" s="95" t="s">
        <v>79</v>
      </c>
      <c r="C31" s="55" t="s">
        <v>80</v>
      </c>
      <c r="D31" s="56">
        <v>45828</v>
      </c>
      <c r="E31" s="86" t="s">
        <v>38</v>
      </c>
      <c r="F31" s="86" t="s">
        <v>38</v>
      </c>
      <c r="G31" s="86" t="s">
        <v>38</v>
      </c>
      <c r="H31" s="86" t="s">
        <v>38</v>
      </c>
      <c r="I31" s="86" t="s">
        <v>38</v>
      </c>
      <c r="J31" s="86"/>
      <c r="K31" s="86" t="s">
        <v>38</v>
      </c>
      <c r="L31" s="86" t="s">
        <v>38</v>
      </c>
      <c r="M31" s="86" t="s">
        <v>38</v>
      </c>
      <c r="N31" s="86" t="s">
        <v>38</v>
      </c>
      <c r="O31" s="86" t="s">
        <v>38</v>
      </c>
      <c r="P31" s="86" t="s">
        <v>38</v>
      </c>
      <c r="Q31" s="86"/>
      <c r="R31" s="86" t="s">
        <v>38</v>
      </c>
      <c r="S31" s="86" t="s">
        <v>38</v>
      </c>
      <c r="T31" s="86" t="s">
        <v>38</v>
      </c>
      <c r="U31" s="86" t="s">
        <v>38</v>
      </c>
      <c r="V31" s="86" t="s">
        <v>38</v>
      </c>
      <c r="W31" s="86" t="s">
        <v>38</v>
      </c>
      <c r="X31" s="86"/>
      <c r="Y31" s="86" t="s">
        <v>38</v>
      </c>
      <c r="Z31" s="86"/>
      <c r="AA31" s="86"/>
      <c r="AB31" s="86"/>
      <c r="AC31" s="57"/>
      <c r="AD31" s="86"/>
      <c r="AE31" s="86"/>
      <c r="AF31" s="86"/>
      <c r="AG31" s="86"/>
      <c r="AH31" s="86"/>
      <c r="AI31" s="86"/>
      <c r="AJ31" s="58">
        <v>10110503</v>
      </c>
      <c r="AK31" s="59">
        <v>10</v>
      </c>
      <c r="AL31" s="60">
        <f t="shared" si="40"/>
        <v>18</v>
      </c>
      <c r="AM31" s="61">
        <f t="shared" si="30"/>
        <v>0</v>
      </c>
      <c r="AN31" s="62">
        <f>+AL31+AM31</f>
        <v>18</v>
      </c>
      <c r="AO31" s="62">
        <f t="shared" si="31"/>
        <v>0</v>
      </c>
      <c r="AP31" s="62">
        <f t="shared" si="32"/>
        <v>0</v>
      </c>
      <c r="AQ31" s="63">
        <f t="shared" si="33"/>
        <v>0</v>
      </c>
      <c r="AR31" s="62">
        <f t="shared" si="34"/>
        <v>0</v>
      </c>
      <c r="AS31" s="62">
        <f t="shared" si="35"/>
        <v>0</v>
      </c>
      <c r="AT31" s="64"/>
      <c r="AU31" s="64"/>
      <c r="AV31" s="93"/>
      <c r="AW31" s="64"/>
      <c r="AX31" s="64"/>
      <c r="AY31" s="64"/>
      <c r="AZ31" s="80"/>
      <c r="BA31" s="66">
        <f>+AN31+AR31+AS31+AO31</f>
        <v>18</v>
      </c>
      <c r="BB31" s="67"/>
      <c r="BC31" s="68"/>
      <c r="BD31" s="69">
        <f>VLOOKUP($B31,[1]CN!$B$9:$DK$221,114,0)</f>
        <v>2</v>
      </c>
      <c r="BE31" s="70">
        <f t="shared" si="37"/>
        <v>27</v>
      </c>
      <c r="BF31" s="71" t="s">
        <v>39</v>
      </c>
      <c r="BG31" s="72" t="s">
        <v>34</v>
      </c>
      <c r="BH31" s="73" t="str">
        <f>VLOOKUP(B31,'[2]Bang luong_06'!$B$9:$C$333,2,0)</f>
        <v>Trượng Thị Tạm</v>
      </c>
      <c r="BI31" s="74" t="s">
        <v>73</v>
      </c>
      <c r="BJ31" s="75" t="str">
        <f>VLOOKUP($B31,'[2]Bang luong_06'!$B$10:$C$333,2,0)</f>
        <v>Trượng Thị Tạm</v>
      </c>
      <c r="BK31" s="76" t="b">
        <f t="shared" si="38"/>
        <v>1</v>
      </c>
      <c r="BM31" s="77" t="e">
        <f>+VLOOKUP(B31,'[2]Thưởng Lễ 2-9'!B24:G314,6,0)</f>
        <v>#N/A</v>
      </c>
      <c r="BN31" s="75">
        <f t="shared" si="39"/>
        <v>-10</v>
      </c>
      <c r="BO31" s="76" t="str">
        <f>+VLOOKUP(B31,'[2]Bang luong_06'!B27:D346,3,0)</f>
        <v>Tạp vụ xưởng</v>
      </c>
      <c r="BP31" s="76" t="s">
        <v>40</v>
      </c>
      <c r="BQ31" s="76">
        <v>0</v>
      </c>
      <c r="BR31" s="76">
        <f t="shared" si="4"/>
        <v>18</v>
      </c>
    </row>
    <row r="32" spans="1:70" s="76" customFormat="1" ht="31.5" customHeight="1" outlineLevel="1" x14ac:dyDescent="0.25">
      <c r="A32" s="33">
        <f t="shared" si="24"/>
        <v>18</v>
      </c>
      <c r="B32" s="95" t="s">
        <v>81</v>
      </c>
      <c r="C32" s="55" t="s">
        <v>82</v>
      </c>
      <c r="D32" s="56">
        <v>45828</v>
      </c>
      <c r="E32" s="86" t="s">
        <v>38</v>
      </c>
      <c r="F32" s="86" t="s">
        <v>38</v>
      </c>
      <c r="G32" s="86" t="s">
        <v>38</v>
      </c>
      <c r="H32" s="86" t="s">
        <v>38</v>
      </c>
      <c r="I32" s="86" t="s">
        <v>38</v>
      </c>
      <c r="J32" s="86"/>
      <c r="K32" s="86" t="s">
        <v>38</v>
      </c>
      <c r="L32" s="86" t="s">
        <v>38</v>
      </c>
      <c r="M32" s="86" t="s">
        <v>38</v>
      </c>
      <c r="N32" s="86" t="s">
        <v>38</v>
      </c>
      <c r="O32" s="86" t="s">
        <v>38</v>
      </c>
      <c r="P32" s="86" t="s">
        <v>38</v>
      </c>
      <c r="Q32" s="86"/>
      <c r="R32" s="86" t="s">
        <v>38</v>
      </c>
      <c r="S32" s="86" t="s">
        <v>38</v>
      </c>
      <c r="T32" s="86" t="s">
        <v>38</v>
      </c>
      <c r="U32" s="86" t="s">
        <v>38</v>
      </c>
      <c r="V32" s="86" t="s">
        <v>38</v>
      </c>
      <c r="W32" s="86" t="s">
        <v>38</v>
      </c>
      <c r="X32" s="86"/>
      <c r="Y32" s="86" t="s">
        <v>38</v>
      </c>
      <c r="Z32" s="86"/>
      <c r="AA32" s="86"/>
      <c r="AB32" s="86"/>
      <c r="AC32" s="57"/>
      <c r="AD32" s="86"/>
      <c r="AE32" s="86"/>
      <c r="AF32" s="86"/>
      <c r="AG32" s="86"/>
      <c r="AH32" s="86"/>
      <c r="AI32" s="86"/>
      <c r="AJ32" s="58">
        <v>10110503</v>
      </c>
      <c r="AK32" s="59">
        <v>10</v>
      </c>
      <c r="AL32" s="60">
        <f t="shared" si="40"/>
        <v>18</v>
      </c>
      <c r="AM32" s="61">
        <f t="shared" si="30"/>
        <v>0</v>
      </c>
      <c r="AN32" s="62">
        <f t="shared" si="41"/>
        <v>18</v>
      </c>
      <c r="AO32" s="62">
        <f t="shared" si="31"/>
        <v>0</v>
      </c>
      <c r="AP32" s="62">
        <f t="shared" si="32"/>
        <v>0</v>
      </c>
      <c r="AQ32" s="63">
        <f t="shared" si="33"/>
        <v>0</v>
      </c>
      <c r="AR32" s="62">
        <f t="shared" si="34"/>
        <v>0</v>
      </c>
      <c r="AS32" s="62">
        <f t="shared" si="35"/>
        <v>0</v>
      </c>
      <c r="AT32" s="64"/>
      <c r="AU32" s="64"/>
      <c r="AV32" s="93"/>
      <c r="AW32" s="64"/>
      <c r="AX32" s="64"/>
      <c r="AY32" s="64"/>
      <c r="AZ32" s="80"/>
      <c r="BA32" s="66">
        <f t="shared" si="36"/>
        <v>18</v>
      </c>
      <c r="BB32" s="67"/>
      <c r="BC32" s="68"/>
      <c r="BD32" s="69">
        <f>VLOOKUP($B32,[1]CN!$B$9:$DK$221,114,0)</f>
        <v>1.5</v>
      </c>
      <c r="BE32" s="70">
        <f t="shared" si="37"/>
        <v>27</v>
      </c>
      <c r="BF32" s="71" t="s">
        <v>39</v>
      </c>
      <c r="BG32" s="72" t="s">
        <v>34</v>
      </c>
      <c r="BH32" s="73" t="str">
        <f>VLOOKUP(B32,'[2]Bang luong_06'!$B$9:$C$333,2,0)</f>
        <v>Nguyễn Thị Điệp</v>
      </c>
      <c r="BI32" s="74" t="s">
        <v>73</v>
      </c>
      <c r="BJ32" s="75" t="str">
        <f>VLOOKUP($B32,'[2]Bang luong_06'!$B$10:$C$333,2,0)</f>
        <v>Nguyễn Thị Điệp</v>
      </c>
      <c r="BK32" s="76" t="b">
        <f t="shared" si="38"/>
        <v>1</v>
      </c>
      <c r="BM32" s="77" t="e">
        <f>+VLOOKUP(B32,'[2]Thưởng Lễ 2-9'!B25:G315,6,0)</f>
        <v>#N/A</v>
      </c>
      <c r="BN32" s="75">
        <f t="shared" si="39"/>
        <v>-10</v>
      </c>
      <c r="BO32" s="76" t="str">
        <f>+VLOOKUP(B32,'[2]Bang luong_06'!B29:D347,3,0)</f>
        <v>Tạp vụ xưởng</v>
      </c>
      <c r="BP32" s="76" t="s">
        <v>40</v>
      </c>
      <c r="BQ32" s="76">
        <v>0</v>
      </c>
      <c r="BR32" s="76">
        <f t="shared" si="4"/>
        <v>18</v>
      </c>
    </row>
    <row r="33" spans="1:70" s="76" customFormat="1" ht="31.5" customHeight="1" outlineLevel="1" x14ac:dyDescent="0.25">
      <c r="A33" s="33">
        <f t="shared" si="24"/>
        <v>19</v>
      </c>
      <c r="B33" s="95" t="s">
        <v>83</v>
      </c>
      <c r="C33" s="55" t="s">
        <v>84</v>
      </c>
      <c r="D33" s="56">
        <v>45931</v>
      </c>
      <c r="E33" s="86" t="s">
        <v>38</v>
      </c>
      <c r="F33" s="86" t="s">
        <v>38</v>
      </c>
      <c r="G33" s="86" t="s">
        <v>38</v>
      </c>
      <c r="H33" s="86" t="s">
        <v>38</v>
      </c>
      <c r="I33" s="86" t="s">
        <v>38</v>
      </c>
      <c r="J33" s="86"/>
      <c r="K33" s="86" t="s">
        <v>38</v>
      </c>
      <c r="L33" s="86" t="s">
        <v>38</v>
      </c>
      <c r="M33" s="86" t="s">
        <v>38</v>
      </c>
      <c r="N33" s="86" t="s">
        <v>38</v>
      </c>
      <c r="O33" s="86" t="s">
        <v>38</v>
      </c>
      <c r="P33" s="86" t="s">
        <v>38</v>
      </c>
      <c r="Q33" s="86"/>
      <c r="R33" s="86" t="s">
        <v>38</v>
      </c>
      <c r="S33" s="86" t="s">
        <v>38</v>
      </c>
      <c r="T33" s="86" t="s">
        <v>38</v>
      </c>
      <c r="U33" s="86" t="s">
        <v>38</v>
      </c>
      <c r="V33" s="86" t="s">
        <v>38</v>
      </c>
      <c r="W33" s="86" t="s">
        <v>38</v>
      </c>
      <c r="X33" s="86"/>
      <c r="Y33" s="86" t="s">
        <v>38</v>
      </c>
      <c r="Z33" s="86"/>
      <c r="AA33" s="86"/>
      <c r="AB33" s="86"/>
      <c r="AC33" s="57"/>
      <c r="AD33" s="86"/>
      <c r="AE33" s="86"/>
      <c r="AF33" s="86"/>
      <c r="AG33" s="86"/>
      <c r="AH33" s="86"/>
      <c r="AI33" s="86"/>
      <c r="AJ33" s="58">
        <v>10110503</v>
      </c>
      <c r="AK33" s="59">
        <v>10</v>
      </c>
      <c r="AL33" s="60">
        <f t="shared" si="40"/>
        <v>18</v>
      </c>
      <c r="AM33" s="61">
        <f t="shared" si="30"/>
        <v>0</v>
      </c>
      <c r="AN33" s="62">
        <f>+AL33+AM33</f>
        <v>18</v>
      </c>
      <c r="AO33" s="62">
        <f t="shared" si="31"/>
        <v>0</v>
      </c>
      <c r="AP33" s="62">
        <f t="shared" si="32"/>
        <v>0</v>
      </c>
      <c r="AQ33" s="63">
        <f t="shared" si="33"/>
        <v>0</v>
      </c>
      <c r="AR33" s="62">
        <f t="shared" si="34"/>
        <v>0</v>
      </c>
      <c r="AS33" s="62">
        <f t="shared" si="35"/>
        <v>0</v>
      </c>
      <c r="AT33" s="64"/>
      <c r="AU33" s="64"/>
      <c r="AV33" s="93"/>
      <c r="AW33" s="64"/>
      <c r="AX33" s="64"/>
      <c r="AY33" s="64"/>
      <c r="AZ33" s="80"/>
      <c r="BA33" s="66">
        <f>+AN33+AR33+AS33+AO33</f>
        <v>18</v>
      </c>
      <c r="BB33" s="67"/>
      <c r="BC33" s="68"/>
      <c r="BD33" s="69">
        <f>VLOOKUP($B33,[1]CN!$B$9:$DK$221,114,0)</f>
        <v>3</v>
      </c>
      <c r="BE33" s="70">
        <f t="shared" si="37"/>
        <v>27</v>
      </c>
      <c r="BF33" s="71" t="s">
        <v>39</v>
      </c>
      <c r="BG33" s="72" t="s">
        <v>34</v>
      </c>
      <c r="BH33" s="73" t="str">
        <f>VLOOKUP(B33,'[2]Bang luong_06'!$B$9:$C$333,2,0)</f>
        <v>Phạm Thị Tặng</v>
      </c>
      <c r="BI33" s="74" t="s">
        <v>73</v>
      </c>
      <c r="BJ33" s="75" t="str">
        <f>VLOOKUP($B33,'[2]Bang luong_06'!$B$10:$C$333,2,0)</f>
        <v>Phạm Thị Tặng</v>
      </c>
      <c r="BK33" s="76" t="b">
        <f t="shared" si="38"/>
        <v>1</v>
      </c>
      <c r="BM33" s="77" t="e">
        <f>+VLOOKUP(B33,'[2]Thưởng Lễ 2-9'!B25:G315,6,0)</f>
        <v>#N/A</v>
      </c>
      <c r="BN33" s="75">
        <f t="shared" si="39"/>
        <v>-13</v>
      </c>
      <c r="BO33" s="76" t="str">
        <f>+VLOOKUP(B33,'[2]Bang luong_06'!B29:D347,3,0)</f>
        <v>Tạp vụ căntin</v>
      </c>
      <c r="BP33" s="76" t="s">
        <v>40</v>
      </c>
      <c r="BQ33" s="76">
        <v>0</v>
      </c>
      <c r="BR33" s="76">
        <f t="shared" si="4"/>
        <v>18</v>
      </c>
    </row>
    <row r="34" spans="1:70" s="76" customFormat="1" ht="31.5" customHeight="1" outlineLevel="1" x14ac:dyDescent="0.25">
      <c r="A34" s="33">
        <f t="shared" si="24"/>
        <v>20</v>
      </c>
      <c r="B34" s="95" t="s">
        <v>85</v>
      </c>
      <c r="C34" s="55" t="s">
        <v>86</v>
      </c>
      <c r="D34" s="56">
        <v>46003</v>
      </c>
      <c r="E34" s="86" t="s">
        <v>38</v>
      </c>
      <c r="F34" s="86" t="s">
        <v>38</v>
      </c>
      <c r="G34" s="86" t="s">
        <v>38</v>
      </c>
      <c r="H34" s="86" t="s">
        <v>38</v>
      </c>
      <c r="I34" s="86" t="s">
        <v>38</v>
      </c>
      <c r="J34" s="86"/>
      <c r="K34" s="86" t="s">
        <v>38</v>
      </c>
      <c r="L34" s="86" t="s">
        <v>38</v>
      </c>
      <c r="M34" s="86" t="s">
        <v>38</v>
      </c>
      <c r="N34" s="86" t="s">
        <v>38</v>
      </c>
      <c r="O34" s="86" t="s">
        <v>38</v>
      </c>
      <c r="P34" s="86" t="s">
        <v>38</v>
      </c>
      <c r="Q34" s="86"/>
      <c r="R34" s="86" t="s">
        <v>38</v>
      </c>
      <c r="S34" s="86" t="s">
        <v>38</v>
      </c>
      <c r="T34" s="86" t="s">
        <v>38</v>
      </c>
      <c r="U34" s="86" t="s">
        <v>38</v>
      </c>
      <c r="V34" s="86" t="s">
        <v>38</v>
      </c>
      <c r="W34" s="86" t="s">
        <v>38</v>
      </c>
      <c r="X34" s="86"/>
      <c r="Y34" s="86" t="s">
        <v>38</v>
      </c>
      <c r="Z34" s="86"/>
      <c r="AA34" s="86"/>
      <c r="AB34" s="86"/>
      <c r="AC34" s="57"/>
      <c r="AD34" s="86"/>
      <c r="AE34" s="86"/>
      <c r="AF34" s="86"/>
      <c r="AG34" s="86"/>
      <c r="AH34" s="86"/>
      <c r="AI34" s="86"/>
      <c r="AJ34" s="58">
        <v>10110503</v>
      </c>
      <c r="AK34" s="59">
        <v>10</v>
      </c>
      <c r="AL34" s="60">
        <f>COUNTIF(D34:AI34,"N")+COUNTIF(D34:AI34,"N1")*1/AK34+COUNTIF(D34:AI34,"N2")*2/AK34+COUNTIF(D34:AI34,"N3")*3/AK34+COUNTIF(D34:AI34,"N4")*4/AK34+COUNTIF(D34:AI34,"N5")*5/AK34+COUNTIF(D34:AI34,"N6")*6/AK34+COUNTIF(D34:AI34,"N7")*7/AK34+COUNTIF(D34:AI34,"N8")*8/AK34+COUNTIF(D34:AI34,"N9")*9/AK34+COUNTIF(D34:AI34,"N10")*10/AK34+COUNTIF(D34:AI34,"N11")*11/AK34+COUNTIF(D34:AI34,"N12")*12/AK34+COUNTIF(D34:AI34,"Ro1")*1/AK34+COUNTIF(D34:AI34,"Ro2")*2/AK34+COUNTIF(D34:AI34,"Ro3")*3/AK34+COUNTIF(D34:AI34,"Ro3.0")*3/AK34+COUNTIF(D34:AI34,"Ro4")*4/AK34+COUNTIF(D34:AI34,"Ro4.0")*4/AK34+COUNTIF(D34:AI34,"Ro4.5")*4.5/AK34+COUNTIF(D34:AI34,"Ro5")*5/AK34+COUNTIF(D34:AI34,"Ro5.0")*5/AK34+COUNTIF(D34:AI34,"Ro5.5")*5.5/AK34+COUNTIF(D34:AI34,"Ro6")*6/AK34+COUNTIF(D34:AI34,"Ro7")*7/AK34+COUNTIF(D34:AI34,"Ro8")*8/AK34+COUNTIF(D34:AI34,"Ro8.0")*8/AK34+COUNTIF(D34:AI34,"Ro8.3")*8.3/AK34+COUNTIF(D34:AI34,"Ro8.5")*8.5/AK34+COUNTIF(D34:AI34,"Ro9")*9/AK34+COUNTIF(D34:AI34,"Ro9.5")*9.5/AK34+COUNTIF(D34:AI34,"Ro10")*10/AK34+COUNTIF(D34:AI34,"Ro10.0")*10/AK34+COUNTIF(D34:AI34,"Ro10.5")*10.5/AK34+COUNTIF(D34:AI34,"Ro11")*11/AK34+COUNTIF(D34:AI34,"Ro11.0")*11/AK34+COUNTIF(D34:AI34,"Ro11.5")*11.5/AK34+COUNTIF(D34:AI34,"Bu1")+COUNTIF(D34:AI34,"Bu2")+COUNTIF(D34:AI34,"Bu3")+COUNTIF(D34:AI34,"Bu4")+COUNTIF(D34:AI34,"Bu5")+COUNTIF(D34:AI34,"Bu6")+COUNTIF(D34:AI34,"Bu7")+COUNTIF(D34:AI34,"Bu8")+COUNTIF(D34:AI34,"Bu9")+COUNTIF(D34:AI34,"Bu10")+COUNTIF(D34:AI34,"Bu11")+COUNTIF(D34:AI34,"Bu")+COUNTIF(D34:AI34,"P2")*0.5</f>
        <v>18</v>
      </c>
      <c r="AM34" s="61">
        <f>COUNTIF(E34:AI34,"D")+COUNTIF(E34:AI34,"D1")*1/AK34+COUNTIF(E34:AI34,"D2")*2/AK34+COUNTIF(E34:AI34,"D3")*3/AK34+COUNTIF(E34:AI34,"D4")*4/AK34+COUNTIF(E34:AI34,"D5")*5/AK34+COUNTIF(E34:AI34,"D6")*6/AK34+COUNTIF(E34:AI34,"D7")*7/AK34+COUNTIF(E34:AI34,"D8")*8/AK34+COUNTIF(E34:AI34,"D9")*9/AK34+COUNTIF(E34:AI34,"D10")*10/AK34+COUNTIF(E34:AI34,"D11")*11/AK34+COUNTIF(E34:AI34,"D12")*12/AK34</f>
        <v>0</v>
      </c>
      <c r="AN34" s="62">
        <f>+AL34+AM34</f>
        <v>18</v>
      </c>
      <c r="AO34" s="62">
        <f t="shared" si="31"/>
        <v>0</v>
      </c>
      <c r="AP34" s="62">
        <f t="shared" si="32"/>
        <v>0</v>
      </c>
      <c r="AQ34" s="63">
        <f t="shared" si="33"/>
        <v>0</v>
      </c>
      <c r="AR34" s="62">
        <f t="shared" si="34"/>
        <v>0</v>
      </c>
      <c r="AS34" s="62">
        <f t="shared" si="35"/>
        <v>0</v>
      </c>
      <c r="AT34" s="64"/>
      <c r="AU34" s="64"/>
      <c r="AV34" s="93"/>
      <c r="AW34" s="64"/>
      <c r="AX34" s="64"/>
      <c r="AY34" s="64"/>
      <c r="AZ34" s="80"/>
      <c r="BA34" s="66">
        <f>+AN34+AR34+AS34+AO34</f>
        <v>18</v>
      </c>
      <c r="BB34" s="67"/>
      <c r="BC34" s="68"/>
      <c r="BD34" s="69">
        <f>VLOOKUP($B34,[1]CN!$B$9:$DK$221,114,0)</f>
        <v>0.5</v>
      </c>
      <c r="BE34" s="70">
        <f t="shared" si="37"/>
        <v>27</v>
      </c>
      <c r="BF34" s="71" t="s">
        <v>39</v>
      </c>
      <c r="BG34" s="72" t="s">
        <v>34</v>
      </c>
      <c r="BH34" s="73" t="str">
        <f>VLOOKUP(B34,'[2]Bang luong_06'!$B$9:$C$333,2,0)</f>
        <v>Ngô Thị Thu Vân</v>
      </c>
      <c r="BI34" s="74" t="s">
        <v>73</v>
      </c>
      <c r="BJ34" s="75" t="str">
        <f>VLOOKUP($B34,'[2]Bang luong_06'!$B$10:$C$333,2,0)</f>
        <v>Ngô Thị Thu Vân</v>
      </c>
      <c r="BK34" s="76" t="b">
        <f t="shared" si="38"/>
        <v>1</v>
      </c>
      <c r="BM34" s="77" t="e">
        <f>+VLOOKUP(B34,'[2]Thưởng Lễ 2-9'!B25:G315,6,0)</f>
        <v>#N/A</v>
      </c>
      <c r="BN34" s="75">
        <f t="shared" si="39"/>
        <v>-16</v>
      </c>
      <c r="BO34" s="76" t="str">
        <f>+VLOOKUP(B34,'[2]Bang luong_06'!B29:D347,3,0)</f>
        <v>Tạp vụ xưởng</v>
      </c>
      <c r="BP34" s="76" t="s">
        <v>40</v>
      </c>
      <c r="BQ34" s="76">
        <v>0</v>
      </c>
      <c r="BR34" s="76">
        <f t="shared" si="4"/>
        <v>18</v>
      </c>
    </row>
    <row r="35" spans="1:70" s="76" customFormat="1" ht="31.5" customHeight="1" outlineLevel="1" x14ac:dyDescent="0.25">
      <c r="A35" s="33">
        <f t="shared" si="24"/>
        <v>21</v>
      </c>
      <c r="B35" s="95" t="s">
        <v>87</v>
      </c>
      <c r="C35" s="55" t="s">
        <v>88</v>
      </c>
      <c r="D35" s="56">
        <v>46041</v>
      </c>
      <c r="E35" s="86" t="s">
        <v>38</v>
      </c>
      <c r="F35" s="86" t="s">
        <v>38</v>
      </c>
      <c r="G35" s="86" t="s">
        <v>38</v>
      </c>
      <c r="H35" s="86" t="s">
        <v>38</v>
      </c>
      <c r="I35" s="86" t="s">
        <v>38</v>
      </c>
      <c r="J35" s="86"/>
      <c r="K35" s="86" t="s">
        <v>38</v>
      </c>
      <c r="L35" s="86" t="s">
        <v>38</v>
      </c>
      <c r="M35" s="86" t="s">
        <v>38</v>
      </c>
      <c r="N35" s="86" t="s">
        <v>38</v>
      </c>
      <c r="O35" s="86" t="s">
        <v>38</v>
      </c>
      <c r="P35" s="86" t="s">
        <v>38</v>
      </c>
      <c r="Q35" s="86"/>
      <c r="R35" s="86" t="s">
        <v>38</v>
      </c>
      <c r="S35" s="86" t="s">
        <v>38</v>
      </c>
      <c r="T35" s="86" t="s">
        <v>38</v>
      </c>
      <c r="U35" s="86" t="s">
        <v>38</v>
      </c>
      <c r="V35" s="86" t="s">
        <v>38</v>
      </c>
      <c r="W35" s="86" t="s">
        <v>38</v>
      </c>
      <c r="X35" s="86"/>
      <c r="Y35" s="86" t="s">
        <v>38</v>
      </c>
      <c r="Z35" s="86"/>
      <c r="AA35" s="86"/>
      <c r="AB35" s="86"/>
      <c r="AC35" s="57"/>
      <c r="AD35" s="86"/>
      <c r="AE35" s="86"/>
      <c r="AF35" s="86"/>
      <c r="AG35" s="86"/>
      <c r="AH35" s="86"/>
      <c r="AI35" s="86"/>
      <c r="AJ35" s="58">
        <v>10110503</v>
      </c>
      <c r="AK35" s="59">
        <v>10</v>
      </c>
      <c r="AL35" s="60">
        <f>COUNTIF(D35:AI35,"N")+COUNTIF(D35:AI35,"N1")*1/AK35+COUNTIF(D35:AI35,"N2")*2/AK35+COUNTIF(D35:AI35,"N3")*3/AK35+COUNTIF(D35:AI35,"N4")*4/AK35+COUNTIF(D35:AI35,"N5")*5/AK35+COUNTIF(D35:AI35,"N6")*6/AK35+COUNTIF(D35:AI35,"N7")*7/AK35+COUNTIF(D35:AI35,"N8")*8/AK35+COUNTIF(D35:AI35,"N9")*9/AK35+COUNTIF(D35:AI35,"N10")*10/AK35+COUNTIF(D35:AI35,"N11")*11/AK35+COUNTIF(D35:AI35,"N12")*12/AK35+COUNTIF(D35:AI35,"Ro1")*1/AK35+COUNTIF(D35:AI35,"Ro2")*2/AK35+COUNTIF(D35:AI35,"Ro3")*3/AK35+COUNTIF(D35:AI35,"Ro3.0")*3/AK35+COUNTIF(D35:AI35,"Ro4")*4/AK35+COUNTIF(D35:AI35,"Ro4.0")*4/AK35+COUNTIF(D35:AI35,"Ro4.5")*4.5/AK35+COUNTIF(D35:AI35,"Ro5")*5/AK35+COUNTIF(D35:AI35,"Ro5.0")*5/AK35+COUNTIF(D35:AI35,"Ro5.5")*5.5/AK35+COUNTIF(D35:AI35,"Ro6")*6/AK35+COUNTIF(D35:AI35,"Ro7")*7/AK35+COUNTIF(D35:AI35,"Ro8")*8/AK35+COUNTIF(D35:AI35,"Ro8.0")*8/AK35+COUNTIF(D35:AI35,"Ro8.3")*8.3/AK35+COUNTIF(D35:AI35,"Ro8.5")*8.5/AK35+COUNTIF(D35:AI35,"Ro9")*9/AK35+COUNTIF(D35:AI35,"Ro9.5")*9.5/AK35+COUNTIF(D35:AI35,"Ro10")*10/AK35+COUNTIF(D35:AI35,"Ro10.0")*10/AK35+COUNTIF(D35:AI35,"Ro10.5")*10.5/AK35+COUNTIF(D35:AI35,"Ro11")*11/AK35+COUNTIF(D35:AI35,"Ro11.0")*11/AK35+COUNTIF(D35:AI35,"Ro11.5")*11.5/AK35+COUNTIF(D35:AI35,"Bu1")+COUNTIF(D35:AI35,"Bu2")+COUNTIF(D35:AI35,"Bu3")+COUNTIF(D35:AI35,"Bu4")+COUNTIF(D35:AI35,"Bu5")+COUNTIF(D35:AI35,"Bu6")+COUNTIF(D35:AI35,"Bu7")+COUNTIF(D35:AI35,"Bu8")+COUNTIF(D35:AI35,"Bu9")+COUNTIF(D35:AI35,"Bu10")+COUNTIF(D35:AI35,"Bu11")+COUNTIF(D35:AI35,"Bu")+COUNTIF(D35:AI35,"P2")*0.5</f>
        <v>18</v>
      </c>
      <c r="AM35" s="61">
        <f>COUNTIF(E35:AI35,"D")+COUNTIF(E35:AI35,"D1")*1/AK35+COUNTIF(E35:AI35,"D2")*2/AK35+COUNTIF(E35:AI35,"D3")*3/AK35+COUNTIF(E35:AI35,"D4")*4/AK35+COUNTIF(E35:AI35,"D5")*5/AK35+COUNTIF(E35:AI35,"D6")*6/AK35+COUNTIF(E35:AI35,"D7")*7/AK35+COUNTIF(E35:AI35,"D8")*8/AK35+COUNTIF(E35:AI35,"D9")*9/AK35+COUNTIF(E35:AI35,"D10")*10/AK35+COUNTIF(E35:AI35,"D11")*11/AK35+COUNTIF(E35:AI35,"D12")*12/AK35</f>
        <v>0</v>
      </c>
      <c r="AN35" s="62">
        <f>+AL35+AM35</f>
        <v>18</v>
      </c>
      <c r="AO35" s="62">
        <f t="shared" si="31"/>
        <v>0</v>
      </c>
      <c r="AP35" s="62">
        <f t="shared" si="32"/>
        <v>0</v>
      </c>
      <c r="AQ35" s="63">
        <f t="shared" si="33"/>
        <v>0</v>
      </c>
      <c r="AR35" s="62">
        <f t="shared" si="34"/>
        <v>0</v>
      </c>
      <c r="AS35" s="62">
        <f t="shared" si="35"/>
        <v>0</v>
      </c>
      <c r="AT35" s="64"/>
      <c r="AU35" s="64"/>
      <c r="AV35" s="93"/>
      <c r="AW35" s="64"/>
      <c r="AX35" s="64"/>
      <c r="AY35" s="64"/>
      <c r="AZ35" s="80"/>
      <c r="BA35" s="66">
        <f>+AN35+AR35+AS35+AO35</f>
        <v>18</v>
      </c>
      <c r="BB35" s="67"/>
      <c r="BC35" s="68"/>
      <c r="BD35" s="69">
        <f>VLOOKUP($B35,[1]CN!$B$9:$DK$221,114,0)</f>
        <v>4</v>
      </c>
      <c r="BE35" s="70">
        <f t="shared" si="37"/>
        <v>27</v>
      </c>
      <c r="BF35" s="71" t="s">
        <v>39</v>
      </c>
      <c r="BG35" s="72" t="s">
        <v>34</v>
      </c>
      <c r="BH35" s="73" t="str">
        <f>VLOOKUP(B35,'[2]Bang luong_06'!$B$9:$C$333,2,0)</f>
        <v>Nguyễn Đức Trọng</v>
      </c>
      <c r="BI35" s="74" t="s">
        <v>73</v>
      </c>
      <c r="BJ35" s="75" t="str">
        <f>VLOOKUP($B35,'[2]Bang luong_06'!$B$10:$C$333,2,0)</f>
        <v>Nguyễn Đức Trọng</v>
      </c>
      <c r="BK35" s="76" t="b">
        <f t="shared" si="38"/>
        <v>1</v>
      </c>
      <c r="BM35" s="77" t="e">
        <f>+VLOOKUP(B35,'[2]Thưởng Lễ 2-9'!B25:G315,6,0)</f>
        <v>#N/A</v>
      </c>
      <c r="BN35" s="75">
        <f t="shared" si="39"/>
        <v>-17</v>
      </c>
      <c r="BO35" s="76" t="str">
        <f>+VLOOKUP(B35,'[2]Bang luong_06'!B29:D347,3,0)</f>
        <v>Tạp vụ</v>
      </c>
      <c r="BP35" s="76" t="s">
        <v>40</v>
      </c>
      <c r="BQ35" s="76">
        <v>0</v>
      </c>
      <c r="BR35" s="76">
        <f t="shared" si="4"/>
        <v>18</v>
      </c>
    </row>
    <row r="36" spans="1:70" s="76" customFormat="1" ht="31.5" customHeight="1" outlineLevel="1" x14ac:dyDescent="0.25">
      <c r="A36" s="33">
        <f t="shared" si="24"/>
        <v>22</v>
      </c>
      <c r="B36" s="95" t="s">
        <v>89</v>
      </c>
      <c r="C36" s="55" t="s">
        <v>90</v>
      </c>
      <c r="D36" s="56">
        <v>46097</v>
      </c>
      <c r="E36" s="86" t="s">
        <v>38</v>
      </c>
      <c r="F36" s="86" t="s">
        <v>38</v>
      </c>
      <c r="G36" s="86" t="s">
        <v>38</v>
      </c>
      <c r="H36" s="86" t="s">
        <v>38</v>
      </c>
      <c r="I36" s="86" t="s">
        <v>38</v>
      </c>
      <c r="J36" s="86"/>
      <c r="K36" s="86" t="s">
        <v>38</v>
      </c>
      <c r="L36" s="86" t="s">
        <v>38</v>
      </c>
      <c r="M36" s="86" t="s">
        <v>38</v>
      </c>
      <c r="N36" s="86" t="s">
        <v>38</v>
      </c>
      <c r="O36" s="86" t="s">
        <v>38</v>
      </c>
      <c r="P36" s="86" t="s">
        <v>38</v>
      </c>
      <c r="Q36" s="86"/>
      <c r="R36" s="86" t="s">
        <v>38</v>
      </c>
      <c r="S36" s="86" t="s">
        <v>38</v>
      </c>
      <c r="T36" s="86" t="s">
        <v>38</v>
      </c>
      <c r="U36" s="86" t="s">
        <v>38</v>
      </c>
      <c r="V36" s="86" t="s">
        <v>38</v>
      </c>
      <c r="W36" s="86" t="s">
        <v>38</v>
      </c>
      <c r="X36" s="86"/>
      <c r="Y36" s="86" t="s">
        <v>38</v>
      </c>
      <c r="Z36" s="57"/>
      <c r="AA36" s="57"/>
      <c r="AB36" s="57"/>
      <c r="AC36" s="57"/>
      <c r="AD36" s="57"/>
      <c r="AE36" s="57"/>
      <c r="AF36" s="57"/>
      <c r="AG36" s="86"/>
      <c r="AH36" s="86"/>
      <c r="AI36" s="86"/>
      <c r="AJ36" s="58">
        <v>10110503</v>
      </c>
      <c r="AK36" s="59">
        <v>10</v>
      </c>
      <c r="AL36" s="60">
        <f t="shared" si="40"/>
        <v>18</v>
      </c>
      <c r="AM36" s="61">
        <f t="shared" si="30"/>
        <v>0</v>
      </c>
      <c r="AN36" s="62">
        <f t="shared" si="41"/>
        <v>18</v>
      </c>
      <c r="AO36" s="62">
        <f t="shared" si="31"/>
        <v>0</v>
      </c>
      <c r="AP36" s="62">
        <f t="shared" si="32"/>
        <v>0</v>
      </c>
      <c r="AQ36" s="63">
        <f t="shared" si="33"/>
        <v>0</v>
      </c>
      <c r="AR36" s="62">
        <f t="shared" si="34"/>
        <v>0</v>
      </c>
      <c r="AS36" s="62">
        <f t="shared" si="35"/>
        <v>0</v>
      </c>
      <c r="AT36" s="64"/>
      <c r="AU36" s="64"/>
      <c r="AV36" s="93"/>
      <c r="AW36" s="64"/>
      <c r="AX36" s="64"/>
      <c r="AY36" s="64"/>
      <c r="AZ36" s="80"/>
      <c r="BA36" s="66">
        <f t="shared" si="36"/>
        <v>18</v>
      </c>
      <c r="BB36" s="67"/>
      <c r="BC36" s="68"/>
      <c r="BD36" s="69">
        <f>VLOOKUP($B36,[1]CN!$B$9:$DK$221,114,0)</f>
        <v>0</v>
      </c>
      <c r="BE36" s="70">
        <f t="shared" si="37"/>
        <v>27</v>
      </c>
      <c r="BF36" s="71" t="s">
        <v>39</v>
      </c>
      <c r="BG36" s="72" t="s">
        <v>34</v>
      </c>
      <c r="BH36" s="73" t="str">
        <f>VLOOKUP(B36,'[2]Bang luong_06'!$B$9:$C$333,2,0)</f>
        <v>Nguyễn Thị Bích Loan</v>
      </c>
      <c r="BI36" s="74" t="s">
        <v>73</v>
      </c>
      <c r="BJ36" s="75" t="str">
        <f>VLOOKUP($B36,'[2]Bang luong_06'!$B$10:$C$333,2,0)</f>
        <v>Nguyễn Thị Bích Loan</v>
      </c>
      <c r="BK36" s="76" t="b">
        <f t="shared" si="38"/>
        <v>1</v>
      </c>
      <c r="BM36" s="77" t="e">
        <f>+VLOOKUP(B36,'[2]Thưởng Lễ 2-9'!B26:G316,6,0)</f>
        <v>#N/A</v>
      </c>
      <c r="BN36" s="75">
        <f t="shared" si="39"/>
        <v>-19</v>
      </c>
      <c r="BO36" s="76" t="str">
        <f>+VLOOKUP(B36,'[2]Bang luong_06'!B30:D348,3,0)</f>
        <v>Tạp vụ văn phòng</v>
      </c>
      <c r="BP36" s="76" t="s">
        <v>40</v>
      </c>
      <c r="BQ36" s="76">
        <v>0</v>
      </c>
      <c r="BR36" s="76">
        <f t="shared" si="4"/>
        <v>18</v>
      </c>
    </row>
    <row r="37" spans="1:70" s="84" customFormat="1" ht="31.5" customHeight="1" x14ac:dyDescent="0.25">
      <c r="A37" s="33" t="str">
        <f t="shared" si="24"/>
        <v/>
      </c>
      <c r="B37" s="46"/>
      <c r="C37" s="46" t="s">
        <v>91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81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96" t="s">
        <v>92</v>
      </c>
      <c r="BG37" s="92" t="s">
        <v>34</v>
      </c>
      <c r="BH37" s="73"/>
      <c r="BI37" s="73"/>
      <c r="BJ37" s="75"/>
      <c r="BK37" s="76"/>
      <c r="BM37" s="77"/>
      <c r="BN37" s="75"/>
      <c r="BO37" s="76"/>
      <c r="BP37" s="76"/>
      <c r="BQ37" s="76"/>
      <c r="BR37" s="76" t="e">
        <f t="shared" si="4"/>
        <v>#DIV/0!</v>
      </c>
    </row>
    <row r="38" spans="1:70" s="76" customFormat="1" ht="31.5" customHeight="1" x14ac:dyDescent="0.25">
      <c r="A38" s="33">
        <f t="shared" si="24"/>
        <v>23</v>
      </c>
      <c r="B38" s="33" t="s">
        <v>93</v>
      </c>
      <c r="C38" s="55" t="s">
        <v>94</v>
      </c>
      <c r="D38" s="56">
        <v>41048</v>
      </c>
      <c r="E38" s="57" t="s">
        <v>37</v>
      </c>
      <c r="F38" s="86" t="s">
        <v>37</v>
      </c>
      <c r="G38" s="97" t="s">
        <v>37</v>
      </c>
      <c r="H38" s="86" t="s">
        <v>37</v>
      </c>
      <c r="I38" s="97" t="s">
        <v>37</v>
      </c>
      <c r="J38" s="86"/>
      <c r="K38" s="97" t="s">
        <v>38</v>
      </c>
      <c r="L38" s="97" t="s">
        <v>38</v>
      </c>
      <c r="M38" s="97" t="s">
        <v>38</v>
      </c>
      <c r="N38" s="97" t="s">
        <v>38</v>
      </c>
      <c r="O38" s="97" t="s">
        <v>38</v>
      </c>
      <c r="P38" s="97" t="s">
        <v>38</v>
      </c>
      <c r="Q38" s="97" t="s">
        <v>506</v>
      </c>
      <c r="R38" s="97" t="s">
        <v>38</v>
      </c>
      <c r="S38" s="97" t="s">
        <v>38</v>
      </c>
      <c r="T38" s="97" t="s">
        <v>38</v>
      </c>
      <c r="U38" s="97" t="s">
        <v>38</v>
      </c>
      <c r="V38" s="86" t="s">
        <v>38</v>
      </c>
      <c r="W38" s="86" t="s">
        <v>38</v>
      </c>
      <c r="X38" s="86" t="s">
        <v>506</v>
      </c>
      <c r="Y38" s="8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8">
        <v>10110504</v>
      </c>
      <c r="AK38" s="59">
        <v>12</v>
      </c>
      <c r="AL38" s="60">
        <f>COUNTIF(D38:AI38,"N")+COUNTIF(D38:AI38,"N1")*1/AK38+COUNTIF(D38:AI38,"N2")*2/AK38+COUNTIF(D38:AI38,"N3")*3/AK38+COUNTIF(D38:AI38,"N4")*4/AK38+COUNTIF(D38:AI38,"N5")*5/AK38+COUNTIF(D38:AI38,"N6")*6/AK38+COUNTIF(D38:AI38,"N7")*7/AK38+COUNTIF(D38:AI38,"N8")*8/AK38+COUNTIF(D38:AI38,"N9")*9/AK38+COUNTIF(D38:AI38,"N10")*10/AK38+COUNTIF(D38:AI38,"N11")*11/AK38+COUNTIF(D38:AI38,"N12")*12/AK38+COUNTIF(D38:AI38,"Ro1")*1/AK38+COUNTIF(D38:AI38,"Ro2")*2/AK38+COUNTIF(D38:AI38,"Ro3")*3/AK38+COUNTIF(D38:AI38,"Ro3.0")*3/AK38+COUNTIF(D38:AI38,"Ro4")*4/AK38+COUNTIF(D38:AI38,"Ro4.0")*4/AK38+COUNTIF(D38:AI38,"Ro4.5")*4.5/AK38+COUNTIF(D38:AI38,"Ro5")*5/AK38+COUNTIF(D38:AI38,"Ro5.0")*5/AK38+COUNTIF(D38:AI38,"Ro5.5")*5.5/AK38+COUNTIF(D38:AI38,"Ro6")*6/AK38+COUNTIF(D38:AI38,"Ro7")*7/AK38+COUNTIF(D38:AI38,"Ro8")*8/AK38+COUNTIF(D38:AI38,"Ro8.0")*8/AK38+COUNTIF(D38:AI38,"Ro8.3")*8.3/AK38+COUNTIF(D38:AI38,"Ro8.5")*8.5/AK38+COUNTIF(D38:AI38,"Ro9")*9/AK38+COUNTIF(D38:AI38,"Ro9.5")*9.5/AK38+COUNTIF(D38:AI38,"Ro10")*10/AK38+COUNTIF(D38:AI38,"Ro10.0")*10/AK38+COUNTIF(D38:AI38,"Ro10.5")*10.5/AK38+COUNTIF(D38:AI38,"Ro11")*11/AK38+COUNTIF(D38:AI38,"Ro11.0")*11/AK38+COUNTIF(D38:AI38,"Ro11.5")*11.5/AK38+COUNTIF(D38:AI38,"Bu1")+COUNTIF(D38:AI38,"Bu2")+COUNTIF(D38:AI38,"Bu3")+COUNTIF(D38:AI38,"Bu4")+COUNTIF(D38:AI38,"Bu5")+COUNTIF(D38:AI38,"Bu6")+COUNTIF(D38:AI38,"Bu7")+COUNTIF(D38:AI38,"Bu8")+COUNTIF(D38:AI38,"Bu9")+COUNTIF(D38:AI38,"Bu10")+COUNTIF(D38:AI38,"Bu11")+COUNTIF(D38:AI38,"Bu")+COUNTIF(D38:AI38,"P2")*0.5</f>
        <v>12</v>
      </c>
      <c r="AM38" s="61">
        <f>COUNTIF(E38:AI38,"D")+COUNTIF(E38:AI38,"D1")*1/AK38+COUNTIF(E38:AI38,"D2")*2/AK38+COUNTIF(E38:AI38,"D3")*3/AK38+COUNTIF(E38:AI38,"D4")*4/AK38+COUNTIF(E38:AI38,"D5")*5/AK38+COUNTIF(E38:AI38,"D6")*6/AK38+COUNTIF(E38:AI38,"D7")*7/AK38+COUNTIF(E38:AI38,"D8")*8/AK38+COUNTIF(E38:AI38,"D9")*9/AK38+COUNTIF(E38:AI38,"D10")*10/AK38+COUNTIF(E38:AI38,"D11")*11/AK38+COUNTIF(E38:AI38,"D12")*12/AK38</f>
        <v>5</v>
      </c>
      <c r="AN38" s="62">
        <f>+AL38+AM38</f>
        <v>17</v>
      </c>
      <c r="AO38" s="62">
        <f>COUNTIF(E38:AI38,"p")+COUNTIF(E38:AI38,"p1")/2+COUNTIF(E38:AI38,"p2")/2</f>
        <v>0</v>
      </c>
      <c r="AP38" s="62">
        <f>COUNTIF(E38:AI38,"K")</f>
        <v>0</v>
      </c>
      <c r="AQ38" s="63">
        <f>COUNTIF(E38:AI38,"Ro")+COUNTIF(E38:AI38,"Ro1")*11/AK38+COUNTIF(E38:AI38,"Ro2")*10/AK38+COUNTIF(E38:AI38,"Ro3")*9/AK38+COUNTIF(E38:AI38,"Ro3.0")*9/AK38+COUNTIF(E38:AI38,"Ro4")*8/AK38+COUNTIF(E38:AI38,"Ro4.0")*8/AK38+COUNTIF(E38:AI38,"Ro4.5")*7.5/AK38+COUNTIF(E38:AI38,"Ro5")*7/AK38+COUNTIF(E38:AI38,"Ro5.0")*7/AK38+COUNTIF(E38:AI38,"Ro5.5")*6.5/AK38+COUNTIF(E38:AI38,"Ro6")*6/AK38+COUNTIF(E38:AI38,"Ro7")*5/AK38+COUNTIF(E38:AI38,"Ro8")*4/AK38+COUNTIF(E38:AI38,"Ro8.0")*4/AK38+COUNTIF(E38:AI38,"Ro8.3")*3.7/AK38+COUNTIF(E38:AI38,"Ro8.5")*3.5/AK38+COUNTIF(E38:AI38,"Ro9")*3/AK38+COUNTIF(E38:AI38,"Ro10")*2/AK38+COUNTIF(E38:AI38,"Ro10.0")*2/AK38+COUNTIF(E38:AI38,"Ro10.5")*1.5/AK38+COUNTIF(E38:AI38,"Ro11.0")*1/AK38+COUNTIF(E38:AI38,"Ro11")*1/AK38+COUNTIF(E38:AI38,"Ro11.5")*0.5/AK38+COUNTIF(E38:AI38,"N1")*11/AK38+COUNTIF(E38:AI38,"N2")*10/AK38+COUNTIF(E38:AI38,"N3")*9/AK38+COUNTIF(E38:AI38,"N4")*8/AK38+COUNTIF(E38:AI38,"N5")*7/AK38+COUNTIF(E38:AI38,"N6")*6/AK38+COUNTIF(E38:AI38,"N7")*5/AK38+COUNTIF(E38:AI38,"N8")*4/AK38+COUNTIF(E38:AI38,"N9")*3/AK38+COUNTIF(E38:AI38,"N10")*2/AK38+COUNTIF(E38:AI38,"N11")*1/AK38+COUNTIF(E38:AI38,"D1")*11/AK38+COUNTIF(E38:AI38,"D2")*10/AK38+COUNTIF(E38:AI38,"D3")*9/AK38+COUNTIF(E38:AI38,"D4")*8/AK38+COUNTIF(E38:AI38,"D5")*7/AK38+COUNTIF(E38:AI38,"D6")*6/AK38+COUNTIF(E38:AI38,"D7")*5/AK38+COUNTIF(E38:AI38,"D8")*4/AK38+COUNTIF(E38:AI38,"D9")*3/AK38+COUNTIF(E38:AI38,"D10")*2/AK38+COUNTIF(E38:AI38,"D11")*1/AK38+COUNTIF(E38:AI38,"P1")*0.5</f>
        <v>0</v>
      </c>
      <c r="AR38" s="62">
        <f>COUNTIF(E38:AI38,"R")</f>
        <v>0</v>
      </c>
      <c r="AS38" s="62">
        <f>COUNTIF(E38:AI38,"L")</f>
        <v>0</v>
      </c>
      <c r="AT38" s="64"/>
      <c r="AU38" s="64"/>
      <c r="AV38" s="65">
        <f t="shared" ref="AV38:AV42" si="42">COUNTIF(E38:AI38,"12N")*12</f>
        <v>24</v>
      </c>
      <c r="AW38" s="65">
        <f t="shared" ref="AW38:AW42" si="43">COUNTIF(F38:AI38,"12D")*12</f>
        <v>0</v>
      </c>
      <c r="AX38" s="64"/>
      <c r="AY38" s="64"/>
      <c r="AZ38" s="80"/>
      <c r="BA38" s="66">
        <f>+AN38+AR38+AS38+AO38</f>
        <v>17</v>
      </c>
      <c r="BB38" s="67"/>
      <c r="BC38" s="68"/>
      <c r="BD38" s="69">
        <f>VLOOKUP($B38,[1]CN!$B$9:$DK$221,114,0)</f>
        <v>5</v>
      </c>
      <c r="BE38" s="70">
        <f t="shared" ref="BE38:BE42" si="44">+$AI$8-$E$8+1-INT(($AI$8-$E$8-WEEKDAY($AI$8)+8)/7)</f>
        <v>27</v>
      </c>
      <c r="BF38" s="71" t="s">
        <v>92</v>
      </c>
      <c r="BG38" s="72">
        <v>0</v>
      </c>
      <c r="BH38" s="73" t="str">
        <f>VLOOKUP(B38,'[2]Bang luong_06'!$B$9:$C$333,2,0)</f>
        <v>Trần Che</v>
      </c>
      <c r="BI38" s="74" t="s">
        <v>93</v>
      </c>
      <c r="BJ38" s="75" t="str">
        <f>VLOOKUP($B38,'[2]Bang luong_06'!$B$10:$C$333,2,0)</f>
        <v>Trần Che</v>
      </c>
      <c r="BK38" s="76" t="b">
        <f>BJ38=C38</f>
        <v>1</v>
      </c>
      <c r="BM38" s="77">
        <f>+VLOOKUP(B38,'[2]Thưởng Lễ 2-9'!B26:G316,6,0)</f>
        <v>0</v>
      </c>
      <c r="BN38" s="75">
        <f>ROUND(($BN$12-D38)/30,0)</f>
        <v>150</v>
      </c>
      <c r="BO38" s="76" t="str">
        <f>+VLOOKUP(B38,'[2]Bang luong_06'!B33:D348,3,0)</f>
        <v>Tổ trưởng</v>
      </c>
      <c r="BP38" s="76" t="s">
        <v>40</v>
      </c>
      <c r="BQ38" s="76">
        <v>5</v>
      </c>
      <c r="BR38" s="76">
        <f t="shared" si="4"/>
        <v>12</v>
      </c>
    </row>
    <row r="39" spans="1:70" s="76" customFormat="1" ht="31.5" customHeight="1" x14ac:dyDescent="0.25">
      <c r="A39" s="33">
        <f t="shared" si="24"/>
        <v>24</v>
      </c>
      <c r="B39" s="78" t="s">
        <v>95</v>
      </c>
      <c r="C39" s="55" t="s">
        <v>96</v>
      </c>
      <c r="D39" s="56">
        <v>43928</v>
      </c>
      <c r="E39" s="57" t="s">
        <v>37</v>
      </c>
      <c r="F39" s="86" t="s">
        <v>37</v>
      </c>
      <c r="G39" s="97" t="s">
        <v>37</v>
      </c>
      <c r="H39" s="86" t="s">
        <v>37</v>
      </c>
      <c r="I39" s="97" t="s">
        <v>107</v>
      </c>
      <c r="J39" s="86"/>
      <c r="K39" s="97" t="s">
        <v>38</v>
      </c>
      <c r="L39" s="97" t="s">
        <v>38</v>
      </c>
      <c r="M39" s="98" t="s">
        <v>38</v>
      </c>
      <c r="N39" s="97" t="s">
        <v>38</v>
      </c>
      <c r="O39" s="97" t="s">
        <v>38</v>
      </c>
      <c r="P39" s="97" t="s">
        <v>38</v>
      </c>
      <c r="Q39" s="97" t="s">
        <v>506</v>
      </c>
      <c r="R39" s="97" t="s">
        <v>38</v>
      </c>
      <c r="S39" s="97" t="s">
        <v>38</v>
      </c>
      <c r="T39" s="97" t="s">
        <v>38</v>
      </c>
      <c r="U39" s="97" t="s">
        <v>38</v>
      </c>
      <c r="V39" s="97" t="s">
        <v>38</v>
      </c>
      <c r="W39" s="97" t="s">
        <v>38</v>
      </c>
      <c r="X39" s="97" t="s">
        <v>506</v>
      </c>
      <c r="Y39" s="9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8">
        <v>10110504</v>
      </c>
      <c r="AK39" s="59">
        <v>12</v>
      </c>
      <c r="AL39" s="60">
        <f>COUNTIF(D39:AI39,"N")+COUNTIF(D39:AI39,"N1")*1/AK39+COUNTIF(D39:AI39,"N2")*2/AK39+COUNTIF(D39:AI39,"N3")*3/AK39+COUNTIF(D39:AI39,"N4")*4/AK39+COUNTIF(D39:AI39,"N5")*5/AK39+COUNTIF(D39:AI39,"N6")*6/AK39+COUNTIF(D39:AI39,"N7")*7/AK39+COUNTIF(D39:AI39,"N8")*8/AK39+COUNTIF(D39:AI39,"N9")*9/AK39+COUNTIF(D39:AI39,"N10")*10/AK39+COUNTIF(D39:AI39,"N11")*11/AK39+COUNTIF(D39:AI39,"N12")*12/AK39+COUNTIF(D39:AI39,"Ro1")*1/AK39+COUNTIF(D39:AI39,"Ro2")*2/AK39+COUNTIF(D39:AI39,"Ro3")*3/AK39+COUNTIF(D39:AI39,"Ro3.0")*3/AK39+COUNTIF(D39:AI39,"Ro4")*4/AK39+COUNTIF(D39:AI39,"Ro4.0")*4/AK39+COUNTIF(D39:AI39,"Ro4.5")*4.5/AK39+COUNTIF(D39:AI39,"Ro5")*5/AK39+COUNTIF(D39:AI39,"Ro5.0")*5/AK39+COUNTIF(D39:AI39,"Ro5.5")*5.5/AK39+COUNTIF(D39:AI39,"Ro6")*6/AK39+COUNTIF(D39:AI39,"Ro7")*7/AK39+COUNTIF(D39:AI39,"Ro8")*8/AK39+COUNTIF(D39:AI39,"Ro8.0")*8/AK39+COUNTIF(D39:AI39,"Ro8.3")*8.3/AK39+COUNTIF(D39:AI39,"Ro8.5")*8.5/AK39+COUNTIF(D39:AI39,"Ro9")*9/AK39+COUNTIF(D39:AI39,"Ro9.5")*9.5/AK39+COUNTIF(D39:AI39,"Ro10")*10/AK39+COUNTIF(D39:AI39,"Ro10.0")*10/AK39+COUNTIF(D39:AI39,"Ro10.5")*10.5/AK39+COUNTIF(D39:AI39,"Ro11")*11/AK39+COUNTIF(D39:AI39,"Ro11.0")*11/AK39+COUNTIF(D39:AI39,"Ro11.5")*11.5/AK39+COUNTIF(D39:AI39,"Bu1")+COUNTIF(D39:AI39,"Bu2")+COUNTIF(D39:AI39,"Bu3")+COUNTIF(D39:AI39,"Bu4")+COUNTIF(D39:AI39,"Bu5")+COUNTIF(D39:AI39,"Bu6")+COUNTIF(D39:AI39,"Bu7")+COUNTIF(D39:AI39,"Bu8")+COUNTIF(D39:AI39,"Bu9")+COUNTIF(D39:AI39,"Bu10")+COUNTIF(D39:AI39,"Bu11")+COUNTIF(D39:AI39,"Bu")+COUNTIF(D39:AI39,"P2")*0.5</f>
        <v>12</v>
      </c>
      <c r="AM39" s="61">
        <f>COUNTIF(E39:AI39,"D")+COUNTIF(E39:AI39,"D1")*1/AK39+COUNTIF(E39:AI39,"D2")*2/AK39+COUNTIF(E39:AI39,"D3")*3/AK39+COUNTIF(E39:AI39,"D4")*4/AK39+COUNTIF(E39:AI39,"D5")*5/AK39+COUNTIF(E39:AI39,"D6")*6/AK39+COUNTIF(E39:AI39,"D7")*7/AK39+COUNTIF(E39:AI39,"D8")*8/AK39+COUNTIF(E39:AI39,"D9")*9/AK39+COUNTIF(E39:AI39,"D10")*10/AK39+COUNTIF(E39:AI39,"D11")*11/AK39+COUNTIF(E39:AI39,"D12")*12/AK39</f>
        <v>4</v>
      </c>
      <c r="AN39" s="62">
        <f>+AL39+AM39</f>
        <v>16</v>
      </c>
      <c r="AO39" s="62">
        <f>COUNTIF(E39:AI39,"p")+COUNTIF(E39:AI39,"p1")/2+COUNTIF(E39:AI39,"p2")/2</f>
        <v>1</v>
      </c>
      <c r="AP39" s="62">
        <f>COUNTIF(E39:AI39,"K")</f>
        <v>0</v>
      </c>
      <c r="AQ39" s="63">
        <f>COUNTIF(E39:AI39,"Ro")+COUNTIF(E39:AI39,"Ro1")*11/AK39+COUNTIF(E39:AI39,"Ro2")*10/AK39+COUNTIF(E39:AI39,"Ro3")*9/AK39+COUNTIF(E39:AI39,"Ro3.0")*9/AK39+COUNTIF(E39:AI39,"Ro4")*8/AK39+COUNTIF(E39:AI39,"Ro4.0")*8/AK39+COUNTIF(E39:AI39,"Ro4.5")*7.5/AK39+COUNTIF(E39:AI39,"Ro5")*7/AK39+COUNTIF(E39:AI39,"Ro5.0")*7/AK39+COUNTIF(E39:AI39,"Ro5.5")*6.5/AK39+COUNTIF(E39:AI39,"Ro6")*6/AK39+COUNTIF(E39:AI39,"Ro7")*5/AK39+COUNTIF(E39:AI39,"Ro8")*4/AK39+COUNTIF(E39:AI39,"Ro8.0")*4/AK39+COUNTIF(E39:AI39,"Ro8.3")*3.7/AK39+COUNTIF(E39:AI39,"Ro8.5")*3.5/AK39+COUNTIF(E39:AI39,"Ro9")*3/AK39+COUNTIF(E39:AI39,"Ro10")*2/AK39+COUNTIF(E39:AI39,"Ro10.0")*2/AK39+COUNTIF(E39:AI39,"Ro10.5")*1.5/AK39+COUNTIF(E39:AI39,"Ro11.0")*1/AK39+COUNTIF(E39:AI39,"Ro11")*1/AK39+COUNTIF(E39:AI39,"Ro11.5")*0.5/AK39+COUNTIF(E39:AI39,"N1")*11/AK39+COUNTIF(E39:AI39,"N2")*10/AK39+COUNTIF(E39:AI39,"N3")*9/AK39+COUNTIF(E39:AI39,"N4")*8/AK39+COUNTIF(E39:AI39,"N5")*7/AK39+COUNTIF(E39:AI39,"N6")*6/AK39+COUNTIF(E39:AI39,"N7")*5/AK39+COUNTIF(E39:AI39,"N8")*4/AK39+COUNTIF(E39:AI39,"N9")*3/AK39+COUNTIF(E39:AI39,"N10")*2/AK39+COUNTIF(E39:AI39,"N11")*1/AK39+COUNTIF(E39:AI39,"D1")*11/AK39+COUNTIF(E39:AI39,"D2")*10/AK39+COUNTIF(E39:AI39,"D3")*9/AK39+COUNTIF(E39:AI39,"D4")*8/AK39+COUNTIF(E39:AI39,"D5")*7/AK39+COUNTIF(E39:AI39,"D6")*6/AK39+COUNTIF(E39:AI39,"D7")*5/AK39+COUNTIF(E39:AI39,"D8")*4/AK39+COUNTIF(E39:AI39,"D9")*3/AK39+COUNTIF(E39:AI39,"D10")*2/AK39+COUNTIF(E39:AI39,"D11")*1/AK39+COUNTIF(E39:AI39,"P1")*0.5</f>
        <v>0</v>
      </c>
      <c r="AR39" s="62">
        <f>COUNTIF(E39:AI39,"R")</f>
        <v>0</v>
      </c>
      <c r="AS39" s="62">
        <f>COUNTIF(E39:AI39,"L")</f>
        <v>0</v>
      </c>
      <c r="AT39" s="64"/>
      <c r="AU39" s="64"/>
      <c r="AV39" s="65">
        <f t="shared" si="42"/>
        <v>24</v>
      </c>
      <c r="AW39" s="65">
        <f t="shared" si="43"/>
        <v>0</v>
      </c>
      <c r="AX39" s="64"/>
      <c r="AY39" s="64"/>
      <c r="AZ39" s="80"/>
      <c r="BA39" s="66">
        <f>+AN39+AR39+AS39+AO39</f>
        <v>17</v>
      </c>
      <c r="BB39" s="67"/>
      <c r="BC39" s="68"/>
      <c r="BD39" s="69">
        <f>VLOOKUP($B39,[1]CN!$B$9:$DK$221,114,0)</f>
        <v>3</v>
      </c>
      <c r="BE39" s="70">
        <f t="shared" si="44"/>
        <v>27</v>
      </c>
      <c r="BF39" s="71" t="s">
        <v>92</v>
      </c>
      <c r="BG39" s="72" t="s">
        <v>34</v>
      </c>
      <c r="BH39" s="73" t="str">
        <f>VLOOKUP(B39,'[2]Bang luong_06'!$B$9:$C$333,2,0)</f>
        <v>Lâm Văn Luận</v>
      </c>
      <c r="BI39" s="74" t="s">
        <v>95</v>
      </c>
      <c r="BJ39" s="75" t="str">
        <f>VLOOKUP($B39,'[2]Bang luong_06'!$B$10:$C$333,2,0)</f>
        <v>Lâm Văn Luận</v>
      </c>
      <c r="BK39" s="76" t="b">
        <f>BJ39=C39</f>
        <v>1</v>
      </c>
      <c r="BM39" s="77">
        <f>+VLOOKUP(B39,'[2]Thưởng Lễ 2-9'!B27:G317,6,0)</f>
        <v>0</v>
      </c>
      <c r="BN39" s="75">
        <f>ROUND(($BN$12-D39)/30,0)</f>
        <v>54</v>
      </c>
      <c r="BO39" s="76" t="str">
        <f>+VLOOKUP(B39,'[2]Bang luong_06'!B33:D349,3,0)</f>
        <v>CNSX</v>
      </c>
      <c r="BP39" s="76" t="s">
        <v>40</v>
      </c>
      <c r="BQ39" s="76">
        <v>-1</v>
      </c>
      <c r="BR39" s="76">
        <f t="shared" si="4"/>
        <v>12</v>
      </c>
    </row>
    <row r="40" spans="1:70" s="76" customFormat="1" ht="31.5" customHeight="1" x14ac:dyDescent="0.25">
      <c r="A40" s="33">
        <f t="shared" si="24"/>
        <v>25</v>
      </c>
      <c r="B40" s="33" t="s">
        <v>97</v>
      </c>
      <c r="C40" s="55" t="s">
        <v>98</v>
      </c>
      <c r="D40" s="56">
        <v>41345</v>
      </c>
      <c r="E40" s="57" t="s">
        <v>38</v>
      </c>
      <c r="F40" s="97" t="s">
        <v>38</v>
      </c>
      <c r="G40" s="97" t="s">
        <v>38</v>
      </c>
      <c r="H40" s="97" t="s">
        <v>38</v>
      </c>
      <c r="I40" s="97" t="s">
        <v>38</v>
      </c>
      <c r="J40" s="97"/>
      <c r="K40" s="97" t="s">
        <v>37</v>
      </c>
      <c r="L40" s="86" t="s">
        <v>37</v>
      </c>
      <c r="M40" s="86" t="s">
        <v>37</v>
      </c>
      <c r="N40" s="97" t="s">
        <v>37</v>
      </c>
      <c r="O40" s="86" t="s">
        <v>37</v>
      </c>
      <c r="P40" s="86" t="s">
        <v>37</v>
      </c>
      <c r="Q40" s="86" t="s">
        <v>507</v>
      </c>
      <c r="R40" s="86" t="s">
        <v>37</v>
      </c>
      <c r="S40" s="86" t="s">
        <v>37</v>
      </c>
      <c r="T40" s="86" t="s">
        <v>37</v>
      </c>
      <c r="U40" s="97" t="s">
        <v>37</v>
      </c>
      <c r="V40" s="97" t="s">
        <v>37</v>
      </c>
      <c r="W40" s="97" t="s">
        <v>37</v>
      </c>
      <c r="X40" s="97"/>
      <c r="Y40" s="9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8">
        <v>10110504</v>
      </c>
      <c r="AK40" s="59">
        <v>12</v>
      </c>
      <c r="AL40" s="60">
        <f>COUNTIF(D40:AI40,"N")+COUNTIF(D40:AI40,"N1")*1/AK40+COUNTIF(D40:AI40,"N2")*2/AK40+COUNTIF(D40:AI40,"N3")*3/AK40+COUNTIF(D40:AI40,"N4")*4/AK40+COUNTIF(D40:AI40,"N5")*5/AK40+COUNTIF(D40:AI40,"N6")*6/AK40+COUNTIF(D40:AI40,"N7")*7/AK40+COUNTIF(D40:AI40,"N8")*8/AK40+COUNTIF(D40:AI40,"N9")*9/AK40+COUNTIF(D40:AI40,"N10")*10/AK40+COUNTIF(D40:AI40,"N11")*11/AK40+COUNTIF(D40:AI40,"N12")*12/AK40+COUNTIF(D40:AI40,"Ro1")*1/AK40+COUNTIF(D40:AI40,"Ro2")*2/AK40+COUNTIF(D40:AI40,"Ro3")*3/AK40+COUNTIF(D40:AI40,"Ro3.0")*3/AK40+COUNTIF(D40:AI40,"Ro4")*4/AK40+COUNTIF(D40:AI40,"Ro4.0")*4/AK40+COUNTIF(D40:AI40,"Ro4.5")*4.5/AK40+COUNTIF(D40:AI40,"Ro5")*5/AK40+COUNTIF(D40:AI40,"Ro5.0")*5/AK40+COUNTIF(D40:AI40,"Ro5.5")*5.5/AK40+COUNTIF(D40:AI40,"Ro6")*6/AK40+COUNTIF(D40:AI40,"Ro7")*7/AK40+COUNTIF(D40:AI40,"Ro8")*8/AK40+COUNTIF(D40:AI40,"Ro8.0")*8/AK40+COUNTIF(D40:AI40,"Ro8.3")*8.3/AK40+COUNTIF(D40:AI40,"Ro8.5")*8.5/AK40+COUNTIF(D40:AI40,"Ro9")*9/AK40+COUNTIF(D40:AI40,"Ro9.5")*9.5/AK40+COUNTIF(D40:AI40,"Ro10")*10/AK40+COUNTIF(D40:AI40,"Ro10.0")*10/AK40+COUNTIF(D40:AI40,"Ro10.5")*10.5/AK40+COUNTIF(D40:AI40,"Ro11")*11/AK40+COUNTIF(D40:AI40,"Ro11.0")*11/AK40+COUNTIF(D40:AI40,"Ro11.5")*11.5/AK40+COUNTIF(D40:AI40,"Bu1")+COUNTIF(D40:AI40,"Bu2")+COUNTIF(D40:AI40,"Bu3")+COUNTIF(D40:AI40,"Bu4")+COUNTIF(D40:AI40,"Bu5")+COUNTIF(D40:AI40,"Bu6")+COUNTIF(D40:AI40,"Bu7")+COUNTIF(D40:AI40,"Bu8")+COUNTIF(D40:AI40,"Bu9")+COUNTIF(D40:AI40,"Bu10")+COUNTIF(D40:AI40,"Bu11")+COUNTIF(D40:AI40,"Bu")+COUNTIF(D40:AI40,"P2")*0.5</f>
        <v>5</v>
      </c>
      <c r="AM40" s="61">
        <f>COUNTIF(E40:AI40,"D")+COUNTIF(E40:AI40,"D1")*1/AK40+COUNTIF(E40:AI40,"D2")*2/AK40+COUNTIF(E40:AI40,"D3")*3/AK40+COUNTIF(E40:AI40,"D4")*4/AK40+COUNTIF(E40:AI40,"D5")*5/AK40+COUNTIF(E40:AI40,"D6")*6/AK40+COUNTIF(E40:AI40,"D7")*7/AK40+COUNTIF(E40:AI40,"D8")*8/AK40+COUNTIF(E40:AI40,"D9")*9/AK40+COUNTIF(E40:AI40,"D10")*10/AK40+COUNTIF(E40:AI40,"D11")*11/AK40+COUNTIF(E40:AI40,"D12")*12/AK40</f>
        <v>12</v>
      </c>
      <c r="AN40" s="62">
        <f>+AL40+AM40</f>
        <v>17</v>
      </c>
      <c r="AO40" s="62">
        <f>COUNTIF(E40:AI40,"p")+COUNTIF(E40:AI40,"p1")/2+COUNTIF(E40:AI40,"p2")/2</f>
        <v>0</v>
      </c>
      <c r="AP40" s="62">
        <f>COUNTIF(E40:AI40,"K")</f>
        <v>0</v>
      </c>
      <c r="AQ40" s="63">
        <f>COUNTIF(E40:AI40,"Ro")+COUNTIF(E40:AI40,"Ro1")*11/AK40+COUNTIF(E40:AI40,"Ro2")*10/AK40+COUNTIF(E40:AI40,"Ro3")*9/AK40+COUNTIF(E40:AI40,"Ro3.0")*9/AK40+COUNTIF(E40:AI40,"Ro4")*8/AK40+COUNTIF(E40:AI40,"Ro4.0")*8/AK40+COUNTIF(E40:AI40,"Ro4.5")*7.5/AK40+COUNTIF(E40:AI40,"Ro5")*7/AK40+COUNTIF(E40:AI40,"Ro5.0")*7/AK40+COUNTIF(E40:AI40,"Ro5.5")*6.5/AK40+COUNTIF(E40:AI40,"Ro6")*6/AK40+COUNTIF(E40:AI40,"Ro7")*5/AK40+COUNTIF(E40:AI40,"Ro8")*4/AK40+COUNTIF(E40:AI40,"Ro8.0")*4/AK40+COUNTIF(E40:AI40,"Ro8.3")*3.7/AK40+COUNTIF(E40:AI40,"Ro8.5")*3.5/AK40+COUNTIF(E40:AI40,"Ro9")*3/AK40+COUNTIF(E40:AI40,"Ro10")*2/AK40+COUNTIF(E40:AI40,"Ro10.0")*2/AK40+COUNTIF(E40:AI40,"Ro10.5")*1.5/AK40+COUNTIF(E40:AI40,"Ro11.0")*1/AK40+COUNTIF(E40:AI40,"Ro11")*1/AK40+COUNTIF(E40:AI40,"Ro11.5")*0.5/AK40+COUNTIF(E40:AI40,"N1")*11/AK40+COUNTIF(E40:AI40,"N2")*10/AK40+COUNTIF(E40:AI40,"N3")*9/AK40+COUNTIF(E40:AI40,"N4")*8/AK40+COUNTIF(E40:AI40,"N5")*7/AK40+COUNTIF(E40:AI40,"N6")*6/AK40+COUNTIF(E40:AI40,"N7")*5/AK40+COUNTIF(E40:AI40,"N8")*4/AK40+COUNTIF(E40:AI40,"N9")*3/AK40+COUNTIF(E40:AI40,"N10")*2/AK40+COUNTIF(E40:AI40,"N11")*1/AK40+COUNTIF(E40:AI40,"D1")*11/AK40+COUNTIF(E40:AI40,"D2")*10/AK40+COUNTIF(E40:AI40,"D3")*9/AK40+COUNTIF(E40:AI40,"D4")*8/AK40+COUNTIF(E40:AI40,"D5")*7/AK40+COUNTIF(E40:AI40,"D6")*6/AK40+COUNTIF(E40:AI40,"D7")*5/AK40+COUNTIF(E40:AI40,"D8")*4/AK40+COUNTIF(E40:AI40,"D9")*3/AK40+COUNTIF(E40:AI40,"D10")*2/AK40+COUNTIF(E40:AI40,"D11")*1/AK40+COUNTIF(E40:AI40,"P1")*0.5</f>
        <v>0</v>
      </c>
      <c r="AR40" s="62">
        <f>COUNTIF(E40:AI40,"R")</f>
        <v>0</v>
      </c>
      <c r="AS40" s="62">
        <f>COUNTIF(E40:AI40,"L")</f>
        <v>0</v>
      </c>
      <c r="AT40" s="64"/>
      <c r="AU40" s="64"/>
      <c r="AV40" s="65">
        <f t="shared" si="42"/>
        <v>0</v>
      </c>
      <c r="AW40" s="65">
        <f t="shared" si="43"/>
        <v>12</v>
      </c>
      <c r="AX40" s="64"/>
      <c r="AY40" s="64"/>
      <c r="AZ40" s="80"/>
      <c r="BA40" s="66">
        <f>+AN40+AR40+AS40+AO40</f>
        <v>17</v>
      </c>
      <c r="BB40" s="67"/>
      <c r="BC40" s="99"/>
      <c r="BD40" s="69">
        <f>VLOOKUP($B40,[1]CN!$B$9:$DK$221,114,0)</f>
        <v>5</v>
      </c>
      <c r="BE40" s="70">
        <f t="shared" si="44"/>
        <v>27</v>
      </c>
      <c r="BF40" s="71" t="s">
        <v>92</v>
      </c>
      <c r="BG40" s="72">
        <v>0</v>
      </c>
      <c r="BH40" s="73" t="str">
        <f>VLOOKUP(B40,'[2]Bang luong_06'!$B$9:$C$333,2,0)</f>
        <v>Võ Duy Khánh</v>
      </c>
      <c r="BI40" s="74" t="s">
        <v>97</v>
      </c>
      <c r="BJ40" s="75" t="str">
        <f>VLOOKUP($B40,'[2]Bang luong_06'!$B$10:$C$333,2,0)</f>
        <v>Võ Duy Khánh</v>
      </c>
      <c r="BK40" s="76" t="b">
        <f>BJ40=C40</f>
        <v>1</v>
      </c>
      <c r="BM40" s="77">
        <f>+VLOOKUP(B40,'[2]Thưởng Lễ 2-9'!B28:G318,6,0)</f>
        <v>0</v>
      </c>
      <c r="BN40" s="75">
        <f>ROUND(($BN$12-D40)/30,0)</f>
        <v>140</v>
      </c>
      <c r="BO40" s="76" t="str">
        <f>+VLOOKUP(B40,'[2]Bang luong_06'!B35:D350,3,0)</f>
        <v>Tổ trưởng</v>
      </c>
      <c r="BP40" s="76" t="s">
        <v>40</v>
      </c>
      <c r="BQ40" s="76">
        <v>9</v>
      </c>
      <c r="BR40" s="76">
        <f t="shared" si="4"/>
        <v>5</v>
      </c>
    </row>
    <row r="41" spans="1:70" s="76" customFormat="1" ht="31.5" customHeight="1" x14ac:dyDescent="0.25">
      <c r="A41" s="33">
        <f t="shared" si="24"/>
        <v>26</v>
      </c>
      <c r="B41" s="78" t="s">
        <v>99</v>
      </c>
      <c r="C41" s="55" t="s">
        <v>100</v>
      </c>
      <c r="D41" s="79">
        <v>43874</v>
      </c>
      <c r="E41" s="57" t="s">
        <v>38</v>
      </c>
      <c r="F41" s="86" t="s">
        <v>38</v>
      </c>
      <c r="G41" s="97" t="s">
        <v>38</v>
      </c>
      <c r="H41" s="86" t="s">
        <v>38</v>
      </c>
      <c r="I41" s="97" t="s">
        <v>38</v>
      </c>
      <c r="J41" s="86"/>
      <c r="K41" s="97" t="s">
        <v>37</v>
      </c>
      <c r="L41" s="97" t="s">
        <v>37</v>
      </c>
      <c r="M41" s="97" t="s">
        <v>37</v>
      </c>
      <c r="N41" s="97" t="s">
        <v>37</v>
      </c>
      <c r="O41" s="97" t="s">
        <v>37</v>
      </c>
      <c r="P41" s="97" t="s">
        <v>37</v>
      </c>
      <c r="Q41" s="97" t="s">
        <v>507</v>
      </c>
      <c r="R41" s="97" t="s">
        <v>37</v>
      </c>
      <c r="S41" s="97" t="s">
        <v>37</v>
      </c>
      <c r="T41" s="97" t="s">
        <v>37</v>
      </c>
      <c r="U41" s="97" t="s">
        <v>37</v>
      </c>
      <c r="V41" s="97" t="s">
        <v>37</v>
      </c>
      <c r="W41" s="97" t="s">
        <v>37</v>
      </c>
      <c r="X41" s="97"/>
      <c r="Y41" s="9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8">
        <v>10110504</v>
      </c>
      <c r="AK41" s="59">
        <v>12</v>
      </c>
      <c r="AL41" s="60">
        <f>COUNTIF(D41:AI41,"N")+COUNTIF(D41:AI41,"N1")*1/AK41+COUNTIF(D41:AI41,"N2")*2/AK41+COUNTIF(D41:AI41,"N3")*3/AK41+COUNTIF(D41:AI41,"N4")*4/AK41+COUNTIF(D41:AI41,"N5")*5/AK41+COUNTIF(D41:AI41,"N6")*6/AK41+COUNTIF(D41:AI41,"N7")*7/AK41+COUNTIF(D41:AI41,"N8")*8/AK41+COUNTIF(D41:AI41,"N9")*9/AK41+COUNTIF(D41:AI41,"N10")*10/AK41+COUNTIF(D41:AI41,"N11")*11/AK41+COUNTIF(D41:AI41,"N12")*12/AK41+COUNTIF(D41:AI41,"Ro1")*1/AK41+COUNTIF(D41:AI41,"Ro2")*2/AK41+COUNTIF(D41:AI41,"Ro3")*3/AK41+COUNTIF(D41:AI41,"Ro3.0")*3/AK41+COUNTIF(D41:AI41,"Ro4")*4/AK41+COUNTIF(D41:AI41,"Ro4.0")*4/AK41+COUNTIF(D41:AI41,"Ro4.5")*4.5/AK41+COUNTIF(D41:AI41,"Ro5")*5/AK41+COUNTIF(D41:AI41,"Ro5.0")*5/AK41+COUNTIF(D41:AI41,"Ro5.5")*5.5/AK41+COUNTIF(D41:AI41,"Ro6")*6/AK41+COUNTIF(D41:AI41,"Ro7")*7/AK41+COUNTIF(D41:AI41,"Ro8")*8/AK41+COUNTIF(D41:AI41,"Ro8.0")*8/AK41+COUNTIF(D41:AI41,"Ro8.3")*8.3/AK41+COUNTIF(D41:AI41,"Ro8.5")*8.5/AK41+COUNTIF(D41:AI41,"Ro9")*9/AK41+COUNTIF(D41:AI41,"Ro9.5")*9.5/AK41+COUNTIF(D41:AI41,"Ro10")*10/AK41+COUNTIF(D41:AI41,"Ro10.0")*10/AK41+COUNTIF(D41:AI41,"Ro10.5")*10.5/AK41+COUNTIF(D41:AI41,"Ro11")*11/AK41+COUNTIF(D41:AI41,"Ro11.0")*11/AK41+COUNTIF(D41:AI41,"Ro11.5")*11.5/AK41+COUNTIF(D41:AI41,"Bu1")+COUNTIF(D41:AI41,"Bu2")+COUNTIF(D41:AI41,"Bu3")+COUNTIF(D41:AI41,"Bu4")+COUNTIF(D41:AI41,"Bu5")+COUNTIF(D41:AI41,"Bu6")+COUNTIF(D41:AI41,"Bu7")+COUNTIF(D41:AI41,"Bu8")+COUNTIF(D41:AI41,"Bu9")+COUNTIF(D41:AI41,"Bu10")+COUNTIF(D41:AI41,"Bu11")+COUNTIF(D41:AI41,"Bu")+COUNTIF(D41:AI41,"P2")*0.5</f>
        <v>5</v>
      </c>
      <c r="AM41" s="61">
        <f>COUNTIF(E41:AI41,"D")+COUNTIF(E41:AI41,"D1")*1/AK41+COUNTIF(E41:AI41,"D2")*2/AK41+COUNTIF(E41:AI41,"D3")*3/AK41+COUNTIF(E41:AI41,"D4")*4/AK41+COUNTIF(E41:AI41,"D5")*5/AK41+COUNTIF(E41:AI41,"D6")*6/AK41+COUNTIF(E41:AI41,"D7")*7/AK41+COUNTIF(E41:AI41,"D8")*8/AK41+COUNTIF(E41:AI41,"D9")*9/AK41+COUNTIF(E41:AI41,"D10")*10/AK41+COUNTIF(E41:AI41,"D11")*11/AK41+COUNTIF(E41:AI41,"D12")*12/AK41</f>
        <v>12</v>
      </c>
      <c r="AN41" s="62">
        <f>+AL41+AM41</f>
        <v>17</v>
      </c>
      <c r="AO41" s="62">
        <f>COUNTIF(E41:AI41,"p")+COUNTIF(E41:AI41,"p1")/2+COUNTIF(E41:AI41,"p2")/2</f>
        <v>0</v>
      </c>
      <c r="AP41" s="62">
        <f>COUNTIF(E41:AI41,"K")</f>
        <v>0</v>
      </c>
      <c r="AQ41" s="63">
        <f>COUNTIF(E41:AI41,"Ro")+COUNTIF(E41:AI41,"Ro1")*11/AK41+COUNTIF(E41:AI41,"Ro2")*10/AK41+COUNTIF(E41:AI41,"Ro3")*9/AK41+COUNTIF(E41:AI41,"Ro3.0")*9/AK41+COUNTIF(E41:AI41,"Ro4")*8/AK41+COUNTIF(E41:AI41,"Ro4.0")*8/AK41+COUNTIF(E41:AI41,"Ro4.5")*7.5/AK41+COUNTIF(E41:AI41,"Ro5")*7/AK41+COUNTIF(E41:AI41,"Ro5.0")*7/AK41+COUNTIF(E41:AI41,"Ro5.5")*6.5/AK41+COUNTIF(E41:AI41,"Ro6")*6/AK41+COUNTIF(E41:AI41,"Ro7")*5/AK41+COUNTIF(E41:AI41,"Ro8")*4/AK41+COUNTIF(E41:AI41,"Ro8.0")*4/AK41+COUNTIF(E41:AI41,"Ro8.3")*3.7/AK41+COUNTIF(E41:AI41,"Ro8.5")*3.5/AK41+COUNTIF(E41:AI41,"Ro9")*3/AK41+COUNTIF(E41:AI41,"Ro10")*2/AK41+COUNTIF(E41:AI41,"Ro10.0")*2/AK41+COUNTIF(E41:AI41,"Ro10.5")*1.5/AK41+COUNTIF(E41:AI41,"Ro11.0")*1/AK41+COUNTIF(E41:AI41,"Ro11")*1/AK41+COUNTIF(E41:AI41,"Ro11.5")*0.5/AK41+COUNTIF(E41:AI41,"N1")*11/AK41+COUNTIF(E41:AI41,"N2")*10/AK41+COUNTIF(E41:AI41,"N3")*9/AK41+COUNTIF(E41:AI41,"N4")*8/AK41+COUNTIF(E41:AI41,"N5")*7/AK41+COUNTIF(E41:AI41,"N6")*6/AK41+COUNTIF(E41:AI41,"N7")*5/AK41+COUNTIF(E41:AI41,"N8")*4/AK41+COUNTIF(E41:AI41,"N9")*3/AK41+COUNTIF(E41:AI41,"N10")*2/AK41+COUNTIF(E41:AI41,"N11")*1/AK41+COUNTIF(E41:AI41,"D1")*11/AK41+COUNTIF(E41:AI41,"D2")*10/AK41+COUNTIF(E41:AI41,"D3")*9/AK41+COUNTIF(E41:AI41,"D4")*8/AK41+COUNTIF(E41:AI41,"D5")*7/AK41+COUNTIF(E41:AI41,"D6")*6/AK41+COUNTIF(E41:AI41,"D7")*5/AK41+COUNTIF(E41:AI41,"D8")*4/AK41+COUNTIF(E41:AI41,"D9")*3/AK41+COUNTIF(E41:AI41,"D10")*2/AK41+COUNTIF(E41:AI41,"D11")*1/AK41+COUNTIF(E41:AI41,"P1")*0.5</f>
        <v>0</v>
      </c>
      <c r="AR41" s="62">
        <f>COUNTIF(E41:AI41,"R")</f>
        <v>0</v>
      </c>
      <c r="AS41" s="62">
        <f>COUNTIF(E41:AI41,"L")</f>
        <v>0</v>
      </c>
      <c r="AT41" s="64"/>
      <c r="AU41" s="64"/>
      <c r="AV41" s="65">
        <f t="shared" si="42"/>
        <v>0</v>
      </c>
      <c r="AW41" s="65">
        <f t="shared" si="43"/>
        <v>12</v>
      </c>
      <c r="AX41" s="64"/>
      <c r="AY41" s="64"/>
      <c r="AZ41" s="80"/>
      <c r="BA41" s="66">
        <f>+AN41+AR41+AS41+AO41</f>
        <v>17</v>
      </c>
      <c r="BB41" s="67"/>
      <c r="BC41" s="99"/>
      <c r="BD41" s="69">
        <f>VLOOKUP($B41,[1]CN!$B$9:$DK$221,114,0)</f>
        <v>0</v>
      </c>
      <c r="BE41" s="70">
        <f t="shared" si="44"/>
        <v>27</v>
      </c>
      <c r="BF41" s="71" t="s">
        <v>92</v>
      </c>
      <c r="BG41" s="72" t="s">
        <v>34</v>
      </c>
      <c r="BH41" s="73" t="str">
        <f>VLOOKUP(B41,'[2]Bang luong_06'!$B$9:$C$333,2,0)</f>
        <v>Dương Hoàng Diễn</v>
      </c>
      <c r="BI41" s="74" t="s">
        <v>99</v>
      </c>
      <c r="BJ41" s="75" t="str">
        <f>VLOOKUP($B41,'[2]Bang luong_06'!$B$10:$C$333,2,0)</f>
        <v>Dương Hoàng Diễn</v>
      </c>
      <c r="BK41" s="76" t="b">
        <f>BJ41=C41</f>
        <v>1</v>
      </c>
      <c r="BM41" s="77">
        <f>+VLOOKUP(B41,'[2]Thưởng Lễ 2-9'!B29:G319,6,0)</f>
        <v>0</v>
      </c>
      <c r="BN41" s="75">
        <f>ROUND(($BN$12-D41)/30,0)</f>
        <v>55</v>
      </c>
      <c r="BO41" s="76" t="str">
        <f>+VLOOKUP(B41,'[2]Bang luong_06'!B40:D351,3,0)</f>
        <v>CNSX</v>
      </c>
      <c r="BP41" s="76" t="s">
        <v>40</v>
      </c>
      <c r="BQ41" s="76">
        <v>0</v>
      </c>
      <c r="BR41" s="76">
        <f t="shared" si="4"/>
        <v>5</v>
      </c>
    </row>
    <row r="42" spans="1:70" s="76" customFormat="1" ht="31.5" customHeight="1" x14ac:dyDescent="0.25">
      <c r="A42" s="33">
        <f t="shared" si="24"/>
        <v>27</v>
      </c>
      <c r="B42" s="33" t="s">
        <v>101</v>
      </c>
      <c r="C42" s="55" t="s">
        <v>102</v>
      </c>
      <c r="D42" s="56">
        <v>41686</v>
      </c>
      <c r="E42" s="57" t="s">
        <v>37</v>
      </c>
      <c r="F42" s="86" t="s">
        <v>37</v>
      </c>
      <c r="G42" s="97" t="s">
        <v>37</v>
      </c>
      <c r="H42" s="86" t="s">
        <v>37</v>
      </c>
      <c r="I42" s="97" t="s">
        <v>37</v>
      </c>
      <c r="J42" s="86"/>
      <c r="K42" s="97" t="s">
        <v>38</v>
      </c>
      <c r="L42" s="97" t="s">
        <v>38</v>
      </c>
      <c r="M42" s="97" t="s">
        <v>38</v>
      </c>
      <c r="N42" s="97" t="s">
        <v>38</v>
      </c>
      <c r="O42" s="97" t="s">
        <v>38</v>
      </c>
      <c r="P42" s="97" t="s">
        <v>38</v>
      </c>
      <c r="Q42" s="97" t="s">
        <v>506</v>
      </c>
      <c r="R42" s="97" t="s">
        <v>38</v>
      </c>
      <c r="S42" s="97" t="s">
        <v>38</v>
      </c>
      <c r="T42" s="97" t="s">
        <v>38</v>
      </c>
      <c r="U42" s="97" t="s">
        <v>38</v>
      </c>
      <c r="V42" s="97" t="s">
        <v>107</v>
      </c>
      <c r="W42" s="97" t="s">
        <v>107</v>
      </c>
      <c r="X42" s="97"/>
      <c r="Y42" s="9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8">
        <v>10110504</v>
      </c>
      <c r="AK42" s="59">
        <v>12</v>
      </c>
      <c r="AL42" s="60">
        <f>COUNTIF(D42:AI42,"N")+COUNTIF(D42:AI42,"N1")*1/AK42+COUNTIF(D42:AI42,"N2")*2/AK42+COUNTIF(D42:AI42,"N3")*3/AK42+COUNTIF(D42:AI42,"N4")*4/AK42+COUNTIF(D42:AI42,"N5")*5/AK42+COUNTIF(D42:AI42,"N6")*6/AK42+COUNTIF(D42:AI42,"N7")*7/AK42+COUNTIF(D42:AI42,"N8")*8/AK42+COUNTIF(D42:AI42,"N9")*9/AK42+COUNTIF(D42:AI42,"N10")*10/AK42+COUNTIF(D42:AI42,"N11")*11/AK42+COUNTIF(D42:AI42,"N12")*12/AK42+COUNTIF(D42:AI42,"Ro1")*1/AK42+COUNTIF(D42:AI42,"Ro2")*2/AK42+COUNTIF(D42:AI42,"Ro3")*3/AK42+COUNTIF(D42:AI42,"Ro3.0")*3/AK42+COUNTIF(D42:AI42,"Ro4")*4/AK42+COUNTIF(D42:AI42,"Ro4.0")*4/AK42+COUNTIF(D42:AI42,"Ro4.5")*4.5/AK42+COUNTIF(D42:AI42,"Ro5")*5/AK42+COUNTIF(D42:AI42,"Ro5.0")*5/AK42+COUNTIF(D42:AI42,"Ro5.5")*5.5/AK42+COUNTIF(D42:AI42,"Ro6")*6/AK42+COUNTIF(D42:AI42,"Ro7")*7/AK42+COUNTIF(D42:AI42,"Ro8")*8/AK42+COUNTIF(D42:AI42,"Ro8.0")*8/AK42+COUNTIF(D42:AI42,"Ro8.3")*8.3/AK42+COUNTIF(D42:AI42,"Ro8.5")*8.5/AK42+COUNTIF(D42:AI42,"Ro9")*9/AK42+COUNTIF(D42:AI42,"Ro9.5")*9.5/AK42+COUNTIF(D42:AI42,"Ro10")*10/AK42+COUNTIF(D42:AI42,"Ro10.0")*10/AK42+COUNTIF(D42:AI42,"Ro10.5")*10.5/AK42+COUNTIF(D42:AI42,"Ro11")*11/AK42+COUNTIF(D42:AI42,"Ro11.0")*11/AK42+COUNTIF(D42:AI42,"Ro11.5")*11.5/AK42+COUNTIF(D42:AI42,"Bu1")+COUNTIF(D42:AI42,"Bu2")+COUNTIF(D42:AI42,"Bu3")+COUNTIF(D42:AI42,"Bu4")+COUNTIF(D42:AI42,"Bu5")+COUNTIF(D42:AI42,"Bu6")+COUNTIF(D42:AI42,"Bu7")+COUNTIF(D42:AI42,"Bu8")+COUNTIF(D42:AI42,"Bu9")+COUNTIF(D42:AI42,"Bu10")+COUNTIF(D42:AI42,"Bu11")+COUNTIF(D42:AI42,"Bu")+COUNTIF(D42:AI42,"P2")*0.5</f>
        <v>10</v>
      </c>
      <c r="AM42" s="61">
        <f>COUNTIF(E42:AI42,"D")+COUNTIF(E42:AI42,"D1")*1/AK42+COUNTIF(E42:AI42,"D2")*2/AK42+COUNTIF(E42:AI42,"D3")*3/AK42+COUNTIF(E42:AI42,"D4")*4/AK42+COUNTIF(E42:AI42,"D5")*5/AK42+COUNTIF(E42:AI42,"D6")*6/AK42+COUNTIF(E42:AI42,"D7")*7/AK42+COUNTIF(E42:AI42,"D8")*8/AK42+COUNTIF(E42:AI42,"D9")*9/AK42+COUNTIF(E42:AI42,"D10")*10/AK42+COUNTIF(E42:AI42,"D11")*11/AK42+COUNTIF(E42:AI42,"D12")*12/AK42</f>
        <v>5</v>
      </c>
      <c r="AN42" s="62">
        <f>+AL42+AM42</f>
        <v>15</v>
      </c>
      <c r="AO42" s="62">
        <f>COUNTIF(E42:AI42,"p")+COUNTIF(E42:AI42,"p1")/2+COUNTIF(E42:AI42,"p2")/2</f>
        <v>2</v>
      </c>
      <c r="AP42" s="62">
        <f>COUNTIF(E42:AI42,"K")</f>
        <v>0</v>
      </c>
      <c r="AQ42" s="63">
        <f>COUNTIF(E42:AI42,"Ro")+COUNTIF(E42:AI42,"Ro1")*11/AK42+COUNTIF(E42:AI42,"Ro2")*10/AK42+COUNTIF(E42:AI42,"Ro3")*9/AK42+COUNTIF(E42:AI42,"Ro3.0")*9/AK42+COUNTIF(E42:AI42,"Ro4")*8/AK42+COUNTIF(E42:AI42,"Ro4.0")*8/AK42+COUNTIF(E42:AI42,"Ro4.5")*7.5/AK42+COUNTIF(E42:AI42,"Ro5")*7/AK42+COUNTIF(E42:AI42,"Ro5.0")*7/AK42+COUNTIF(E42:AI42,"Ro5.5")*6.5/AK42+COUNTIF(E42:AI42,"Ro6")*6/AK42+COUNTIF(E42:AI42,"Ro7")*5/AK42+COUNTIF(E42:AI42,"Ro8")*4/AK42+COUNTIF(E42:AI42,"Ro8.0")*4/AK42+COUNTIF(E42:AI42,"Ro8.3")*3.7/AK42+COUNTIF(E42:AI42,"Ro8.5")*3.5/AK42+COUNTIF(E42:AI42,"Ro9")*3/AK42+COUNTIF(E42:AI42,"Ro10")*2/AK42+COUNTIF(E42:AI42,"Ro10.0")*2/AK42+COUNTIF(E42:AI42,"Ro10.5")*1.5/AK42+COUNTIF(E42:AI42,"Ro11.0")*1/AK42+COUNTIF(E42:AI42,"Ro11")*1/AK42+COUNTIF(E42:AI42,"Ro11.5")*0.5/AK42+COUNTIF(E42:AI42,"N1")*11/AK42+COUNTIF(E42:AI42,"N2")*10/AK42+COUNTIF(E42:AI42,"N3")*9/AK42+COUNTIF(E42:AI42,"N4")*8/AK42+COUNTIF(E42:AI42,"N5")*7/AK42+COUNTIF(E42:AI42,"N6")*6/AK42+COUNTIF(E42:AI42,"N7")*5/AK42+COUNTIF(E42:AI42,"N8")*4/AK42+COUNTIF(E42:AI42,"N9")*3/AK42+COUNTIF(E42:AI42,"N10")*2/AK42+COUNTIF(E42:AI42,"N11")*1/AK42+COUNTIF(E42:AI42,"D1")*11/AK42+COUNTIF(E42:AI42,"D2")*10/AK42+COUNTIF(E42:AI42,"D3")*9/AK42+COUNTIF(E42:AI42,"D4")*8/AK42+COUNTIF(E42:AI42,"D5")*7/AK42+COUNTIF(E42:AI42,"D6")*6/AK42+COUNTIF(E42:AI42,"D7")*5/AK42+COUNTIF(E42:AI42,"D8")*4/AK42+COUNTIF(E42:AI42,"D9")*3/AK42+COUNTIF(E42:AI42,"D10")*2/AK42+COUNTIF(E42:AI42,"D11")*1/AK42+COUNTIF(E42:AI42,"P1")*0.5</f>
        <v>0</v>
      </c>
      <c r="AR42" s="62">
        <f>COUNTIF(E42:AI42,"R")</f>
        <v>0</v>
      </c>
      <c r="AS42" s="62">
        <f>COUNTIF(E42:AI42,"L")</f>
        <v>0</v>
      </c>
      <c r="AT42" s="64"/>
      <c r="AU42" s="64"/>
      <c r="AV42" s="65">
        <f t="shared" si="42"/>
        <v>12</v>
      </c>
      <c r="AW42" s="65">
        <f t="shared" si="43"/>
        <v>0</v>
      </c>
      <c r="AX42" s="64"/>
      <c r="AY42" s="64"/>
      <c r="AZ42" s="80"/>
      <c r="BA42" s="66">
        <f>+AN42+AR42+AS42+AO42</f>
        <v>17</v>
      </c>
      <c r="BB42" s="67"/>
      <c r="BC42" s="68"/>
      <c r="BD42" s="69">
        <f>VLOOKUP($B42,[1]CN!$B$9:$DK$221,114,0)</f>
        <v>5</v>
      </c>
      <c r="BE42" s="70">
        <f t="shared" si="44"/>
        <v>27</v>
      </c>
      <c r="BF42" s="71" t="s">
        <v>92</v>
      </c>
      <c r="BG42" s="72" t="s">
        <v>34</v>
      </c>
      <c r="BH42" s="73" t="str">
        <f>VLOOKUP(B42,'[2]Bang luong_06'!$B$9:$C$333,2,0)</f>
        <v>Dương Hoàng Oanh</v>
      </c>
      <c r="BI42" s="74" t="s">
        <v>101</v>
      </c>
      <c r="BJ42" s="75" t="str">
        <f>VLOOKUP($B42,'[2]Bang luong_06'!$B$10:$C$333,2,0)</f>
        <v>Dương Hoàng Oanh</v>
      </c>
      <c r="BK42" s="76" t="b">
        <f>BJ42=C42</f>
        <v>1</v>
      </c>
      <c r="BM42" s="77">
        <f>+VLOOKUP(B42,'[2]Thưởng Lễ 2-9'!B134:G422,6,0)</f>
        <v>0</v>
      </c>
      <c r="BN42" s="75">
        <f>ROUND(($BN$12-D42)/30,0)</f>
        <v>128</v>
      </c>
      <c r="BO42" s="76" t="str">
        <f>+VLOOKUP(B42,'[2]Bang luong_06'!B143:D453,3,0)</f>
        <v>CNSX</v>
      </c>
      <c r="BP42" s="76" t="s">
        <v>40</v>
      </c>
      <c r="BQ42" s="76">
        <v>0</v>
      </c>
      <c r="BR42" s="76">
        <f t="shared" si="4"/>
        <v>10</v>
      </c>
    </row>
    <row r="43" spans="1:70" s="84" customFormat="1" ht="31.5" customHeight="1" x14ac:dyDescent="0.25">
      <c r="A43" s="33" t="str">
        <f t="shared" si="24"/>
        <v/>
      </c>
      <c r="B43" s="46"/>
      <c r="C43" s="46" t="s">
        <v>103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81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82"/>
      <c r="BE43" s="46"/>
      <c r="BF43" s="96" t="s">
        <v>104</v>
      </c>
      <c r="BG43" s="92" t="s">
        <v>34</v>
      </c>
      <c r="BH43" s="73"/>
      <c r="BI43" s="73"/>
      <c r="BJ43" s="75"/>
      <c r="BK43" s="76"/>
      <c r="BM43" s="77"/>
      <c r="BN43" s="75"/>
      <c r="BO43" s="76"/>
      <c r="BP43" s="76"/>
      <c r="BQ43" s="76"/>
      <c r="BR43" s="76" t="e">
        <f t="shared" si="4"/>
        <v>#DIV/0!</v>
      </c>
    </row>
    <row r="44" spans="1:70" s="76" customFormat="1" ht="31.5" customHeight="1" x14ac:dyDescent="0.25">
      <c r="A44" s="33">
        <f t="shared" si="24"/>
        <v>28</v>
      </c>
      <c r="B44" s="78" t="s">
        <v>105</v>
      </c>
      <c r="C44" s="55" t="s">
        <v>106</v>
      </c>
      <c r="D44" s="56">
        <v>42990</v>
      </c>
      <c r="E44" s="57" t="s">
        <v>38</v>
      </c>
      <c r="F44" s="57" t="s">
        <v>38</v>
      </c>
      <c r="G44" s="57" t="s">
        <v>38</v>
      </c>
      <c r="H44" s="57" t="s">
        <v>38</v>
      </c>
      <c r="I44" s="57" t="s">
        <v>38</v>
      </c>
      <c r="J44" s="57"/>
      <c r="K44" s="57" t="s">
        <v>107</v>
      </c>
      <c r="L44" s="57" t="s">
        <v>37</v>
      </c>
      <c r="M44" s="57" t="s">
        <v>37</v>
      </c>
      <c r="N44" s="57" t="s">
        <v>37</v>
      </c>
      <c r="O44" s="57" t="s">
        <v>37</v>
      </c>
      <c r="P44" s="57" t="s">
        <v>37</v>
      </c>
      <c r="Q44" s="57"/>
      <c r="R44" s="57" t="s">
        <v>37</v>
      </c>
      <c r="S44" s="57" t="s">
        <v>37</v>
      </c>
      <c r="T44" s="57" t="s">
        <v>37</v>
      </c>
      <c r="U44" s="57" t="s">
        <v>37</v>
      </c>
      <c r="V44" s="57" t="s">
        <v>37</v>
      </c>
      <c r="W44" s="57" t="s">
        <v>37</v>
      </c>
      <c r="X44" s="57"/>
      <c r="Y44" s="57" t="s">
        <v>38</v>
      </c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8">
        <v>10110504</v>
      </c>
      <c r="AK44" s="59">
        <v>12</v>
      </c>
      <c r="AL44" s="60">
        <f t="shared" ref="AL44:AL48" si="45">COUNTIF(D44:AI44,"N")+COUNTIF(D44:AI44,"N1")*1/AK44+COUNTIF(D44:AI44,"N2")*2/AK44+COUNTIF(D44:AI44,"N3")*3/AK44+COUNTIF(D44:AI44,"N4")*4/AK44+COUNTIF(D44:AI44,"N5")*5/AK44+COUNTIF(D44:AI44,"N6")*6/AK44+COUNTIF(D44:AI44,"N7")*7/AK44+COUNTIF(D44:AI44,"N8")*8/AK44+COUNTIF(D44:AI44,"N9")*9/AK44+COUNTIF(D44:AI44,"N10")*10/AK44+COUNTIF(D44:AI44,"N11")*11/AK44+COUNTIF(D44:AI44,"N12")*12/AK44+COUNTIF(D44:AI44,"Ro1")*1/AK44+COUNTIF(D44:AI44,"Ro2")*2/AK44+COUNTIF(D44:AI44,"Ro3")*3/AK44+COUNTIF(D44:AI44,"Ro3.0")*3/AK44+COUNTIF(D44:AI44,"Ro4")*4/AK44+COUNTIF(D44:AI44,"Ro4.0")*4/AK44+COUNTIF(D44:AI44,"Ro4.5")*4.5/AK44+COUNTIF(D44:AI44,"Ro5")*5/AK44+COUNTIF(D44:AI44,"Ro5.0")*5/AK44+COUNTIF(D44:AI44,"Ro5.5")*5.5/AK44+COUNTIF(D44:AI44,"Ro6")*6/AK44+COUNTIF(D44:AI44,"Ro7")*7/AK44+COUNTIF(D44:AI44,"Ro8")*8/AK44+COUNTIF(D44:AI44,"Ro8.0")*8/AK44+COUNTIF(D44:AI44,"Ro8.3")*8.3/AK44+COUNTIF(D44:AI44,"Ro8.5")*8.5/AK44+COUNTIF(D44:AI44,"Ro9")*9/AK44+COUNTIF(D44:AI44,"Ro9.5")*9.5/AK44+COUNTIF(D44:AI44,"Ro10")*10/AK44+COUNTIF(D44:AI44,"Ro10.0")*10/AK44+COUNTIF(D44:AI44,"Ro10.5")*10.5/AK44+COUNTIF(D44:AI44,"Ro11")*11/AK44+COUNTIF(D44:AI44,"Ro11.0")*11/AK44+COUNTIF(D44:AI44,"Ro11.5")*11.5/AK44+COUNTIF(D44:AI44,"Bu1")+COUNTIF(D44:AI44,"Bu2")+COUNTIF(D44:AI44,"Bu3")+COUNTIF(D44:AI44,"Bu4")+COUNTIF(D44:AI44,"Bu5")+COUNTIF(D44:AI44,"Bu6")+COUNTIF(D44:AI44,"Bu7")+COUNTIF(D44:AI44,"Bu8")+COUNTIF(D44:AI44,"Bu9")+COUNTIF(D44:AI44,"Bu10")+COUNTIF(D44:AI44,"Bu11")+COUNTIF(D44:AI44,"Bu")+COUNTIF(D44:AI44,"P2")*0.5</f>
        <v>6</v>
      </c>
      <c r="AM44" s="61">
        <f t="shared" ref="AM44:AM48" si="46">COUNTIF(E44:AI44,"D")+COUNTIF(E44:AI44,"D1")*1/AK44+COUNTIF(E44:AI44,"D2")*2/AK44+COUNTIF(E44:AI44,"D3")*3/AK44+COUNTIF(E44:AI44,"D4")*4/AK44+COUNTIF(E44:AI44,"D5")*5/AK44+COUNTIF(E44:AI44,"D6")*6/AK44+COUNTIF(E44:AI44,"D7")*7/AK44+COUNTIF(E44:AI44,"D8")*8/AK44+COUNTIF(E44:AI44,"D9")*9/AK44+COUNTIF(E44:AI44,"D10")*10/AK44+COUNTIF(E44:AI44,"D11")*11/AK44+COUNTIF(E44:AI44,"D12")*12/AK44</f>
        <v>11</v>
      </c>
      <c r="AN44" s="62">
        <f t="shared" ref="AN44:AN48" si="47">+AL44+AM44</f>
        <v>17</v>
      </c>
      <c r="AO44" s="62">
        <f t="shared" ref="AO44:AO48" si="48">COUNTIF(E44:AI44,"p")+COUNTIF(E44:AI44,"p1")/2+COUNTIF(E44:AI44,"p2")/2</f>
        <v>1</v>
      </c>
      <c r="AP44" s="62">
        <f t="shared" ref="AP44:AP48" si="49">COUNTIF(E44:AI44,"K")</f>
        <v>0</v>
      </c>
      <c r="AQ44" s="63">
        <f t="shared" ref="AQ44:AQ48" si="50">COUNTIF(E44:AI44,"Ro")+COUNTIF(E44:AI44,"Ro1")*11/AK44+COUNTIF(E44:AI44,"Ro2")*10/AK44+COUNTIF(E44:AI44,"Ro3")*9/AK44+COUNTIF(E44:AI44,"Ro3.0")*9/AK44+COUNTIF(E44:AI44,"Ro4")*8/AK44+COUNTIF(E44:AI44,"Ro4.0")*8/AK44+COUNTIF(E44:AI44,"Ro4.5")*7.5/AK44+COUNTIF(E44:AI44,"Ro5")*7/AK44+COUNTIF(E44:AI44,"Ro5.0")*7/AK44+COUNTIF(E44:AI44,"Ro5.5")*6.5/AK44+COUNTIF(E44:AI44,"Ro6")*6/AK44+COUNTIF(E44:AI44,"Ro7")*5/AK44+COUNTIF(E44:AI44,"Ro8")*4/AK44+COUNTIF(E44:AI44,"Ro8.0")*4/AK44+COUNTIF(E44:AI44,"Ro8.3")*3.7/AK44+COUNTIF(E44:AI44,"Ro8.5")*3.5/AK44+COUNTIF(E44:AI44,"Ro9")*3/AK44+COUNTIF(E44:AI44,"Ro10")*2/AK44+COUNTIF(E44:AI44,"Ro10.0")*2/AK44+COUNTIF(E44:AI44,"Ro10.5")*1.5/AK44+COUNTIF(E44:AI44,"Ro11.0")*1/AK44+COUNTIF(E44:AI44,"Ro11")*1/AK44+COUNTIF(E44:AI44,"Ro11.5")*0.5/AK44+COUNTIF(E44:AI44,"N1")*11/AK44+COUNTIF(E44:AI44,"N2")*10/AK44+COUNTIF(E44:AI44,"N3")*9/AK44+COUNTIF(E44:AI44,"N4")*8/AK44+COUNTIF(E44:AI44,"N5")*7/AK44+COUNTIF(E44:AI44,"N6")*6/AK44+COUNTIF(E44:AI44,"N7")*5/AK44+COUNTIF(E44:AI44,"N8")*4/AK44+COUNTIF(E44:AI44,"N9")*3/AK44+COUNTIF(E44:AI44,"N10")*2/AK44+COUNTIF(E44:AI44,"N11")*1/AK44+COUNTIF(E44:AI44,"D1")*11/AK44+COUNTIF(E44:AI44,"D2")*10/AK44+COUNTIF(E44:AI44,"D3")*9/AK44+COUNTIF(E44:AI44,"D4")*8/AK44+COUNTIF(E44:AI44,"D5")*7/AK44+COUNTIF(E44:AI44,"D6")*6/AK44+COUNTIF(E44:AI44,"D7")*5/AK44+COUNTIF(E44:AI44,"D8")*4/AK44+COUNTIF(E44:AI44,"D9")*3/AK44+COUNTIF(E44:AI44,"D10")*2/AK44+COUNTIF(E44:AI44,"D11")*1/AK44+COUNTIF(E44:AI44,"P1")*0.5</f>
        <v>0</v>
      </c>
      <c r="AR44" s="62">
        <f t="shared" ref="AR44:AR48" si="51">COUNTIF(E44:AI44,"R")</f>
        <v>0</v>
      </c>
      <c r="AS44" s="62">
        <f t="shared" ref="AS44:AS48" si="52">COUNTIF(E44:AI44,"L")</f>
        <v>0</v>
      </c>
      <c r="AT44" s="64"/>
      <c r="AU44" s="64"/>
      <c r="AV44" s="65">
        <f t="shared" ref="AV44:AV48" si="53">COUNTIF(E44:AI44,"12N")*12</f>
        <v>0</v>
      </c>
      <c r="AW44" s="65">
        <f t="shared" ref="AW44:AW48" si="54">COUNTIF(F44:AI44,"12D")*12</f>
        <v>0</v>
      </c>
      <c r="AX44" s="64"/>
      <c r="AY44" s="64"/>
      <c r="AZ44" s="80"/>
      <c r="BA44" s="66">
        <f t="shared" ref="BA44:BA48" si="55">+AN44+AR44+AS44+AO44</f>
        <v>18</v>
      </c>
      <c r="BB44" s="67"/>
      <c r="BC44" s="68"/>
      <c r="BD44" s="69">
        <f>VLOOKUP($B44,[1]CN!$B$9:$DK$221,114,0)</f>
        <v>3</v>
      </c>
      <c r="BE44" s="70">
        <f t="shared" ref="BE44:BE48" si="56">+$AI$8-$E$8+1-INT(($AI$8-$E$8-WEEKDAY($AI$8)+8)/7)</f>
        <v>27</v>
      </c>
      <c r="BF44" s="71" t="s">
        <v>39</v>
      </c>
      <c r="BG44" s="72">
        <v>0</v>
      </c>
      <c r="BH44" s="73" t="str">
        <f>VLOOKUP(B44,'[2]Bang luong_06'!$B$9:$C$333,2,0)</f>
        <v>Lâm Hoàng Tấn</v>
      </c>
      <c r="BI44" s="74" t="s">
        <v>105</v>
      </c>
      <c r="BJ44" s="75" t="str">
        <f>VLOOKUP($B44,'[2]Bang luong_06'!$B$10:$C$333,2,0)</f>
        <v>Lâm Hoàng Tấn</v>
      </c>
      <c r="BK44" s="76" t="b">
        <f>BJ44=C44</f>
        <v>1</v>
      </c>
      <c r="BM44" s="77">
        <f>+VLOOKUP(B44,'[2]Thưởng Lễ 2-9'!B37:G327,6,0)</f>
        <v>0</v>
      </c>
      <c r="BN44" s="75">
        <f>ROUND(($BN$12-D44)/30,0)</f>
        <v>85</v>
      </c>
      <c r="BO44" s="76" t="str">
        <f>+VLOOKUP(B44,'[2]Bang luong_06'!B45:D359,3,0)</f>
        <v>CNSX</v>
      </c>
      <c r="BP44" s="76" t="s">
        <v>40</v>
      </c>
      <c r="BQ44" s="76">
        <v>3</v>
      </c>
      <c r="BR44" s="76">
        <f t="shared" si="4"/>
        <v>6</v>
      </c>
    </row>
    <row r="45" spans="1:70" s="76" customFormat="1" ht="31.5" customHeight="1" x14ac:dyDescent="0.25">
      <c r="A45" s="33">
        <f t="shared" si="24"/>
        <v>29</v>
      </c>
      <c r="B45" s="33" t="s">
        <v>108</v>
      </c>
      <c r="C45" s="55" t="s">
        <v>109</v>
      </c>
      <c r="D45" s="56">
        <v>43522.672260844898</v>
      </c>
      <c r="E45" s="57" t="s">
        <v>38</v>
      </c>
      <c r="F45" s="86" t="s">
        <v>38</v>
      </c>
      <c r="G45" s="57" t="s">
        <v>38</v>
      </c>
      <c r="H45" s="57" t="s">
        <v>38</v>
      </c>
      <c r="I45" s="57" t="s">
        <v>107</v>
      </c>
      <c r="J45" s="57" t="s">
        <v>506</v>
      </c>
      <c r="K45" s="57" t="s">
        <v>37</v>
      </c>
      <c r="L45" s="57" t="s">
        <v>37</v>
      </c>
      <c r="M45" s="57" t="s">
        <v>37</v>
      </c>
      <c r="N45" s="57" t="s">
        <v>37</v>
      </c>
      <c r="O45" s="57" t="s">
        <v>37</v>
      </c>
      <c r="P45" s="57" t="s">
        <v>37</v>
      </c>
      <c r="Q45" s="57" t="s">
        <v>507</v>
      </c>
      <c r="R45" s="57" t="s">
        <v>37</v>
      </c>
      <c r="S45" s="57" t="s">
        <v>510</v>
      </c>
      <c r="T45" s="57" t="s">
        <v>37</v>
      </c>
      <c r="U45" s="57" t="s">
        <v>37</v>
      </c>
      <c r="V45" s="57" t="s">
        <v>37</v>
      </c>
      <c r="W45" s="57" t="s">
        <v>37</v>
      </c>
      <c r="X45" s="57"/>
      <c r="Y45" s="57" t="s">
        <v>37</v>
      </c>
      <c r="Z45" s="57"/>
      <c r="AA45" s="57"/>
      <c r="AB45" s="57"/>
      <c r="AC45" s="57"/>
      <c r="AD45" s="57"/>
      <c r="AE45" s="57"/>
      <c r="AF45" s="100"/>
      <c r="AG45" s="85"/>
      <c r="AH45" s="57"/>
      <c r="AI45" s="57"/>
      <c r="AJ45" s="58">
        <v>10110504</v>
      </c>
      <c r="AK45" s="59">
        <v>12</v>
      </c>
      <c r="AL45" s="60">
        <f t="shared" si="45"/>
        <v>4</v>
      </c>
      <c r="AM45" s="61">
        <f t="shared" si="46"/>
        <v>12</v>
      </c>
      <c r="AN45" s="62">
        <f t="shared" si="47"/>
        <v>16</v>
      </c>
      <c r="AO45" s="62">
        <f t="shared" si="48"/>
        <v>1</v>
      </c>
      <c r="AP45" s="62">
        <f t="shared" si="49"/>
        <v>0</v>
      </c>
      <c r="AQ45" s="63">
        <f t="shared" si="50"/>
        <v>0</v>
      </c>
      <c r="AR45" s="62">
        <f t="shared" si="51"/>
        <v>0</v>
      </c>
      <c r="AS45" s="62">
        <f t="shared" si="52"/>
        <v>0</v>
      </c>
      <c r="AT45" s="64"/>
      <c r="AU45" s="64"/>
      <c r="AV45" s="65">
        <f t="shared" si="53"/>
        <v>12</v>
      </c>
      <c r="AW45" s="65">
        <f t="shared" si="54"/>
        <v>12</v>
      </c>
      <c r="AX45" s="64"/>
      <c r="AY45" s="101"/>
      <c r="AZ45" s="80"/>
      <c r="BA45" s="66">
        <f t="shared" si="55"/>
        <v>17</v>
      </c>
      <c r="BB45" s="67"/>
      <c r="BC45" s="68"/>
      <c r="BD45" s="69">
        <f>VLOOKUP($B45,[1]CN!$B$9:$DK$221,114,0)</f>
        <v>5</v>
      </c>
      <c r="BE45" s="70">
        <f t="shared" si="56"/>
        <v>27</v>
      </c>
      <c r="BF45" s="71" t="s">
        <v>39</v>
      </c>
      <c r="BG45" s="72" t="s">
        <v>34</v>
      </c>
      <c r="BH45" s="73" t="str">
        <f>VLOOKUP(B45,'[2]Bang luong_06'!$B$9:$C$333,2,0)</f>
        <v>Tạ Thành Đạt</v>
      </c>
      <c r="BI45" s="74" t="s">
        <v>108</v>
      </c>
      <c r="BJ45" s="75" t="str">
        <f>VLOOKUP($B45,'[2]Bang luong_06'!$B$10:$C$333,2,0)</f>
        <v>Tạ Thành Đạt</v>
      </c>
      <c r="BK45" s="76" t="b">
        <f t="shared" ref="BK45:BK48" si="57">BJ45=C45</f>
        <v>1</v>
      </c>
      <c r="BM45" s="77">
        <f>+VLOOKUP(B45,'[2]Thưởng Lễ 2-9'!B36:G326,6,0)</f>
        <v>0</v>
      </c>
      <c r="BN45" s="75">
        <f t="shared" ref="BN45:BN48" si="58">ROUND(($BN$12-D45)/30,0)</f>
        <v>67</v>
      </c>
      <c r="BO45" s="76" t="str">
        <f>+VLOOKUP(B45,'[2]Bang luong_06'!B45:D358,3,0)</f>
        <v>CNSX</v>
      </c>
      <c r="BP45" s="76" t="s">
        <v>40</v>
      </c>
      <c r="BQ45" s="76">
        <v>-1</v>
      </c>
      <c r="BR45" s="76">
        <f t="shared" si="4"/>
        <v>4</v>
      </c>
    </row>
    <row r="46" spans="1:70" s="76" customFormat="1" ht="31.5" customHeight="1" x14ac:dyDescent="0.25">
      <c r="A46" s="33">
        <f t="shared" si="24"/>
        <v>30</v>
      </c>
      <c r="B46" s="78" t="s">
        <v>110</v>
      </c>
      <c r="C46" s="55" t="s">
        <v>111</v>
      </c>
      <c r="D46" s="79">
        <v>42850</v>
      </c>
      <c r="E46" s="86" t="s">
        <v>37</v>
      </c>
      <c r="F46" s="86" t="s">
        <v>37</v>
      </c>
      <c r="G46" s="57" t="s">
        <v>37</v>
      </c>
      <c r="H46" s="57" t="s">
        <v>37</v>
      </c>
      <c r="I46" s="57" t="s">
        <v>37</v>
      </c>
      <c r="J46" s="57"/>
      <c r="K46" s="57" t="s">
        <v>38</v>
      </c>
      <c r="L46" s="57" t="s">
        <v>38</v>
      </c>
      <c r="M46" s="57" t="s">
        <v>38</v>
      </c>
      <c r="N46" s="57" t="s">
        <v>38</v>
      </c>
      <c r="O46" s="57" t="s">
        <v>38</v>
      </c>
      <c r="P46" s="57" t="s">
        <v>38</v>
      </c>
      <c r="Q46" s="57"/>
      <c r="R46" s="57" t="s">
        <v>38</v>
      </c>
      <c r="S46" s="57" t="s">
        <v>38</v>
      </c>
      <c r="T46" s="57" t="s">
        <v>38</v>
      </c>
      <c r="U46" s="57" t="s">
        <v>38</v>
      </c>
      <c r="V46" s="57" t="s">
        <v>38</v>
      </c>
      <c r="W46" s="57" t="s">
        <v>38</v>
      </c>
      <c r="X46" s="57"/>
      <c r="Y46" s="57" t="s">
        <v>37</v>
      </c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8">
        <v>10110504</v>
      </c>
      <c r="AK46" s="59">
        <v>12</v>
      </c>
      <c r="AL46" s="60">
        <f t="shared" si="45"/>
        <v>12</v>
      </c>
      <c r="AM46" s="61">
        <f t="shared" si="46"/>
        <v>6</v>
      </c>
      <c r="AN46" s="62">
        <f t="shared" si="47"/>
        <v>18</v>
      </c>
      <c r="AO46" s="62">
        <f t="shared" si="48"/>
        <v>0</v>
      </c>
      <c r="AP46" s="62">
        <f t="shared" si="49"/>
        <v>0</v>
      </c>
      <c r="AQ46" s="63">
        <f t="shared" si="50"/>
        <v>0</v>
      </c>
      <c r="AR46" s="62">
        <f t="shared" si="51"/>
        <v>0</v>
      </c>
      <c r="AS46" s="62">
        <f t="shared" si="52"/>
        <v>0</v>
      </c>
      <c r="AT46" s="64"/>
      <c r="AU46" s="64"/>
      <c r="AV46" s="65">
        <f t="shared" si="53"/>
        <v>0</v>
      </c>
      <c r="AW46" s="65">
        <f t="shared" si="54"/>
        <v>0</v>
      </c>
      <c r="AX46" s="64"/>
      <c r="AY46" s="64"/>
      <c r="AZ46" s="80"/>
      <c r="BA46" s="66">
        <f t="shared" si="55"/>
        <v>18</v>
      </c>
      <c r="BB46" s="67"/>
      <c r="BC46" s="68"/>
      <c r="BD46" s="69">
        <f>VLOOKUP($B46,[1]CN!$B$9:$DK$221,114,0)</f>
        <v>4</v>
      </c>
      <c r="BE46" s="70">
        <f t="shared" si="56"/>
        <v>27</v>
      </c>
      <c r="BF46" s="71" t="s">
        <v>39</v>
      </c>
      <c r="BG46" s="72" t="s">
        <v>34</v>
      </c>
      <c r="BH46" s="73" t="str">
        <f>VLOOKUP(B46,'[2]Bang luong_06'!$B$9:$C$333,2,0)</f>
        <v>Chau Ra</v>
      </c>
      <c r="BI46" s="74" t="s">
        <v>110</v>
      </c>
      <c r="BJ46" s="75" t="str">
        <f>VLOOKUP($B46,'[2]Bang luong_06'!$B$10:$C$333,2,0)</f>
        <v>Chau Ra</v>
      </c>
      <c r="BK46" s="76" t="b">
        <f>BJ46=C46</f>
        <v>1</v>
      </c>
      <c r="BM46" s="77">
        <f>+VLOOKUP(B46,'[2]Thưởng Lễ 2-9'!B34:G324,6,0)</f>
        <v>0</v>
      </c>
      <c r="BN46" s="75">
        <f>ROUND(($BN$12-D46)/30,0)</f>
        <v>90</v>
      </c>
      <c r="BO46" s="76" t="str">
        <f>+VLOOKUP(B46,'[2]Bang luong_06'!B44:D356,3,0)</f>
        <v>CNSX</v>
      </c>
      <c r="BP46" s="76" t="s">
        <v>40</v>
      </c>
      <c r="BQ46" s="76">
        <v>10</v>
      </c>
      <c r="BR46" s="76">
        <f t="shared" si="4"/>
        <v>12</v>
      </c>
    </row>
    <row r="47" spans="1:70" s="76" customFormat="1" ht="31.5" customHeight="1" x14ac:dyDescent="0.25">
      <c r="A47" s="33">
        <f t="shared" si="24"/>
        <v>31</v>
      </c>
      <c r="B47" s="78" t="s">
        <v>112</v>
      </c>
      <c r="C47" s="55" t="s">
        <v>113</v>
      </c>
      <c r="D47" s="79">
        <v>43179</v>
      </c>
      <c r="E47" s="57" t="s">
        <v>37</v>
      </c>
      <c r="F47" s="86" t="s">
        <v>37</v>
      </c>
      <c r="G47" s="57" t="s">
        <v>37</v>
      </c>
      <c r="H47" s="102" t="s">
        <v>37</v>
      </c>
      <c r="I47" s="57" t="s">
        <v>37</v>
      </c>
      <c r="J47" s="57"/>
      <c r="K47" s="57" t="s">
        <v>38</v>
      </c>
      <c r="L47" s="57" t="s">
        <v>38</v>
      </c>
      <c r="M47" s="102" t="s">
        <v>38</v>
      </c>
      <c r="N47" s="57" t="s">
        <v>38</v>
      </c>
      <c r="O47" s="102" t="s">
        <v>38</v>
      </c>
      <c r="P47" s="57" t="s">
        <v>38</v>
      </c>
      <c r="Q47" s="57" t="s">
        <v>506</v>
      </c>
      <c r="R47" s="103" t="s">
        <v>38</v>
      </c>
      <c r="S47" s="57" t="s">
        <v>38</v>
      </c>
      <c r="T47" s="102" t="s">
        <v>38</v>
      </c>
      <c r="U47" s="57" t="s">
        <v>38</v>
      </c>
      <c r="V47" s="57" t="s">
        <v>38</v>
      </c>
      <c r="W47" s="57" t="s">
        <v>38</v>
      </c>
      <c r="X47" s="57" t="s">
        <v>507</v>
      </c>
      <c r="Y47" s="57" t="s">
        <v>37</v>
      </c>
      <c r="Z47" s="57"/>
      <c r="AA47" s="57"/>
      <c r="AB47" s="57"/>
      <c r="AC47" s="57"/>
      <c r="AD47" s="57"/>
      <c r="AE47" s="57"/>
      <c r="AF47" s="100"/>
      <c r="AG47" s="57"/>
      <c r="AH47" s="57"/>
      <c r="AI47" s="57"/>
      <c r="AJ47" s="58">
        <v>10110504</v>
      </c>
      <c r="AK47" s="59">
        <v>12</v>
      </c>
      <c r="AL47" s="60">
        <f t="shared" si="45"/>
        <v>12</v>
      </c>
      <c r="AM47" s="61">
        <f t="shared" si="46"/>
        <v>6</v>
      </c>
      <c r="AN47" s="62">
        <f t="shared" si="47"/>
        <v>18</v>
      </c>
      <c r="AO47" s="62">
        <f t="shared" si="48"/>
        <v>0</v>
      </c>
      <c r="AP47" s="62">
        <f t="shared" si="49"/>
        <v>0</v>
      </c>
      <c r="AQ47" s="63">
        <f t="shared" si="50"/>
        <v>0</v>
      </c>
      <c r="AR47" s="62">
        <f t="shared" si="51"/>
        <v>0</v>
      </c>
      <c r="AS47" s="62">
        <f t="shared" si="52"/>
        <v>0</v>
      </c>
      <c r="AT47" s="64"/>
      <c r="AU47" s="64"/>
      <c r="AV47" s="65">
        <f t="shared" si="53"/>
        <v>12</v>
      </c>
      <c r="AW47" s="65">
        <f t="shared" si="54"/>
        <v>12</v>
      </c>
      <c r="AX47" s="104"/>
      <c r="AY47" s="64"/>
      <c r="AZ47" s="80"/>
      <c r="BA47" s="66">
        <f t="shared" si="55"/>
        <v>18</v>
      </c>
      <c r="BB47" s="67"/>
      <c r="BC47" s="94"/>
      <c r="BD47" s="69">
        <f>VLOOKUP($B47,[1]CN!$B$9:$DK$221,114,0)</f>
        <v>2</v>
      </c>
      <c r="BE47" s="70">
        <f t="shared" si="56"/>
        <v>27</v>
      </c>
      <c r="BF47" s="71" t="s">
        <v>39</v>
      </c>
      <c r="BG47" s="72" t="s">
        <v>34</v>
      </c>
      <c r="BH47" s="73" t="str">
        <f>VLOOKUP(B47,'[2]Bang luong_06'!$B$9:$C$333,2,0)</f>
        <v>Lê Minh Chung</v>
      </c>
      <c r="BI47" s="74" t="s">
        <v>112</v>
      </c>
      <c r="BJ47" s="75" t="str">
        <f>VLOOKUP($B47,'[2]Bang luong_06'!$B$10:$C$333,2,0)</f>
        <v>Lê Minh Chung</v>
      </c>
      <c r="BK47" s="76" t="b">
        <f t="shared" si="57"/>
        <v>1</v>
      </c>
      <c r="BM47" s="77">
        <f>+VLOOKUP(B47,'[2]Thưởng Lễ 2-9'!B38:G328,6,0)</f>
        <v>0</v>
      </c>
      <c r="BN47" s="75">
        <f t="shared" si="58"/>
        <v>79</v>
      </c>
      <c r="BO47" s="76" t="str">
        <f>+VLOOKUP(B47,'[2]Bang luong_06'!B45:D360,3,0)</f>
        <v>CNSX</v>
      </c>
      <c r="BP47" s="76" t="s">
        <v>40</v>
      </c>
      <c r="BQ47" s="76">
        <v>2.5</v>
      </c>
      <c r="BR47" s="76">
        <f t="shared" si="4"/>
        <v>12</v>
      </c>
    </row>
    <row r="48" spans="1:70" s="76" customFormat="1" ht="31.5" customHeight="1" x14ac:dyDescent="0.25">
      <c r="A48" s="33">
        <f t="shared" si="24"/>
        <v>32</v>
      </c>
      <c r="B48" s="78" t="s">
        <v>114</v>
      </c>
      <c r="C48" s="55" t="s">
        <v>115</v>
      </c>
      <c r="D48" s="79">
        <v>45629</v>
      </c>
      <c r="E48" s="57" t="s">
        <v>38</v>
      </c>
      <c r="F48" s="97" t="s">
        <v>38</v>
      </c>
      <c r="G48" s="97" t="s">
        <v>38</v>
      </c>
      <c r="H48" s="97" t="s">
        <v>38</v>
      </c>
      <c r="I48" s="97" t="s">
        <v>38</v>
      </c>
      <c r="J48" s="97"/>
      <c r="K48" s="97" t="s">
        <v>37</v>
      </c>
      <c r="L48" s="97" t="s">
        <v>37</v>
      </c>
      <c r="M48" s="97" t="s">
        <v>37</v>
      </c>
      <c r="N48" s="97" t="s">
        <v>37</v>
      </c>
      <c r="O48" s="97" t="s">
        <v>37</v>
      </c>
      <c r="P48" s="97" t="s">
        <v>37</v>
      </c>
      <c r="Q48" s="97" t="s">
        <v>507</v>
      </c>
      <c r="R48" s="97" t="s">
        <v>37</v>
      </c>
      <c r="S48" s="97" t="s">
        <v>37</v>
      </c>
      <c r="T48" s="97" t="s">
        <v>37</v>
      </c>
      <c r="U48" s="97" t="s">
        <v>37</v>
      </c>
      <c r="V48" s="97" t="s">
        <v>37</v>
      </c>
      <c r="W48" s="97" t="s">
        <v>37</v>
      </c>
      <c r="X48" s="9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8">
        <v>10110504</v>
      </c>
      <c r="AK48" s="59">
        <v>12</v>
      </c>
      <c r="AL48" s="60">
        <f t="shared" si="45"/>
        <v>5</v>
      </c>
      <c r="AM48" s="61">
        <f t="shared" si="46"/>
        <v>12</v>
      </c>
      <c r="AN48" s="62">
        <f t="shared" si="47"/>
        <v>17</v>
      </c>
      <c r="AO48" s="62">
        <f t="shared" si="48"/>
        <v>0</v>
      </c>
      <c r="AP48" s="62">
        <f t="shared" si="49"/>
        <v>0</v>
      </c>
      <c r="AQ48" s="63">
        <f t="shared" si="50"/>
        <v>0</v>
      </c>
      <c r="AR48" s="62">
        <f t="shared" si="51"/>
        <v>0</v>
      </c>
      <c r="AS48" s="62">
        <f t="shared" si="52"/>
        <v>0</v>
      </c>
      <c r="AT48" s="64"/>
      <c r="AU48" s="64"/>
      <c r="AV48" s="65">
        <f t="shared" si="53"/>
        <v>0</v>
      </c>
      <c r="AW48" s="65">
        <f t="shared" si="54"/>
        <v>12</v>
      </c>
      <c r="AX48" s="64"/>
      <c r="AY48" s="64"/>
      <c r="AZ48" s="80"/>
      <c r="BA48" s="66">
        <f t="shared" si="55"/>
        <v>17</v>
      </c>
      <c r="BB48" s="67"/>
      <c r="BC48" s="68"/>
      <c r="BD48" s="69">
        <f>VLOOKUP($B48,[1]CN!$B$9:$DK$221,114,0)</f>
        <v>3</v>
      </c>
      <c r="BE48" s="70">
        <f t="shared" si="56"/>
        <v>27</v>
      </c>
      <c r="BF48" s="71" t="s">
        <v>92</v>
      </c>
      <c r="BG48" s="72" t="s">
        <v>34</v>
      </c>
      <c r="BH48" s="73" t="str">
        <f>VLOOKUP(B48,'[2]Bang luong_06'!$B$9:$C$333,2,0)</f>
        <v>Giáp Văn Thảo</v>
      </c>
      <c r="BI48" s="74" t="s">
        <v>116</v>
      </c>
      <c r="BJ48" s="75" t="str">
        <f>VLOOKUP($B48,'[2]Bang luong_06'!$B$10:$C$333,2,0)</f>
        <v>Giáp Văn Thảo</v>
      </c>
      <c r="BK48" s="76" t="b">
        <f t="shared" si="57"/>
        <v>1</v>
      </c>
      <c r="BM48" s="77" t="e">
        <f>+VLOOKUP(B48,'[2]Thưởng Lễ 2-9'!B39:G329,6,0)</f>
        <v>#N/A</v>
      </c>
      <c r="BN48" s="75">
        <f t="shared" si="58"/>
        <v>-3</v>
      </c>
      <c r="BO48" s="76" t="str">
        <f>+VLOOKUP(B48,'[2]Bang luong_06'!B45:D361,3,0)</f>
        <v>CNSX</v>
      </c>
      <c r="BP48" s="76" t="s">
        <v>40</v>
      </c>
      <c r="BQ48" s="76">
        <v>1</v>
      </c>
      <c r="BR48" s="76">
        <f>COUNTIF(D48:AI48,"N")+COUNTIF(D48:AI48,"N1")*1/AK48+COUNTIF(D48:AI48,"N2")*2/AK48+COUNTIF(D48:AI48,"N3")*3/AK48+COUNTIF(D48:AI48,"N4")*4/AK48+COUNTIF(D48:AI48,"N5")*5/AK48+COUNTIF(D48:AI48,"N6")*6/AK48+COUNTIF(D48:AI48,"N7")*7/AK48+COUNTIF(D48:AI48,"N8")*8/AK48+COUNTIF(D48:AI48,"N9")*9/AK48+COUNTIF(D48:AI48,"N10")*10/AK48+COUNTIF(D48:AI48,"N11")*11/AK48+COUNTIF(D48:AI48,"N12")*12/AK48+COUNTIF(D48:AI48,"Ro1")*1/AK48+COUNTIF(D48:AI48,"Ro2")*2/AK48+COUNTIF(D48:AI48,"Ro3")*3/AK48+COUNTIF(D48:AI48,"Ro3.0")*3/AK48+COUNTIF(D48:AI48,"Ro4")*4/AK48+COUNTIF(D48:AI48,"Ro4.0")*4/AK48+COUNTIF(D48:AI48,"Ro4.5")*4.5/AK48+COUNTIF(D48:AI48,"Ro5")*5/AK48+COUNTIF(D48:AI48,"Ro5.0")*5/AK48+COUNTIF(D48:AI48,"Ro5.5")*5.5/AK48+COUNTIF(D48:AI48,"Ro6")*6/AK48+COUNTIF(D48:AI48,"Ro7")*7/AK48+COUNTIF(D48:AI48,"Ro8")*8/AK48+COUNTIF(D48:AI48,"Ro8.0")*8/AK48+COUNTIF(D48:AI48,"Ro8.3")*8.3/AK48+COUNTIF(D48:AI48,"Ro8.5")*8.5/AK48+COUNTIF(D48:AI48,"Ro9")*9/AK48+COUNTIF(D48:AI48,"Ro9.5")*9.5/AK48+COUNTIF(D48:AI48,"Ro10")*10/AK48+COUNTIF(D48:AI48,"Ro10.0")*10/AK48+COUNTIF(D48:AI48,"Ro10.5")*10.5/AK48+COUNTIF(D48:AI48,"Ro11")*11/AK48+COUNTIF(D48:AI48,"Ro11.0")*11/AK48+COUNTIF(D48:AI48,"Ro11.5")*11.5/AK48+COUNTIF(D48:AI48,"P2")*0.5</f>
        <v>5</v>
      </c>
    </row>
    <row r="49" spans="1:70" s="84" customFormat="1" ht="31.5" customHeight="1" x14ac:dyDescent="0.25">
      <c r="A49" s="33" t="str">
        <f t="shared" si="24"/>
        <v/>
      </c>
      <c r="B49" s="46"/>
      <c r="C49" s="46" t="s">
        <v>117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81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82"/>
      <c r="BE49" s="46"/>
      <c r="BF49" s="96" t="s">
        <v>104</v>
      </c>
      <c r="BG49" s="92" t="s">
        <v>34</v>
      </c>
      <c r="BH49" s="73"/>
      <c r="BI49" s="73"/>
      <c r="BJ49" s="75"/>
      <c r="BK49" s="76"/>
      <c r="BM49" s="77"/>
      <c r="BN49" s="75"/>
      <c r="BO49" s="76"/>
      <c r="BP49" s="76"/>
      <c r="BQ49" s="76"/>
      <c r="BR49" s="76" t="e">
        <f t="shared" si="4"/>
        <v>#DIV/0!</v>
      </c>
    </row>
    <row r="50" spans="1:70" s="76" customFormat="1" ht="31.5" customHeight="1" x14ac:dyDescent="0.25">
      <c r="A50" s="33">
        <f t="shared" si="24"/>
        <v>33</v>
      </c>
      <c r="B50" s="78" t="s">
        <v>118</v>
      </c>
      <c r="C50" s="55" t="s">
        <v>119</v>
      </c>
      <c r="D50" s="79">
        <v>43227</v>
      </c>
      <c r="E50" s="57" t="s">
        <v>38</v>
      </c>
      <c r="F50" s="86" t="s">
        <v>38</v>
      </c>
      <c r="G50" s="57" t="s">
        <v>38</v>
      </c>
      <c r="H50" s="57" t="s">
        <v>38</v>
      </c>
      <c r="I50" s="57" t="s">
        <v>38</v>
      </c>
      <c r="J50" s="57"/>
      <c r="K50" s="57" t="s">
        <v>38</v>
      </c>
      <c r="L50" s="57" t="s">
        <v>38</v>
      </c>
      <c r="M50" s="57" t="s">
        <v>38</v>
      </c>
      <c r="N50" s="57" t="s">
        <v>38</v>
      </c>
      <c r="O50" s="57" t="s">
        <v>38</v>
      </c>
      <c r="P50" s="57" t="s">
        <v>38</v>
      </c>
      <c r="Q50" s="57" t="s">
        <v>506</v>
      </c>
      <c r="R50" s="57" t="s">
        <v>38</v>
      </c>
      <c r="S50" s="57" t="s">
        <v>38</v>
      </c>
      <c r="T50" s="57" t="s">
        <v>38</v>
      </c>
      <c r="U50" s="57" t="s">
        <v>38</v>
      </c>
      <c r="V50" s="57" t="s">
        <v>38</v>
      </c>
      <c r="W50" s="57" t="s">
        <v>38</v>
      </c>
      <c r="X50" s="57" t="s">
        <v>506</v>
      </c>
      <c r="Y50" s="57" t="s">
        <v>38</v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8">
        <v>10110507</v>
      </c>
      <c r="AK50" s="59">
        <v>12</v>
      </c>
      <c r="AL50" s="60">
        <f t="shared" ref="AL50:AL113" si="59">COUNTIF(D50:AI50,"N")+COUNTIF(D50:AI50,"N1")*1/AK50+COUNTIF(D50:AI50,"N2")*2/AK50+COUNTIF(D50:AI50,"N3")*3/AK50+COUNTIF(D50:AI50,"N4")*4/AK50+COUNTIF(D50:AI50,"N5")*5/AK50+COUNTIF(D50:AI50,"N6")*6/AK50+COUNTIF(D50:AI50,"N7")*7/AK50+COUNTIF(D50:AI50,"N8")*8/AK50+COUNTIF(D50:AI50,"N9")*9/AK50+COUNTIF(D50:AI50,"N10")*10/AK50+COUNTIF(D50:AI50,"N11")*11/AK50+COUNTIF(D50:AI50,"N12")*12/AK50+COUNTIF(D50:AI50,"Ro1")*1/AK50+COUNTIF(D50:AI50,"Ro2")*2/AK50+COUNTIF(D50:AI50,"Ro3")*3/AK50+COUNTIF(D50:AI50,"Ro3.0")*3/AK50+COUNTIF(D50:AI50,"Ro4")*4/AK50+COUNTIF(D50:AI50,"Ro4.0")*4/AK50+COUNTIF(D50:AI50,"Ro4.5")*4.5/AK50+COUNTIF(D50:AI50,"Ro5")*5/AK50+COUNTIF(D50:AI50,"Ro5.0")*5/AK50+COUNTIF(D50:AI50,"Ro5.5")*5.5/AK50+COUNTIF(D50:AI50,"Ro6")*6/AK50+COUNTIF(D50:AI50,"Ro7")*7/AK50+COUNTIF(D50:AI50,"Ro8")*8/AK50+COUNTIF(D50:AI50,"Ro8.0")*8/AK50+COUNTIF(D50:AI50,"Ro8.3")*8.3/AK50+COUNTIF(D50:AI50,"Ro8.5")*8.5/AK50+COUNTIF(D50:AI50,"Ro9")*9/AK50+COUNTIF(D50:AI50,"Ro9.5")*9.5/AK50+COUNTIF(D50:AI50,"Ro10")*10/AK50+COUNTIF(D50:AI50,"Ro10.0")*10/AK50+COUNTIF(D50:AI50,"Ro10.5")*10.5/AK50+COUNTIF(D50:AI50,"Ro11")*11/AK50+COUNTIF(D50:AI50,"Ro11.0")*11/AK50+COUNTIF(D50:AI50,"Ro11.5")*11.5/AK50+COUNTIF(D50:AI50,"Bu1")+COUNTIF(D50:AI50,"Bu2")+COUNTIF(D50:AI50,"Bu3")+COUNTIF(D50:AI50,"Bu4")+COUNTIF(D50:AI50,"Bu5")+COUNTIF(D50:AI50,"Bu6")+COUNTIF(D50:AI50,"Bu7")+COUNTIF(D50:AI50,"Bu8")+COUNTIF(D50:AI50,"Bu9")+COUNTIF(D50:AI50,"Bu10")+COUNTIF(D50:AI50,"Bu11")+COUNTIF(D50:AI50,"Bu")+COUNTIF(D50:AI50,"P2")*0.5</f>
        <v>18</v>
      </c>
      <c r="AM50" s="61">
        <f t="shared" ref="AM50:AM113" si="60">COUNTIF(E50:AI50,"D")+COUNTIF(E50:AI50,"D1")*1/AK50+COUNTIF(E50:AI50,"D2")*2/AK50+COUNTIF(E50:AI50,"D3")*3/AK50+COUNTIF(E50:AI50,"D4")*4/AK50+COUNTIF(E50:AI50,"D5")*5/AK50+COUNTIF(E50:AI50,"D6")*6/AK50+COUNTIF(E50:AI50,"D7")*7/AK50+COUNTIF(E50:AI50,"D8")*8/AK50+COUNTIF(E50:AI50,"D9")*9/AK50+COUNTIF(E50:AI50,"D10")*10/AK50+COUNTIF(E50:AI50,"D11")*11/AK50+COUNTIF(E50:AI50,"D12")*12/AK50</f>
        <v>0</v>
      </c>
      <c r="AN50" s="62">
        <f t="shared" ref="AN50:AN96" si="61">+AL50+AM50</f>
        <v>18</v>
      </c>
      <c r="AO50" s="62">
        <f t="shared" ref="AO50:AO64" si="62">COUNTIF(E50:AI50,"p")+COUNTIF(E50:AI50,"p1")/2+COUNTIF(E50:AI50,"p2")/2</f>
        <v>0</v>
      </c>
      <c r="AP50" s="62">
        <f t="shared" ref="AP50:AP64" si="63">COUNTIF(E50:AI50,"K")</f>
        <v>0</v>
      </c>
      <c r="AQ50" s="63">
        <f t="shared" ref="AQ50:AQ64" si="64">COUNTIF(E50:AI50,"Ro")+COUNTIF(E50:AI50,"Ro1")*11/AK50+COUNTIF(E50:AI50,"Ro2")*10/AK50+COUNTIF(E50:AI50,"Ro3")*9/AK50+COUNTIF(E50:AI50,"Ro3.0")*9/AK50+COUNTIF(E50:AI50,"Ro4")*8/AK50+COUNTIF(E50:AI50,"Ro4.0")*8/AK50+COUNTIF(E50:AI50,"Ro4.5")*7.5/AK50+COUNTIF(E50:AI50,"Ro5")*7/AK50+COUNTIF(E50:AI50,"Ro5.0")*7/AK50+COUNTIF(E50:AI50,"Ro5.5")*6.5/AK50+COUNTIF(E50:AI50,"Ro6")*6/AK50+COUNTIF(E50:AI50,"Ro7")*5/AK50+COUNTIF(E50:AI50,"Ro8")*4/AK50+COUNTIF(E50:AI50,"Ro8.0")*4/AK50+COUNTIF(E50:AI50,"Ro8.3")*3.7/AK50+COUNTIF(E50:AI50,"Ro8.5")*3.5/AK50+COUNTIF(E50:AI50,"Ro9")*3/AK50+COUNTIF(E50:AI50,"Ro10")*2/AK50+COUNTIF(E50:AI50,"Ro10.0")*2/AK50+COUNTIF(E50:AI50,"Ro10.5")*1.5/AK50+COUNTIF(E50:AI50,"Ro11.0")*1/AK50+COUNTIF(E50:AI50,"Ro11")*1/AK50+COUNTIF(E50:AI50,"Ro11.5")*0.5/AK50+COUNTIF(E50:AI50,"N1")*11/AK50+COUNTIF(E50:AI50,"N2")*10/AK50+COUNTIF(E50:AI50,"N3")*9/AK50+COUNTIF(E50:AI50,"N4")*8/AK50+COUNTIF(E50:AI50,"N5")*7/AK50+COUNTIF(E50:AI50,"N6")*6/AK50+COUNTIF(E50:AI50,"N7")*5/AK50+COUNTIF(E50:AI50,"N8")*4/AK50+COUNTIF(E50:AI50,"N9")*3/AK50+COUNTIF(E50:AI50,"N10")*2/AK50+COUNTIF(E50:AI50,"N11")*1/AK50+COUNTIF(E50:AI50,"D1")*11/AK50+COUNTIF(E50:AI50,"D2")*10/AK50+COUNTIF(E50:AI50,"D3")*9/AK50+COUNTIF(E50:AI50,"D4")*8/AK50+COUNTIF(E50:AI50,"D5")*7/AK50+COUNTIF(E50:AI50,"D6")*6/AK50+COUNTIF(E50:AI50,"D7")*5/AK50+COUNTIF(E50:AI50,"D8")*4/AK50+COUNTIF(E50:AI50,"D9")*3/AK50+COUNTIF(E50:AI50,"D10")*2/AK50+COUNTIF(E50:AI50,"D11")*1/AK50+COUNTIF(E50:AI50,"P1")*0.5</f>
        <v>0</v>
      </c>
      <c r="AR50" s="62">
        <f t="shared" ref="AR50:AR64" si="65">COUNTIF(E50:AI50,"R")</f>
        <v>0</v>
      </c>
      <c r="AS50" s="62">
        <f t="shared" ref="AS50:AS64" si="66">COUNTIF(E50:AI50,"L")</f>
        <v>0</v>
      </c>
      <c r="AT50" s="64"/>
      <c r="AU50" s="64"/>
      <c r="AV50" s="65">
        <f t="shared" ref="AV50:AV113" si="67">COUNTIF(E50:AI50,"12N")*12</f>
        <v>24</v>
      </c>
      <c r="AW50" s="65">
        <f t="shared" ref="AW50:AW113" si="68">COUNTIF(F50:AI50,"12D")*12</f>
        <v>0</v>
      </c>
      <c r="AX50" s="64"/>
      <c r="AY50" s="64"/>
      <c r="AZ50" s="80"/>
      <c r="BA50" s="66">
        <f t="shared" ref="BA50:BA113" si="69">+AN50+AR50+AS50+AO50</f>
        <v>18</v>
      </c>
      <c r="BB50" s="67"/>
      <c r="BC50" s="68"/>
      <c r="BD50" s="69">
        <f>VLOOKUP($B50,[1]CN!$B$9:$DK$221,114,0)</f>
        <v>2</v>
      </c>
      <c r="BE50" s="70">
        <f t="shared" ref="BE50:BE113" si="70">+$AI$8-$E$8+1-INT(($AI$8-$E$8-WEEKDAY($AI$8)+8)/7)</f>
        <v>27</v>
      </c>
      <c r="BF50" s="71" t="s">
        <v>39</v>
      </c>
      <c r="BG50" s="72" t="s">
        <v>34</v>
      </c>
      <c r="BH50" s="73" t="str">
        <f>VLOOKUP(B50,'[2]Bang luong_06'!$B$9:$C$333,2,0)</f>
        <v>Trần Thanh Tùng</v>
      </c>
      <c r="BI50" s="74" t="s">
        <v>118</v>
      </c>
      <c r="BJ50" s="75" t="str">
        <f>VLOOKUP($B50,'[2]Bang luong_06'!$B$10:$C$333,2,0)</f>
        <v>Trần Thanh Tùng</v>
      </c>
      <c r="BK50" s="76" t="b">
        <f t="shared" ref="BK50:BK64" si="71">BJ50=C50</f>
        <v>1</v>
      </c>
      <c r="BM50" s="77">
        <f>+VLOOKUP(B50,'[2]Thưởng Lễ 2-9'!B58:G348,6,0)</f>
        <v>0</v>
      </c>
      <c r="BN50" s="75">
        <f t="shared" ref="BN50:BN64" si="72">ROUND(($BN$12-D50)/30,0)</f>
        <v>77</v>
      </c>
      <c r="BO50" s="76" t="str">
        <f>+VLOOKUP(B50,'[2]Bang luong_06'!B53:D380,3,0)</f>
        <v>CNSX</v>
      </c>
      <c r="BP50" s="76" t="s">
        <v>40</v>
      </c>
      <c r="BQ50" s="76">
        <v>7</v>
      </c>
      <c r="BR50" s="76">
        <f t="shared" si="4"/>
        <v>18</v>
      </c>
    </row>
    <row r="51" spans="1:70" s="76" customFormat="1" ht="31.5" customHeight="1" x14ac:dyDescent="0.25">
      <c r="A51" s="33">
        <f t="shared" si="24"/>
        <v>34</v>
      </c>
      <c r="B51" s="78" t="s">
        <v>120</v>
      </c>
      <c r="C51" s="55" t="s">
        <v>121</v>
      </c>
      <c r="D51" s="79">
        <v>42997.7307347569</v>
      </c>
      <c r="E51" s="57" t="s">
        <v>37</v>
      </c>
      <c r="F51" s="86" t="s">
        <v>37</v>
      </c>
      <c r="G51" s="57" t="s">
        <v>37</v>
      </c>
      <c r="H51" s="57" t="s">
        <v>37</v>
      </c>
      <c r="I51" s="57" t="s">
        <v>37</v>
      </c>
      <c r="J51" s="57"/>
      <c r="K51" s="57" t="s">
        <v>38</v>
      </c>
      <c r="L51" s="57" t="s">
        <v>38</v>
      </c>
      <c r="M51" s="57" t="s">
        <v>38</v>
      </c>
      <c r="N51" s="57" t="s">
        <v>38</v>
      </c>
      <c r="O51" s="57" t="s">
        <v>38</v>
      </c>
      <c r="P51" s="57" t="s">
        <v>38</v>
      </c>
      <c r="Q51" s="57"/>
      <c r="R51" s="57" t="s">
        <v>38</v>
      </c>
      <c r="S51" s="57" t="s">
        <v>38</v>
      </c>
      <c r="T51" s="57" t="s">
        <v>38</v>
      </c>
      <c r="U51" s="57" t="s">
        <v>38</v>
      </c>
      <c r="V51" s="57" t="s">
        <v>38</v>
      </c>
      <c r="W51" s="57" t="s">
        <v>38</v>
      </c>
      <c r="X51" s="57" t="s">
        <v>506</v>
      </c>
      <c r="Y51" s="57" t="s">
        <v>37</v>
      </c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8">
        <v>10110507</v>
      </c>
      <c r="AK51" s="59">
        <v>12</v>
      </c>
      <c r="AL51" s="60">
        <f t="shared" si="59"/>
        <v>12</v>
      </c>
      <c r="AM51" s="61">
        <f t="shared" si="60"/>
        <v>6</v>
      </c>
      <c r="AN51" s="62">
        <f t="shared" si="61"/>
        <v>18</v>
      </c>
      <c r="AO51" s="62">
        <f t="shared" si="62"/>
        <v>0</v>
      </c>
      <c r="AP51" s="62">
        <f t="shared" si="63"/>
        <v>0</v>
      </c>
      <c r="AQ51" s="63">
        <f t="shared" si="64"/>
        <v>0</v>
      </c>
      <c r="AR51" s="62">
        <f t="shared" si="65"/>
        <v>0</v>
      </c>
      <c r="AS51" s="62">
        <f t="shared" si="66"/>
        <v>0</v>
      </c>
      <c r="AT51" s="64"/>
      <c r="AU51" s="64"/>
      <c r="AV51" s="65">
        <f t="shared" si="67"/>
        <v>12</v>
      </c>
      <c r="AW51" s="65">
        <f t="shared" si="68"/>
        <v>0</v>
      </c>
      <c r="AX51" s="64"/>
      <c r="AY51" s="64"/>
      <c r="AZ51" s="80"/>
      <c r="BA51" s="66">
        <f t="shared" si="69"/>
        <v>18</v>
      </c>
      <c r="BB51" s="67"/>
      <c r="BC51" s="68"/>
      <c r="BD51" s="69">
        <f>VLOOKUP($B51,[1]CN!$B$9:$DK$221,114,0)</f>
        <v>4</v>
      </c>
      <c r="BE51" s="70">
        <f t="shared" si="70"/>
        <v>27</v>
      </c>
      <c r="BF51" s="71" t="s">
        <v>39</v>
      </c>
      <c r="BG51" s="72">
        <v>0</v>
      </c>
      <c r="BH51" s="73" t="str">
        <f>VLOOKUP(B51,'[2]Bang luong_06'!$B$9:$C$333,2,0)</f>
        <v>Đặng Văn Lẩy</v>
      </c>
      <c r="BI51" s="74" t="s">
        <v>120</v>
      </c>
      <c r="BJ51" s="75" t="str">
        <f>VLOOKUP($B51,'[2]Bang luong_06'!$B$10:$C$333,2,0)</f>
        <v>Đặng Văn Lẩy</v>
      </c>
      <c r="BK51" s="76" t="b">
        <f t="shared" si="71"/>
        <v>1</v>
      </c>
      <c r="BM51" s="77">
        <f>+VLOOKUP(B51,'[2]Thưởng Lễ 2-9'!B46:G336,6,0)</f>
        <v>0</v>
      </c>
      <c r="BN51" s="75">
        <f t="shared" si="72"/>
        <v>85</v>
      </c>
      <c r="BO51" s="76" t="str">
        <f>+VLOOKUP(B51,'[2]Bang luong_06'!B51:D368,3,0)</f>
        <v>CNSX</v>
      </c>
      <c r="BP51" s="76" t="s">
        <v>40</v>
      </c>
      <c r="BQ51" s="76">
        <v>6</v>
      </c>
      <c r="BR51" s="76">
        <f t="shared" si="4"/>
        <v>12</v>
      </c>
    </row>
    <row r="52" spans="1:70" s="76" customFormat="1" ht="31.5" customHeight="1" x14ac:dyDescent="0.25">
      <c r="A52" s="33">
        <f t="shared" si="24"/>
        <v>35</v>
      </c>
      <c r="B52" s="78" t="s">
        <v>122</v>
      </c>
      <c r="C52" s="55" t="s">
        <v>123</v>
      </c>
      <c r="D52" s="79">
        <v>43299</v>
      </c>
      <c r="E52" s="57" t="s">
        <v>37</v>
      </c>
      <c r="F52" s="86" t="s">
        <v>37</v>
      </c>
      <c r="G52" s="57" t="s">
        <v>37</v>
      </c>
      <c r="H52" s="57" t="s">
        <v>37</v>
      </c>
      <c r="I52" s="57" t="s">
        <v>37</v>
      </c>
      <c r="J52" s="57"/>
      <c r="K52" s="57" t="s">
        <v>38</v>
      </c>
      <c r="L52" s="57" t="s">
        <v>38</v>
      </c>
      <c r="M52" s="57" t="s">
        <v>38</v>
      </c>
      <c r="N52" s="57" t="s">
        <v>38</v>
      </c>
      <c r="O52" s="57" t="s">
        <v>38</v>
      </c>
      <c r="P52" s="57" t="s">
        <v>38</v>
      </c>
      <c r="Q52" s="57"/>
      <c r="R52" s="57" t="s">
        <v>38</v>
      </c>
      <c r="S52" s="57" t="s">
        <v>38</v>
      </c>
      <c r="T52" s="57" t="s">
        <v>38</v>
      </c>
      <c r="U52" s="100" t="s">
        <v>38</v>
      </c>
      <c r="V52" s="57" t="s">
        <v>124</v>
      </c>
      <c r="W52" s="57" t="s">
        <v>107</v>
      </c>
      <c r="X52" s="57"/>
      <c r="Y52" s="57" t="s">
        <v>38</v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8">
        <v>10110507</v>
      </c>
      <c r="AK52" s="59">
        <v>12</v>
      </c>
      <c r="AL52" s="60">
        <f t="shared" si="59"/>
        <v>11.916666666666666</v>
      </c>
      <c r="AM52" s="61">
        <f t="shared" si="60"/>
        <v>5</v>
      </c>
      <c r="AN52" s="62">
        <f t="shared" si="61"/>
        <v>16.916666666666664</v>
      </c>
      <c r="AO52" s="62">
        <f t="shared" si="62"/>
        <v>1</v>
      </c>
      <c r="AP52" s="62">
        <f t="shared" si="63"/>
        <v>0</v>
      </c>
      <c r="AQ52" s="63">
        <f t="shared" si="64"/>
        <v>8.3333333333333329E-2</v>
      </c>
      <c r="AR52" s="62">
        <f t="shared" si="65"/>
        <v>0</v>
      </c>
      <c r="AS52" s="62">
        <f t="shared" si="66"/>
        <v>0</v>
      </c>
      <c r="AT52" s="64"/>
      <c r="AU52" s="64"/>
      <c r="AV52" s="65">
        <f t="shared" si="67"/>
        <v>0</v>
      </c>
      <c r="AW52" s="65">
        <f t="shared" si="68"/>
        <v>0</v>
      </c>
      <c r="AX52" s="64"/>
      <c r="AY52" s="64"/>
      <c r="AZ52" s="80"/>
      <c r="BA52" s="66">
        <f t="shared" si="69"/>
        <v>17.916666666666664</v>
      </c>
      <c r="BB52" s="67"/>
      <c r="BC52" s="68"/>
      <c r="BD52" s="69">
        <f>VLOOKUP($B52,[1]CN!$B$9:$DK$221,114,0)</f>
        <v>5</v>
      </c>
      <c r="BE52" s="70">
        <f t="shared" si="70"/>
        <v>27</v>
      </c>
      <c r="BF52" s="71" t="s">
        <v>39</v>
      </c>
      <c r="BG52" s="72">
        <v>0</v>
      </c>
      <c r="BH52" s="73" t="str">
        <f>VLOOKUP(B52,'[2]Bang luong_06'!$B$9:$C$333,2,0)</f>
        <v>Chau Danh Sa Va</v>
      </c>
      <c r="BI52" s="74" t="s">
        <v>122</v>
      </c>
      <c r="BJ52" s="75" t="str">
        <f>VLOOKUP($B52,'[2]Bang luong_06'!$B$10:$C$333,2,0)</f>
        <v>Chau Danh Sa Va</v>
      </c>
      <c r="BK52" s="76" t="b">
        <f t="shared" si="71"/>
        <v>1</v>
      </c>
      <c r="BM52" s="77">
        <f>+VLOOKUP(B52,'[2]Thưởng Lễ 2-9'!B55:G345,6,0)</f>
        <v>0</v>
      </c>
      <c r="BN52" s="75">
        <f t="shared" si="72"/>
        <v>75</v>
      </c>
      <c r="BO52" s="76" t="str">
        <f>+VLOOKUP(B52,'[2]Bang luong_06'!B66:D377,3,0)</f>
        <v>CNSX</v>
      </c>
      <c r="BP52" s="76" t="s">
        <v>40</v>
      </c>
      <c r="BQ52" s="76">
        <v>6</v>
      </c>
      <c r="BR52" s="76">
        <f t="shared" si="4"/>
        <v>11.916666666666666</v>
      </c>
    </row>
    <row r="53" spans="1:70" s="76" customFormat="1" ht="31.5" customHeight="1" x14ac:dyDescent="0.25">
      <c r="A53" s="33">
        <f t="shared" si="24"/>
        <v>36</v>
      </c>
      <c r="B53" s="78" t="s">
        <v>125</v>
      </c>
      <c r="C53" s="55" t="s">
        <v>126</v>
      </c>
      <c r="D53" s="79">
        <v>43564</v>
      </c>
      <c r="E53" s="57" t="s">
        <v>37</v>
      </c>
      <c r="F53" s="86" t="s">
        <v>37</v>
      </c>
      <c r="G53" s="57" t="s">
        <v>37</v>
      </c>
      <c r="H53" s="57" t="s">
        <v>37</v>
      </c>
      <c r="I53" s="57" t="s">
        <v>37</v>
      </c>
      <c r="J53" s="57"/>
      <c r="K53" s="57" t="s">
        <v>38</v>
      </c>
      <c r="L53" s="57" t="s">
        <v>38</v>
      </c>
      <c r="M53" s="57" t="s">
        <v>38</v>
      </c>
      <c r="N53" s="57" t="s">
        <v>38</v>
      </c>
      <c r="O53" s="57" t="s">
        <v>38</v>
      </c>
      <c r="P53" s="57" t="s">
        <v>38</v>
      </c>
      <c r="Q53" s="57" t="s">
        <v>506</v>
      </c>
      <c r="R53" s="57" t="s">
        <v>38</v>
      </c>
      <c r="S53" s="57" t="s">
        <v>38</v>
      </c>
      <c r="T53" s="57" t="s">
        <v>38</v>
      </c>
      <c r="U53" s="57" t="s">
        <v>38</v>
      </c>
      <c r="V53" s="57" t="s">
        <v>38</v>
      </c>
      <c r="W53" s="57" t="s">
        <v>38</v>
      </c>
      <c r="X53" s="57" t="s">
        <v>506</v>
      </c>
      <c r="Y53" s="57" t="s">
        <v>37</v>
      </c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8">
        <v>10110507</v>
      </c>
      <c r="AK53" s="59">
        <v>12</v>
      </c>
      <c r="AL53" s="60">
        <f t="shared" si="59"/>
        <v>12</v>
      </c>
      <c r="AM53" s="61">
        <f t="shared" si="60"/>
        <v>6</v>
      </c>
      <c r="AN53" s="62">
        <f t="shared" si="61"/>
        <v>18</v>
      </c>
      <c r="AO53" s="62">
        <f t="shared" si="62"/>
        <v>0</v>
      </c>
      <c r="AP53" s="62">
        <f t="shared" si="63"/>
        <v>0</v>
      </c>
      <c r="AQ53" s="63">
        <f t="shared" si="64"/>
        <v>0</v>
      </c>
      <c r="AR53" s="62">
        <f t="shared" si="65"/>
        <v>0</v>
      </c>
      <c r="AS53" s="62">
        <f t="shared" si="66"/>
        <v>0</v>
      </c>
      <c r="AT53" s="64"/>
      <c r="AU53" s="64"/>
      <c r="AV53" s="65">
        <f t="shared" si="67"/>
        <v>24</v>
      </c>
      <c r="AW53" s="65">
        <f t="shared" si="68"/>
        <v>0</v>
      </c>
      <c r="AX53" s="64"/>
      <c r="AY53" s="64"/>
      <c r="AZ53" s="80"/>
      <c r="BA53" s="66">
        <f t="shared" si="69"/>
        <v>18</v>
      </c>
      <c r="BB53" s="67"/>
      <c r="BC53" s="68"/>
      <c r="BD53" s="69">
        <f>VLOOKUP($B53,[1]CN!$B$9:$DK$221,114,0)</f>
        <v>5</v>
      </c>
      <c r="BE53" s="70">
        <f t="shared" si="70"/>
        <v>27</v>
      </c>
      <c r="BF53" s="71" t="s">
        <v>39</v>
      </c>
      <c r="BG53" s="72">
        <v>0</v>
      </c>
      <c r="BH53" s="73" t="str">
        <f>VLOOKUP(B53,'[2]Bang luong_06'!$B$9:$C$333,2,0)</f>
        <v>Danh Ra</v>
      </c>
      <c r="BI53" s="74" t="s">
        <v>125</v>
      </c>
      <c r="BJ53" s="75" t="str">
        <f>VLOOKUP($B53,'[2]Bang luong_06'!$B$10:$C$333,2,0)</f>
        <v>Danh Ra</v>
      </c>
      <c r="BK53" s="76" t="b">
        <f t="shared" si="71"/>
        <v>1</v>
      </c>
      <c r="BM53" s="77">
        <f>+VLOOKUP(B53,'[2]Thưởng Lễ 2-9'!B47:G337,6,0)</f>
        <v>0</v>
      </c>
      <c r="BN53" s="75">
        <f t="shared" si="72"/>
        <v>66</v>
      </c>
      <c r="BO53" s="76" t="str">
        <f>+VLOOKUP(B53,'[2]Bang luong_06'!B51:D369,3,0)</f>
        <v>CNSX</v>
      </c>
      <c r="BP53" s="76" t="s">
        <v>40</v>
      </c>
      <c r="BQ53" s="76">
        <v>8</v>
      </c>
      <c r="BR53" s="76">
        <f t="shared" si="4"/>
        <v>12</v>
      </c>
    </row>
    <row r="54" spans="1:70" s="76" customFormat="1" ht="31.5" customHeight="1" x14ac:dyDescent="0.25">
      <c r="A54" s="33">
        <f t="shared" si="24"/>
        <v>37</v>
      </c>
      <c r="B54" s="78" t="s">
        <v>127</v>
      </c>
      <c r="C54" s="55" t="s">
        <v>128</v>
      </c>
      <c r="D54" s="79">
        <v>43970</v>
      </c>
      <c r="E54" s="57" t="s">
        <v>37</v>
      </c>
      <c r="F54" s="86" t="s">
        <v>37</v>
      </c>
      <c r="G54" s="57" t="s">
        <v>37</v>
      </c>
      <c r="H54" s="57" t="s">
        <v>37</v>
      </c>
      <c r="I54" s="57" t="s">
        <v>37</v>
      </c>
      <c r="J54" s="57"/>
      <c r="K54" s="57" t="s">
        <v>38</v>
      </c>
      <c r="L54" s="57" t="s">
        <v>38</v>
      </c>
      <c r="M54" s="57" t="s">
        <v>38</v>
      </c>
      <c r="N54" s="57" t="s">
        <v>38</v>
      </c>
      <c r="O54" s="57" t="s">
        <v>38</v>
      </c>
      <c r="P54" s="57" t="s">
        <v>38</v>
      </c>
      <c r="Q54" s="57" t="s">
        <v>506</v>
      </c>
      <c r="R54" s="57" t="s">
        <v>38</v>
      </c>
      <c r="S54" s="57" t="s">
        <v>38</v>
      </c>
      <c r="T54" s="57" t="s">
        <v>38</v>
      </c>
      <c r="U54" s="57" t="s">
        <v>38</v>
      </c>
      <c r="V54" s="57" t="s">
        <v>38</v>
      </c>
      <c r="W54" s="57" t="s">
        <v>38</v>
      </c>
      <c r="X54" s="57" t="s">
        <v>511</v>
      </c>
      <c r="Y54" s="57" t="s">
        <v>37</v>
      </c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8">
        <v>10110507</v>
      </c>
      <c r="AK54" s="59">
        <v>12</v>
      </c>
      <c r="AL54" s="60">
        <f t="shared" si="59"/>
        <v>12</v>
      </c>
      <c r="AM54" s="61">
        <f t="shared" si="60"/>
        <v>6</v>
      </c>
      <c r="AN54" s="62">
        <f t="shared" si="61"/>
        <v>18</v>
      </c>
      <c r="AO54" s="62">
        <f t="shared" si="62"/>
        <v>0</v>
      </c>
      <c r="AP54" s="62">
        <f t="shared" si="63"/>
        <v>0</v>
      </c>
      <c r="AQ54" s="63">
        <f t="shared" si="64"/>
        <v>0</v>
      </c>
      <c r="AR54" s="62">
        <f t="shared" si="65"/>
        <v>0</v>
      </c>
      <c r="AS54" s="62">
        <f t="shared" si="66"/>
        <v>0</v>
      </c>
      <c r="AT54" s="64"/>
      <c r="AU54" s="64"/>
      <c r="AV54" s="65">
        <f t="shared" si="67"/>
        <v>12</v>
      </c>
      <c r="AW54" s="65">
        <f t="shared" si="68"/>
        <v>0</v>
      </c>
      <c r="AX54" s="64"/>
      <c r="AY54" s="64"/>
      <c r="AZ54" s="80"/>
      <c r="BA54" s="66">
        <f t="shared" si="69"/>
        <v>18</v>
      </c>
      <c r="BB54" s="67"/>
      <c r="BC54" s="68"/>
      <c r="BD54" s="69">
        <f>VLOOKUP($B54,[1]CN!$B$9:$DK$221,114,0)</f>
        <v>3</v>
      </c>
      <c r="BE54" s="70">
        <f t="shared" si="70"/>
        <v>27</v>
      </c>
      <c r="BF54" s="71" t="s">
        <v>39</v>
      </c>
      <c r="BG54" s="72" t="s">
        <v>34</v>
      </c>
      <c r="BH54" s="73" t="str">
        <f>VLOOKUP(B54,'[2]Bang luong_06'!$B$9:$C$333,2,0)</f>
        <v xml:space="preserve">Dương Thương </v>
      </c>
      <c r="BI54" s="74" t="s">
        <v>127</v>
      </c>
      <c r="BJ54" s="75" t="str">
        <f>VLOOKUP($B54,'[2]Bang luong_06'!$B$10:$C$333,2,0)</f>
        <v xml:space="preserve">Dương Thương </v>
      </c>
      <c r="BK54" s="76" t="b">
        <f t="shared" si="71"/>
        <v>1</v>
      </c>
      <c r="BM54" s="77">
        <f>+VLOOKUP(B54,'[2]Thưởng Lễ 2-9'!B49:G339,6,0)</f>
        <v>0</v>
      </c>
      <c r="BN54" s="75">
        <f t="shared" si="72"/>
        <v>52</v>
      </c>
      <c r="BO54" s="76" t="str">
        <f>+VLOOKUP(B54,'[2]Bang luong_06'!B55:D371,3,0)</f>
        <v>Tổ trưởng</v>
      </c>
      <c r="BP54" s="76" t="s">
        <v>40</v>
      </c>
      <c r="BQ54" s="76">
        <v>5</v>
      </c>
      <c r="BR54" s="76">
        <f t="shared" si="4"/>
        <v>12</v>
      </c>
    </row>
    <row r="55" spans="1:70" s="76" customFormat="1" ht="31.5" customHeight="1" x14ac:dyDescent="0.25">
      <c r="A55" s="33">
        <f t="shared" si="24"/>
        <v>38</v>
      </c>
      <c r="B55" s="78" t="s">
        <v>129</v>
      </c>
      <c r="C55" s="55" t="s">
        <v>130</v>
      </c>
      <c r="D55" s="79">
        <v>43749</v>
      </c>
      <c r="E55" s="57" t="s">
        <v>37</v>
      </c>
      <c r="F55" s="86" t="s">
        <v>37</v>
      </c>
      <c r="G55" s="57" t="s">
        <v>37</v>
      </c>
      <c r="H55" s="57" t="s">
        <v>37</v>
      </c>
      <c r="I55" s="57" t="s">
        <v>37</v>
      </c>
      <c r="J55" s="57"/>
      <c r="K55" s="57" t="s">
        <v>38</v>
      </c>
      <c r="L55" s="57" t="s">
        <v>38</v>
      </c>
      <c r="M55" s="57" t="s">
        <v>38</v>
      </c>
      <c r="N55" s="57" t="s">
        <v>38</v>
      </c>
      <c r="O55" s="57" t="s">
        <v>38</v>
      </c>
      <c r="P55" s="57" t="s">
        <v>38</v>
      </c>
      <c r="Q55" s="57" t="s">
        <v>506</v>
      </c>
      <c r="R55" s="57" t="s">
        <v>38</v>
      </c>
      <c r="S55" s="57" t="s">
        <v>38</v>
      </c>
      <c r="T55" s="57" t="s">
        <v>38</v>
      </c>
      <c r="U55" s="57" t="s">
        <v>38</v>
      </c>
      <c r="V55" s="57" t="s">
        <v>38</v>
      </c>
      <c r="W55" s="57" t="s">
        <v>38</v>
      </c>
      <c r="X55" s="57" t="s">
        <v>506</v>
      </c>
      <c r="Y55" s="57" t="s">
        <v>37</v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8">
        <v>10110507</v>
      </c>
      <c r="AK55" s="59">
        <v>12</v>
      </c>
      <c r="AL55" s="60">
        <f t="shared" si="59"/>
        <v>12</v>
      </c>
      <c r="AM55" s="61">
        <f t="shared" si="60"/>
        <v>6</v>
      </c>
      <c r="AN55" s="62">
        <f t="shared" si="61"/>
        <v>18</v>
      </c>
      <c r="AO55" s="62">
        <f t="shared" si="62"/>
        <v>0</v>
      </c>
      <c r="AP55" s="62">
        <f t="shared" si="63"/>
        <v>0</v>
      </c>
      <c r="AQ55" s="63">
        <f t="shared" si="64"/>
        <v>0</v>
      </c>
      <c r="AR55" s="62">
        <f t="shared" si="65"/>
        <v>0</v>
      </c>
      <c r="AS55" s="62">
        <f t="shared" si="66"/>
        <v>0</v>
      </c>
      <c r="AT55" s="64"/>
      <c r="AU55" s="64"/>
      <c r="AV55" s="65">
        <f t="shared" si="67"/>
        <v>24</v>
      </c>
      <c r="AW55" s="65">
        <f t="shared" si="68"/>
        <v>0</v>
      </c>
      <c r="AX55" s="64"/>
      <c r="AY55" s="64"/>
      <c r="AZ55" s="80"/>
      <c r="BA55" s="66">
        <f t="shared" si="69"/>
        <v>18</v>
      </c>
      <c r="BB55" s="67"/>
      <c r="BC55" s="99"/>
      <c r="BD55" s="69">
        <f>VLOOKUP($B55,[1]CN!$B$9:$DK$221,114,0)</f>
        <v>5</v>
      </c>
      <c r="BE55" s="70">
        <f t="shared" si="70"/>
        <v>27</v>
      </c>
      <c r="BF55" s="71" t="s">
        <v>39</v>
      </c>
      <c r="BG55" s="72" t="s">
        <v>34</v>
      </c>
      <c r="BH55" s="73" t="str">
        <f>VLOOKUP(B55,'[2]Bang luong_06'!$B$9:$C$333,2,0)</f>
        <v>Danh Chao Chiết</v>
      </c>
      <c r="BI55" s="74" t="s">
        <v>129</v>
      </c>
      <c r="BJ55" s="75" t="str">
        <f>VLOOKUP($B55,'[2]Bang luong_06'!$B$10:$C$333,2,0)</f>
        <v>Danh Chao Chiết</v>
      </c>
      <c r="BK55" s="76" t="b">
        <f t="shared" si="71"/>
        <v>1</v>
      </c>
      <c r="BM55" s="77">
        <f>+VLOOKUP(B55,'[2]Thưởng Lễ 2-9'!B53:G343,6,0)</f>
        <v>0</v>
      </c>
      <c r="BN55" s="75">
        <f t="shared" si="72"/>
        <v>60</v>
      </c>
      <c r="BO55" s="76" t="str">
        <f>+VLOOKUP(B55,'[2]Bang luong_06'!B65:D375,3,0)</f>
        <v>CNSX</v>
      </c>
      <c r="BP55" s="76" t="s">
        <v>40</v>
      </c>
      <c r="BQ55" s="76">
        <v>-2</v>
      </c>
      <c r="BR55" s="76">
        <f t="shared" si="4"/>
        <v>12</v>
      </c>
    </row>
    <row r="56" spans="1:70" s="76" customFormat="1" ht="31.5" customHeight="1" x14ac:dyDescent="0.25">
      <c r="A56" s="33">
        <f t="shared" si="24"/>
        <v>39</v>
      </c>
      <c r="B56" s="78" t="s">
        <v>131</v>
      </c>
      <c r="C56" s="55" t="s">
        <v>132</v>
      </c>
      <c r="D56" s="79">
        <v>43983</v>
      </c>
      <c r="E56" s="57" t="s">
        <v>38</v>
      </c>
      <c r="F56" s="57" t="s">
        <v>38</v>
      </c>
      <c r="G56" s="57" t="s">
        <v>38</v>
      </c>
      <c r="H56" s="57" t="s">
        <v>38</v>
      </c>
      <c r="I56" s="57" t="s">
        <v>38</v>
      </c>
      <c r="J56" s="57" t="s">
        <v>506</v>
      </c>
      <c r="K56" s="57" t="s">
        <v>37</v>
      </c>
      <c r="L56" s="57" t="s">
        <v>37</v>
      </c>
      <c r="M56" s="57" t="s">
        <v>37</v>
      </c>
      <c r="N56" s="57" t="s">
        <v>37</v>
      </c>
      <c r="O56" s="57" t="s">
        <v>37</v>
      </c>
      <c r="P56" s="57" t="s">
        <v>37</v>
      </c>
      <c r="Q56" s="57" t="s">
        <v>507</v>
      </c>
      <c r="R56" s="57" t="s">
        <v>107</v>
      </c>
      <c r="S56" s="57" t="s">
        <v>37</v>
      </c>
      <c r="T56" s="57" t="s">
        <v>37</v>
      </c>
      <c r="U56" s="57" t="s">
        <v>37</v>
      </c>
      <c r="V56" s="57" t="s">
        <v>37</v>
      </c>
      <c r="W56" s="57" t="s">
        <v>37</v>
      </c>
      <c r="X56" s="57"/>
      <c r="Y56" s="57" t="s">
        <v>38</v>
      </c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8">
        <v>10110507</v>
      </c>
      <c r="AK56" s="59">
        <v>12</v>
      </c>
      <c r="AL56" s="60">
        <f t="shared" si="59"/>
        <v>6</v>
      </c>
      <c r="AM56" s="61">
        <f t="shared" si="60"/>
        <v>11</v>
      </c>
      <c r="AN56" s="62">
        <f t="shared" si="61"/>
        <v>17</v>
      </c>
      <c r="AO56" s="62">
        <f t="shared" si="62"/>
        <v>1</v>
      </c>
      <c r="AP56" s="62">
        <f t="shared" si="63"/>
        <v>0</v>
      </c>
      <c r="AQ56" s="63">
        <f t="shared" si="64"/>
        <v>0</v>
      </c>
      <c r="AR56" s="62">
        <f t="shared" si="65"/>
        <v>0</v>
      </c>
      <c r="AS56" s="62">
        <f t="shared" si="66"/>
        <v>0</v>
      </c>
      <c r="AT56" s="64"/>
      <c r="AU56" s="64"/>
      <c r="AV56" s="65">
        <f t="shared" si="67"/>
        <v>12</v>
      </c>
      <c r="AW56" s="65">
        <f t="shared" si="68"/>
        <v>12</v>
      </c>
      <c r="AX56" s="64"/>
      <c r="AY56" s="64"/>
      <c r="AZ56" s="80"/>
      <c r="BA56" s="66">
        <f t="shared" si="69"/>
        <v>18</v>
      </c>
      <c r="BB56" s="67"/>
      <c r="BC56" s="99"/>
      <c r="BD56" s="69">
        <f>VLOOKUP($B56,[1]CN!$B$9:$DK$221,114,0)</f>
        <v>4</v>
      </c>
      <c r="BE56" s="70">
        <f t="shared" si="70"/>
        <v>27</v>
      </c>
      <c r="BF56" s="71" t="s">
        <v>39</v>
      </c>
      <c r="BG56" s="72" t="s">
        <v>34</v>
      </c>
      <c r="BH56" s="73" t="str">
        <f>VLOOKUP(B56,'[2]Bang luong_06'!$B$9:$C$333,2,0)</f>
        <v>Lê Thành Đô</v>
      </c>
      <c r="BI56" s="74" t="s">
        <v>133</v>
      </c>
      <c r="BJ56" s="75" t="str">
        <f>VLOOKUP($B56,'[2]Bang luong_06'!$B$10:$C$333,2,0)</f>
        <v>Lê Thành Đô</v>
      </c>
      <c r="BK56" s="76" t="b">
        <f t="shared" si="71"/>
        <v>1</v>
      </c>
      <c r="BM56" s="77">
        <f>+VLOOKUP(B56,'[2]Thưởng Lễ 2-9'!B62:G352,6,0)</f>
        <v>0</v>
      </c>
      <c r="BN56" s="75">
        <f t="shared" si="72"/>
        <v>52</v>
      </c>
      <c r="BO56" s="76" t="str">
        <f>+VLOOKUP(B56,'[2]Bang luong_06'!B73:D384,3,0)</f>
        <v>CNSX</v>
      </c>
      <c r="BP56" s="76" t="s">
        <v>40</v>
      </c>
      <c r="BQ56" s="76">
        <v>-1</v>
      </c>
      <c r="BR56" s="76">
        <f t="shared" si="4"/>
        <v>6</v>
      </c>
    </row>
    <row r="57" spans="1:70" s="76" customFormat="1" ht="31.5" customHeight="1" x14ac:dyDescent="0.25">
      <c r="A57" s="33">
        <f t="shared" si="24"/>
        <v>40</v>
      </c>
      <c r="B57" s="78" t="s">
        <v>133</v>
      </c>
      <c r="C57" s="55" t="s">
        <v>134</v>
      </c>
      <c r="D57" s="79">
        <v>44984</v>
      </c>
      <c r="E57" s="86" t="s">
        <v>37</v>
      </c>
      <c r="F57" s="86" t="s">
        <v>37</v>
      </c>
      <c r="G57" s="57" t="s">
        <v>37</v>
      </c>
      <c r="H57" s="57" t="s">
        <v>37</v>
      </c>
      <c r="I57" s="57" t="s">
        <v>37</v>
      </c>
      <c r="J57" s="57"/>
      <c r="K57" s="57" t="s">
        <v>38</v>
      </c>
      <c r="L57" s="57" t="s">
        <v>38</v>
      </c>
      <c r="M57" s="57" t="s">
        <v>38</v>
      </c>
      <c r="N57" s="57" t="s">
        <v>38</v>
      </c>
      <c r="O57" s="57" t="s">
        <v>38</v>
      </c>
      <c r="P57" s="57" t="s">
        <v>38</v>
      </c>
      <c r="Q57" s="57"/>
      <c r="R57" s="57" t="s">
        <v>38</v>
      </c>
      <c r="S57" s="57" t="s">
        <v>107</v>
      </c>
      <c r="T57" s="57" t="s">
        <v>38</v>
      </c>
      <c r="U57" s="57" t="s">
        <v>38</v>
      </c>
      <c r="V57" s="57" t="s">
        <v>38</v>
      </c>
      <c r="W57" s="57" t="s">
        <v>38</v>
      </c>
      <c r="X57" s="57"/>
      <c r="Y57" s="57" t="s">
        <v>37</v>
      </c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8">
        <v>10110507</v>
      </c>
      <c r="AK57" s="59">
        <v>12</v>
      </c>
      <c r="AL57" s="60">
        <f t="shared" si="59"/>
        <v>11</v>
      </c>
      <c r="AM57" s="61">
        <f t="shared" si="60"/>
        <v>6</v>
      </c>
      <c r="AN57" s="62">
        <f t="shared" si="61"/>
        <v>17</v>
      </c>
      <c r="AO57" s="62">
        <f t="shared" si="62"/>
        <v>1</v>
      </c>
      <c r="AP57" s="62">
        <f t="shared" si="63"/>
        <v>0</v>
      </c>
      <c r="AQ57" s="63">
        <f t="shared" si="64"/>
        <v>0</v>
      </c>
      <c r="AR57" s="62">
        <f t="shared" si="65"/>
        <v>0</v>
      </c>
      <c r="AS57" s="62">
        <f t="shared" si="66"/>
        <v>0</v>
      </c>
      <c r="AT57" s="64"/>
      <c r="AU57" s="64"/>
      <c r="AV57" s="65">
        <f t="shared" si="67"/>
        <v>0</v>
      </c>
      <c r="AW57" s="65">
        <f t="shared" si="68"/>
        <v>0</v>
      </c>
      <c r="AX57" s="64"/>
      <c r="AY57" s="64"/>
      <c r="AZ57" s="80"/>
      <c r="BA57" s="66">
        <f t="shared" si="69"/>
        <v>18</v>
      </c>
      <c r="BB57" s="67"/>
      <c r="BC57" s="68"/>
      <c r="BD57" s="69">
        <f>VLOOKUP($B57,[1]CN!$B$9:$DK$221,114,0)</f>
        <v>2</v>
      </c>
      <c r="BE57" s="70">
        <f t="shared" si="70"/>
        <v>27</v>
      </c>
      <c r="BF57" s="71" t="s">
        <v>39</v>
      </c>
      <c r="BG57" s="72" t="s">
        <v>34</v>
      </c>
      <c r="BH57" s="73" t="str">
        <f>VLOOKUP(B57,'[2]Bang luong_06'!$B$9:$C$333,2,0)</f>
        <v>Trần Văn Mạnh</v>
      </c>
      <c r="BI57" s="74" t="s">
        <v>135</v>
      </c>
      <c r="BJ57" s="75" t="str">
        <f>VLOOKUP($B57,'[2]Bang luong_06'!$B$10:$C$333,2,0)</f>
        <v>Trần Văn Mạnh</v>
      </c>
      <c r="BK57" s="76" t="b">
        <f t="shared" si="71"/>
        <v>1</v>
      </c>
      <c r="BM57" s="77">
        <f>+VLOOKUP(B57,'[2]Thưởng Lễ 2-9'!B63:G353,6,0)</f>
        <v>0</v>
      </c>
      <c r="BN57" s="75">
        <f t="shared" si="72"/>
        <v>18</v>
      </c>
      <c r="BO57" s="76" t="str">
        <f>+VLOOKUP(B57,'[2]Bang luong_06'!B73:D385,3,0)</f>
        <v>CNSX</v>
      </c>
      <c r="BP57" s="76" t="s">
        <v>40</v>
      </c>
      <c r="BQ57" s="76">
        <v>0</v>
      </c>
      <c r="BR57" s="76">
        <f t="shared" si="4"/>
        <v>11</v>
      </c>
    </row>
    <row r="58" spans="1:70" s="76" customFormat="1" ht="31.5" customHeight="1" x14ac:dyDescent="0.25">
      <c r="A58" s="33">
        <f t="shared" si="24"/>
        <v>41</v>
      </c>
      <c r="B58" s="78" t="s">
        <v>135</v>
      </c>
      <c r="C58" s="55" t="s">
        <v>136</v>
      </c>
      <c r="D58" s="79">
        <v>45093</v>
      </c>
      <c r="E58" s="57" t="s">
        <v>37</v>
      </c>
      <c r="F58" s="57" t="s">
        <v>37</v>
      </c>
      <c r="G58" s="57" t="s">
        <v>37</v>
      </c>
      <c r="H58" s="57" t="s">
        <v>37</v>
      </c>
      <c r="I58" s="57" t="s">
        <v>37</v>
      </c>
      <c r="J58" s="57"/>
      <c r="K58" s="57" t="s">
        <v>38</v>
      </c>
      <c r="L58" s="57" t="s">
        <v>38</v>
      </c>
      <c r="M58" s="57" t="s">
        <v>38</v>
      </c>
      <c r="N58" s="57" t="s">
        <v>38</v>
      </c>
      <c r="O58" s="57" t="s">
        <v>38</v>
      </c>
      <c r="P58" s="57" t="s">
        <v>38</v>
      </c>
      <c r="Q58" s="57" t="s">
        <v>506</v>
      </c>
      <c r="R58" s="57" t="s">
        <v>38</v>
      </c>
      <c r="S58" s="57" t="s">
        <v>38</v>
      </c>
      <c r="T58" s="57" t="s">
        <v>38</v>
      </c>
      <c r="U58" s="57" t="s">
        <v>38</v>
      </c>
      <c r="V58" s="57" t="s">
        <v>38</v>
      </c>
      <c r="W58" s="57" t="s">
        <v>38</v>
      </c>
      <c r="X58" s="57" t="s">
        <v>506</v>
      </c>
      <c r="Y58" s="57" t="s">
        <v>37</v>
      </c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8">
        <v>10110507</v>
      </c>
      <c r="AK58" s="59">
        <v>12</v>
      </c>
      <c r="AL58" s="60">
        <f t="shared" si="59"/>
        <v>12</v>
      </c>
      <c r="AM58" s="61">
        <f t="shared" si="60"/>
        <v>6</v>
      </c>
      <c r="AN58" s="62">
        <f t="shared" si="61"/>
        <v>18</v>
      </c>
      <c r="AO58" s="62">
        <f t="shared" si="62"/>
        <v>0</v>
      </c>
      <c r="AP58" s="62">
        <f t="shared" si="63"/>
        <v>0</v>
      </c>
      <c r="AQ58" s="63">
        <f t="shared" si="64"/>
        <v>0</v>
      </c>
      <c r="AR58" s="62">
        <f t="shared" si="65"/>
        <v>0</v>
      </c>
      <c r="AS58" s="62">
        <f t="shared" si="66"/>
        <v>0</v>
      </c>
      <c r="AT58" s="64"/>
      <c r="AU58" s="64"/>
      <c r="AV58" s="65">
        <f t="shared" si="67"/>
        <v>24</v>
      </c>
      <c r="AW58" s="65">
        <f t="shared" si="68"/>
        <v>0</v>
      </c>
      <c r="AX58" s="64"/>
      <c r="AY58" s="64"/>
      <c r="AZ58" s="80"/>
      <c r="BA58" s="66">
        <f t="shared" si="69"/>
        <v>18</v>
      </c>
      <c r="BB58" s="67"/>
      <c r="BC58" s="68"/>
      <c r="BD58" s="69">
        <f>VLOOKUP($B58,[1]CN!$B$9:$DK$221,114,0)</f>
        <v>3</v>
      </c>
      <c r="BE58" s="70">
        <f t="shared" si="70"/>
        <v>27</v>
      </c>
      <c r="BF58" s="71" t="s">
        <v>39</v>
      </c>
      <c r="BG58" s="72" t="s">
        <v>34</v>
      </c>
      <c r="BH58" s="73" t="str">
        <f>VLOOKUP(B58,'[2]Bang luong_06'!$B$9:$C$333,2,0)</f>
        <v>Hoàng Văn Tý</v>
      </c>
      <c r="BI58" s="74" t="s">
        <v>137</v>
      </c>
      <c r="BJ58" s="75" t="str">
        <f>VLOOKUP($B58,'[2]Bang luong_06'!$B$10:$C$333,2,0)</f>
        <v>Hoàng Văn Tý</v>
      </c>
      <c r="BK58" s="76" t="b">
        <f t="shared" si="71"/>
        <v>1</v>
      </c>
      <c r="BM58" s="77">
        <f>+VLOOKUP(B58,'[2]Thưởng Lễ 2-9'!B64:G354,6,0)</f>
        <v>0</v>
      </c>
      <c r="BN58" s="75">
        <f t="shared" si="72"/>
        <v>15</v>
      </c>
      <c r="BO58" s="76" t="str">
        <f>+VLOOKUP(B58,'[2]Bang luong_06'!B75:D386,3,0)</f>
        <v>CNSX</v>
      </c>
      <c r="BP58" s="76" t="s">
        <v>40</v>
      </c>
      <c r="BQ58" s="76">
        <v>5</v>
      </c>
      <c r="BR58" s="76">
        <f t="shared" si="4"/>
        <v>12</v>
      </c>
    </row>
    <row r="59" spans="1:70" s="76" customFormat="1" ht="31.5" customHeight="1" x14ac:dyDescent="0.25">
      <c r="A59" s="33">
        <f t="shared" si="24"/>
        <v>42</v>
      </c>
      <c r="B59" s="105" t="s">
        <v>137</v>
      </c>
      <c r="C59" s="106" t="s">
        <v>138</v>
      </c>
      <c r="D59" s="107">
        <v>45134</v>
      </c>
      <c r="E59" s="57" t="s">
        <v>37</v>
      </c>
      <c r="F59" s="86" t="s">
        <v>37</v>
      </c>
      <c r="G59" s="57" t="s">
        <v>37</v>
      </c>
      <c r="H59" s="57" t="s">
        <v>37</v>
      </c>
      <c r="I59" s="57" t="s">
        <v>37</v>
      </c>
      <c r="J59" s="57"/>
      <c r="K59" s="57" t="s">
        <v>38</v>
      </c>
      <c r="L59" s="57" t="s">
        <v>38</v>
      </c>
      <c r="M59" s="57" t="s">
        <v>38</v>
      </c>
      <c r="N59" s="57" t="s">
        <v>38</v>
      </c>
      <c r="O59" s="57" t="s">
        <v>38</v>
      </c>
      <c r="P59" s="57" t="s">
        <v>38</v>
      </c>
      <c r="Q59" s="57"/>
      <c r="R59" s="57" t="s">
        <v>38</v>
      </c>
      <c r="S59" s="57" t="s">
        <v>38</v>
      </c>
      <c r="T59" s="57" t="s">
        <v>38</v>
      </c>
      <c r="U59" s="57" t="s">
        <v>38</v>
      </c>
      <c r="V59" s="57" t="s">
        <v>38</v>
      </c>
      <c r="W59" s="57" t="s">
        <v>38</v>
      </c>
      <c r="X59" s="57"/>
      <c r="Y59" s="57" t="s">
        <v>37</v>
      </c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8">
        <v>10110507</v>
      </c>
      <c r="AK59" s="59">
        <v>12</v>
      </c>
      <c r="AL59" s="60">
        <f t="shared" si="59"/>
        <v>12</v>
      </c>
      <c r="AM59" s="61">
        <f t="shared" si="60"/>
        <v>6</v>
      </c>
      <c r="AN59" s="62">
        <f t="shared" si="61"/>
        <v>18</v>
      </c>
      <c r="AO59" s="62">
        <f t="shared" si="62"/>
        <v>0</v>
      </c>
      <c r="AP59" s="62">
        <f t="shared" si="63"/>
        <v>0</v>
      </c>
      <c r="AQ59" s="63">
        <f t="shared" si="64"/>
        <v>0</v>
      </c>
      <c r="AR59" s="62">
        <f t="shared" si="65"/>
        <v>0</v>
      </c>
      <c r="AS59" s="62">
        <f t="shared" si="66"/>
        <v>0</v>
      </c>
      <c r="AT59" s="64"/>
      <c r="AU59" s="64"/>
      <c r="AV59" s="65">
        <f t="shared" si="67"/>
        <v>0</v>
      </c>
      <c r="AW59" s="65">
        <f t="shared" si="68"/>
        <v>0</v>
      </c>
      <c r="AX59" s="64"/>
      <c r="AY59" s="64"/>
      <c r="AZ59" s="80"/>
      <c r="BA59" s="66">
        <f t="shared" si="69"/>
        <v>18</v>
      </c>
      <c r="BB59" s="67"/>
      <c r="BC59" s="68"/>
      <c r="BD59" s="69">
        <f>VLOOKUP($B59,[1]CN!$B$9:$DK$221,114,0)</f>
        <v>2</v>
      </c>
      <c r="BE59" s="70">
        <f t="shared" si="70"/>
        <v>27</v>
      </c>
      <c r="BF59" s="71" t="s">
        <v>39</v>
      </c>
      <c r="BG59" s="72">
        <v>0</v>
      </c>
      <c r="BH59" s="73" t="str">
        <f>VLOOKUP(B59,'[2]Bang luong_06'!$B$9:$C$333,2,0)</f>
        <v>Đoàn Thị Hồng Nhung</v>
      </c>
      <c r="BI59" s="74" t="s">
        <v>139</v>
      </c>
      <c r="BJ59" s="75" t="str">
        <f>VLOOKUP($B59,'[2]Bang luong_06'!$B$10:$C$333,2,0)</f>
        <v>Đoàn Thị Hồng Nhung</v>
      </c>
      <c r="BK59" s="76" t="b">
        <f t="shared" si="71"/>
        <v>1</v>
      </c>
      <c r="BM59" s="77">
        <f>+VLOOKUP(B59,'[2]Thưởng Lễ 2-9'!B71:G361,6,0)</f>
        <v>0</v>
      </c>
      <c r="BN59" s="75">
        <f t="shared" si="72"/>
        <v>13</v>
      </c>
      <c r="BO59" s="76" t="str">
        <f>+VLOOKUP(B59,'[2]Bang luong_06'!B83:D393,3,0)</f>
        <v>CNSX</v>
      </c>
      <c r="BP59" s="76" t="s">
        <v>40</v>
      </c>
      <c r="BQ59" s="76">
        <v>6</v>
      </c>
      <c r="BR59" s="76">
        <f t="shared" si="4"/>
        <v>12</v>
      </c>
    </row>
    <row r="60" spans="1:70" s="76" customFormat="1" ht="31.5" customHeight="1" x14ac:dyDescent="0.25">
      <c r="A60" s="33">
        <f t="shared" si="24"/>
        <v>43</v>
      </c>
      <c r="B60" s="108" t="s">
        <v>139</v>
      </c>
      <c r="C60" s="106" t="s">
        <v>140</v>
      </c>
      <c r="D60" s="107">
        <v>45353</v>
      </c>
      <c r="E60" s="57" t="s">
        <v>37</v>
      </c>
      <c r="F60" s="57" t="s">
        <v>37</v>
      </c>
      <c r="G60" s="57" t="s">
        <v>37</v>
      </c>
      <c r="H60" s="57" t="s">
        <v>37</v>
      </c>
      <c r="I60" s="57" t="s">
        <v>37</v>
      </c>
      <c r="J60" s="57"/>
      <c r="K60" s="57" t="s">
        <v>38</v>
      </c>
      <c r="L60" s="57" t="s">
        <v>38</v>
      </c>
      <c r="M60" s="57" t="s">
        <v>38</v>
      </c>
      <c r="N60" s="57" t="s">
        <v>38</v>
      </c>
      <c r="O60" s="57" t="s">
        <v>38</v>
      </c>
      <c r="P60" s="57" t="s">
        <v>38</v>
      </c>
      <c r="Q60" s="57" t="s">
        <v>506</v>
      </c>
      <c r="R60" s="57" t="s">
        <v>38</v>
      </c>
      <c r="S60" s="57" t="s">
        <v>38</v>
      </c>
      <c r="T60" s="57" t="s">
        <v>38</v>
      </c>
      <c r="U60" s="57" t="s">
        <v>38</v>
      </c>
      <c r="V60" s="57" t="s">
        <v>38</v>
      </c>
      <c r="W60" s="57" t="s">
        <v>38</v>
      </c>
      <c r="X60" s="57" t="s">
        <v>512</v>
      </c>
      <c r="Y60" s="57" t="s">
        <v>37</v>
      </c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8">
        <v>10110507</v>
      </c>
      <c r="AK60" s="59">
        <v>12</v>
      </c>
      <c r="AL60" s="60">
        <f t="shared" si="59"/>
        <v>12</v>
      </c>
      <c r="AM60" s="61">
        <f t="shared" si="60"/>
        <v>6</v>
      </c>
      <c r="AN60" s="62">
        <f t="shared" si="61"/>
        <v>18</v>
      </c>
      <c r="AO60" s="62">
        <f t="shared" si="62"/>
        <v>0</v>
      </c>
      <c r="AP60" s="62">
        <f t="shared" si="63"/>
        <v>0</v>
      </c>
      <c r="AQ60" s="63">
        <f t="shared" si="64"/>
        <v>0</v>
      </c>
      <c r="AR60" s="62">
        <f t="shared" si="65"/>
        <v>0</v>
      </c>
      <c r="AS60" s="62">
        <f t="shared" si="66"/>
        <v>0</v>
      </c>
      <c r="AT60" s="64"/>
      <c r="AU60" s="64"/>
      <c r="AV60" s="65">
        <f t="shared" si="67"/>
        <v>12</v>
      </c>
      <c r="AW60" s="65">
        <f t="shared" si="68"/>
        <v>0</v>
      </c>
      <c r="AX60" s="64"/>
      <c r="AY60" s="64"/>
      <c r="AZ60" s="80"/>
      <c r="BA60" s="66">
        <f t="shared" si="69"/>
        <v>18</v>
      </c>
      <c r="BB60" s="67"/>
      <c r="BC60" s="68"/>
      <c r="BD60" s="69">
        <f>VLOOKUP($B60,[1]CN!$B$9:$DK$221,114,0)</f>
        <v>2</v>
      </c>
      <c r="BE60" s="70">
        <f t="shared" si="70"/>
        <v>27</v>
      </c>
      <c r="BF60" s="71" t="s">
        <v>39</v>
      </c>
      <c r="BG60" s="72" t="s">
        <v>34</v>
      </c>
      <c r="BH60" s="73" t="str">
        <f>VLOOKUP(B60,'[2]Bang luong_06'!$B$9:$C$333,2,0)</f>
        <v>Lê Văn Mạnh</v>
      </c>
      <c r="BI60" s="74" t="s">
        <v>141</v>
      </c>
      <c r="BJ60" s="75" t="str">
        <f>VLOOKUP($B60,'[2]Bang luong_06'!$B$10:$C$333,2,0)</f>
        <v>Lê Văn Mạnh</v>
      </c>
      <c r="BK60" s="76" t="b">
        <f t="shared" si="71"/>
        <v>1</v>
      </c>
      <c r="BM60" s="77">
        <f>+VLOOKUP(B60,'[2]Thưởng Lễ 2-9'!B73:G363,6,0)</f>
        <v>0</v>
      </c>
      <c r="BN60" s="75">
        <f t="shared" si="72"/>
        <v>6</v>
      </c>
      <c r="BO60" s="76" t="str">
        <f>+VLOOKUP(B60,'[2]Bang luong_06'!B83:D395,3,0)</f>
        <v>CNSX</v>
      </c>
      <c r="BP60" s="76" t="s">
        <v>40</v>
      </c>
      <c r="BQ60" s="76">
        <v>7</v>
      </c>
      <c r="BR60" s="76">
        <f t="shared" si="4"/>
        <v>12</v>
      </c>
    </row>
    <row r="61" spans="1:70" s="76" customFormat="1" ht="31.5" customHeight="1" x14ac:dyDescent="0.25">
      <c r="A61" s="33">
        <f t="shared" si="24"/>
        <v>44</v>
      </c>
      <c r="B61" s="78" t="s">
        <v>141</v>
      </c>
      <c r="C61" s="55" t="s">
        <v>142</v>
      </c>
      <c r="D61" s="79">
        <v>45363</v>
      </c>
      <c r="E61" s="57" t="s">
        <v>37</v>
      </c>
      <c r="F61" s="86" t="s">
        <v>37</v>
      </c>
      <c r="G61" s="57" t="s">
        <v>37</v>
      </c>
      <c r="H61" s="57" t="s">
        <v>37</v>
      </c>
      <c r="I61" s="57" t="s">
        <v>37</v>
      </c>
      <c r="J61" s="57"/>
      <c r="K61" s="57" t="s">
        <v>38</v>
      </c>
      <c r="L61" s="57" t="s">
        <v>38</v>
      </c>
      <c r="M61" s="57" t="s">
        <v>38</v>
      </c>
      <c r="N61" s="57" t="s">
        <v>38</v>
      </c>
      <c r="O61" s="57" t="s">
        <v>38</v>
      </c>
      <c r="P61" s="57" t="s">
        <v>38</v>
      </c>
      <c r="Q61" s="57" t="s">
        <v>506</v>
      </c>
      <c r="R61" s="57" t="s">
        <v>38</v>
      </c>
      <c r="S61" s="57" t="s">
        <v>143</v>
      </c>
      <c r="T61" s="57" t="s">
        <v>143</v>
      </c>
      <c r="U61" s="57" t="s">
        <v>143</v>
      </c>
      <c r="V61" s="57" t="s">
        <v>143</v>
      </c>
      <c r="W61" s="57" t="s">
        <v>143</v>
      </c>
      <c r="X61" s="57" t="s">
        <v>143</v>
      </c>
      <c r="Y61" s="57" t="s">
        <v>143</v>
      </c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8">
        <v>10110511</v>
      </c>
      <c r="AK61" s="59">
        <v>12</v>
      </c>
      <c r="AL61" s="60">
        <f t="shared" si="59"/>
        <v>7</v>
      </c>
      <c r="AM61" s="61">
        <f t="shared" si="60"/>
        <v>5</v>
      </c>
      <c r="AN61" s="62">
        <f t="shared" si="61"/>
        <v>12</v>
      </c>
      <c r="AO61" s="62">
        <f t="shared" si="62"/>
        <v>0</v>
      </c>
      <c r="AP61" s="62">
        <f t="shared" si="63"/>
        <v>0</v>
      </c>
      <c r="AQ61" s="63">
        <f t="shared" si="64"/>
        <v>0</v>
      </c>
      <c r="AR61" s="62">
        <f t="shared" si="65"/>
        <v>0</v>
      </c>
      <c r="AS61" s="62">
        <f t="shared" si="66"/>
        <v>0</v>
      </c>
      <c r="AT61" s="64"/>
      <c r="AU61" s="64"/>
      <c r="AV61" s="65">
        <f t="shared" si="67"/>
        <v>12</v>
      </c>
      <c r="AW61" s="65">
        <f t="shared" si="68"/>
        <v>0</v>
      </c>
      <c r="AX61" s="64"/>
      <c r="AY61" s="64"/>
      <c r="AZ61" s="80"/>
      <c r="BA61" s="66">
        <f t="shared" si="69"/>
        <v>12</v>
      </c>
      <c r="BB61" s="67"/>
      <c r="BC61" s="68"/>
      <c r="BD61" s="69">
        <f>VLOOKUP($B61,[1]CN!$B$9:$DK$221,114,0)</f>
        <v>3</v>
      </c>
      <c r="BE61" s="70">
        <f t="shared" si="70"/>
        <v>27</v>
      </c>
      <c r="BF61" s="71" t="s">
        <v>39</v>
      </c>
      <c r="BG61" s="72">
        <v>0</v>
      </c>
      <c r="BH61" s="73" t="str">
        <f>VLOOKUP(B61,'[2]Bang luong_06'!$B$9:$C$333,2,0)</f>
        <v>Thạch Thành</v>
      </c>
      <c r="BI61" s="74" t="s">
        <v>144</v>
      </c>
      <c r="BJ61" s="75" t="str">
        <f>VLOOKUP($B61,'[2]Bang luong_06'!$B$10:$C$333,2,0)</f>
        <v>Thạch Thành</v>
      </c>
      <c r="BK61" s="76" t="b">
        <f t="shared" si="71"/>
        <v>1</v>
      </c>
      <c r="BM61" s="77">
        <f>+VLOOKUP(B61,'[2]Thưởng Lễ 2-9'!B107:G396,6,0)</f>
        <v>0</v>
      </c>
      <c r="BN61" s="75">
        <f t="shared" si="72"/>
        <v>6</v>
      </c>
      <c r="BO61" s="76" t="str">
        <f>+VLOOKUP(B61,'[2]Bang luong_06'!B118:D427,3,0)</f>
        <v>CNSX</v>
      </c>
      <c r="BP61" s="76" t="s">
        <v>40</v>
      </c>
      <c r="BQ61" s="76">
        <v>7</v>
      </c>
      <c r="BR61" s="76">
        <f t="shared" si="4"/>
        <v>7</v>
      </c>
    </row>
    <row r="62" spans="1:70" s="76" customFormat="1" ht="31.5" customHeight="1" x14ac:dyDescent="0.25">
      <c r="A62" s="33">
        <f t="shared" si="24"/>
        <v>45</v>
      </c>
      <c r="B62" s="109" t="s">
        <v>144</v>
      </c>
      <c r="C62" s="110" t="s">
        <v>145</v>
      </c>
      <c r="D62" s="107">
        <v>45363</v>
      </c>
      <c r="E62" s="86" t="s">
        <v>146</v>
      </c>
      <c r="F62" s="86" t="s">
        <v>146</v>
      </c>
      <c r="G62" s="57" t="s">
        <v>146</v>
      </c>
      <c r="H62" s="57" t="s">
        <v>146</v>
      </c>
      <c r="I62" s="57" t="s">
        <v>146</v>
      </c>
      <c r="J62" s="57" t="s">
        <v>146</v>
      </c>
      <c r="K62" s="57" t="s">
        <v>146</v>
      </c>
      <c r="L62" s="57" t="s">
        <v>146</v>
      </c>
      <c r="M62" s="57" t="s">
        <v>146</v>
      </c>
      <c r="N62" s="57" t="s">
        <v>146</v>
      </c>
      <c r="O62" s="57" t="s">
        <v>146</v>
      </c>
      <c r="P62" s="57" t="s">
        <v>146</v>
      </c>
      <c r="Q62" s="57" t="s">
        <v>146</v>
      </c>
      <c r="R62" s="57" t="s">
        <v>146</v>
      </c>
      <c r="S62" s="57" t="s">
        <v>146</v>
      </c>
      <c r="T62" s="57" t="s">
        <v>146</v>
      </c>
      <c r="U62" s="57" t="s">
        <v>146</v>
      </c>
      <c r="V62" s="57" t="s">
        <v>146</v>
      </c>
      <c r="W62" s="57" t="s">
        <v>146</v>
      </c>
      <c r="X62" s="57" t="s">
        <v>146</v>
      </c>
      <c r="Y62" s="57" t="s">
        <v>146</v>
      </c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8">
        <v>10110507</v>
      </c>
      <c r="AK62" s="59">
        <v>12</v>
      </c>
      <c r="AL62" s="60">
        <f t="shared" si="59"/>
        <v>0</v>
      </c>
      <c r="AM62" s="61">
        <f t="shared" si="60"/>
        <v>0</v>
      </c>
      <c r="AN62" s="62">
        <f t="shared" si="61"/>
        <v>0</v>
      </c>
      <c r="AO62" s="62">
        <f t="shared" si="62"/>
        <v>0</v>
      </c>
      <c r="AP62" s="62">
        <f t="shared" si="63"/>
        <v>0</v>
      </c>
      <c r="AQ62" s="63">
        <f t="shared" si="64"/>
        <v>0</v>
      </c>
      <c r="AR62" s="62">
        <f t="shared" si="65"/>
        <v>0</v>
      </c>
      <c r="AS62" s="62">
        <f t="shared" si="66"/>
        <v>0</v>
      </c>
      <c r="AT62" s="64"/>
      <c r="AU62" s="64"/>
      <c r="AV62" s="65">
        <f t="shared" si="67"/>
        <v>0</v>
      </c>
      <c r="AW62" s="65">
        <f t="shared" si="68"/>
        <v>0</v>
      </c>
      <c r="AX62" s="64"/>
      <c r="AY62" s="101"/>
      <c r="AZ62" s="80"/>
      <c r="BA62" s="66">
        <f t="shared" si="69"/>
        <v>0</v>
      </c>
      <c r="BB62" s="67"/>
      <c r="BC62" s="68"/>
      <c r="BD62" s="69">
        <f>VLOOKUP($B62,[1]CN!$B$9:$DK$221,114,0)</f>
        <v>2</v>
      </c>
      <c r="BE62" s="70">
        <f t="shared" si="70"/>
        <v>27</v>
      </c>
      <c r="BF62" s="71" t="s">
        <v>39</v>
      </c>
      <c r="BG62" s="72" t="s">
        <v>34</v>
      </c>
      <c r="BH62" s="73" t="str">
        <f>VLOOKUP(B62,'[2]Bang luong_06'!$B$9:$C$333,2,0)</f>
        <v>Kim Thị Na Huy</v>
      </c>
      <c r="BI62" s="74" t="s">
        <v>147</v>
      </c>
      <c r="BJ62" s="75" t="str">
        <f>VLOOKUP($B62,'[2]Bang luong_06'!$B$10:$C$333,2,0)</f>
        <v>Kim Thị Na Huy</v>
      </c>
      <c r="BK62" s="76" t="b">
        <f t="shared" si="71"/>
        <v>1</v>
      </c>
      <c r="BM62" s="77">
        <f>+VLOOKUP(B62,'[2]Thưởng Lễ 2-9'!B74:G364,6,0)</f>
        <v>0</v>
      </c>
      <c r="BN62" s="75">
        <f t="shared" si="72"/>
        <v>6</v>
      </c>
      <c r="BO62" s="76" t="str">
        <f>+VLOOKUP(B62,'[2]Bang luong_06'!B89:D396,3,0)</f>
        <v>CNSX</v>
      </c>
      <c r="BP62" s="76" t="s">
        <v>40</v>
      </c>
      <c r="BQ62" s="76">
        <v>8</v>
      </c>
      <c r="BR62" s="76">
        <f t="shared" si="4"/>
        <v>0</v>
      </c>
    </row>
    <row r="63" spans="1:70" s="76" customFormat="1" ht="31.5" customHeight="1" x14ac:dyDescent="0.25">
      <c r="A63" s="33">
        <f t="shared" si="24"/>
        <v>46</v>
      </c>
      <c r="B63" s="109" t="s">
        <v>147</v>
      </c>
      <c r="C63" s="110" t="s">
        <v>148</v>
      </c>
      <c r="D63" s="107">
        <v>45363</v>
      </c>
      <c r="E63" s="57" t="s">
        <v>37</v>
      </c>
      <c r="F63" s="86" t="s">
        <v>37</v>
      </c>
      <c r="G63" s="57" t="s">
        <v>37</v>
      </c>
      <c r="H63" s="57" t="s">
        <v>37</v>
      </c>
      <c r="I63" s="57" t="s">
        <v>37</v>
      </c>
      <c r="J63" s="57"/>
      <c r="K63" s="57" t="s">
        <v>38</v>
      </c>
      <c r="L63" s="57" t="s">
        <v>38</v>
      </c>
      <c r="M63" s="57" t="s">
        <v>38</v>
      </c>
      <c r="N63" s="57" t="s">
        <v>38</v>
      </c>
      <c r="O63" s="57" t="s">
        <v>38</v>
      </c>
      <c r="P63" s="57" t="s">
        <v>38</v>
      </c>
      <c r="Q63" s="57" t="s">
        <v>506</v>
      </c>
      <c r="R63" s="57" t="s">
        <v>38</v>
      </c>
      <c r="S63" s="57" t="s">
        <v>38</v>
      </c>
      <c r="T63" s="57" t="s">
        <v>38</v>
      </c>
      <c r="U63" s="57" t="s">
        <v>38</v>
      </c>
      <c r="V63" s="57" t="s">
        <v>38</v>
      </c>
      <c r="W63" s="57" t="s">
        <v>38</v>
      </c>
      <c r="X63" s="57" t="s">
        <v>506</v>
      </c>
      <c r="Y63" s="57" t="s">
        <v>37</v>
      </c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8">
        <v>10110507</v>
      </c>
      <c r="AK63" s="59">
        <v>12</v>
      </c>
      <c r="AL63" s="60">
        <f t="shared" si="59"/>
        <v>12</v>
      </c>
      <c r="AM63" s="61">
        <f t="shared" si="60"/>
        <v>6</v>
      </c>
      <c r="AN63" s="62">
        <f t="shared" si="61"/>
        <v>18</v>
      </c>
      <c r="AO63" s="62">
        <f t="shared" si="62"/>
        <v>0</v>
      </c>
      <c r="AP63" s="62">
        <f t="shared" si="63"/>
        <v>0</v>
      </c>
      <c r="AQ63" s="63">
        <f t="shared" si="64"/>
        <v>0</v>
      </c>
      <c r="AR63" s="62">
        <f t="shared" si="65"/>
        <v>0</v>
      </c>
      <c r="AS63" s="62">
        <f t="shared" si="66"/>
        <v>0</v>
      </c>
      <c r="AT63" s="64"/>
      <c r="AU63" s="64"/>
      <c r="AV63" s="65">
        <f t="shared" si="67"/>
        <v>24</v>
      </c>
      <c r="AW63" s="65">
        <f t="shared" si="68"/>
        <v>0</v>
      </c>
      <c r="AX63" s="64"/>
      <c r="AY63" s="64"/>
      <c r="AZ63" s="80"/>
      <c r="BA63" s="66">
        <f t="shared" si="69"/>
        <v>18</v>
      </c>
      <c r="BB63" s="67"/>
      <c r="BC63" s="68"/>
      <c r="BD63" s="69">
        <f>VLOOKUP($B63,[1]CN!$B$9:$DK$221,114,0)</f>
        <v>4</v>
      </c>
      <c r="BE63" s="70">
        <f t="shared" si="70"/>
        <v>27</v>
      </c>
      <c r="BF63" s="71" t="s">
        <v>39</v>
      </c>
      <c r="BG63" s="72" t="s">
        <v>34</v>
      </c>
      <c r="BH63" s="73" t="str">
        <f>VLOOKUP(B63,'[2]Bang luong_06'!$B$9:$C$333,2,0)</f>
        <v>Phan Văn Đức</v>
      </c>
      <c r="BI63" s="74" t="s">
        <v>149</v>
      </c>
      <c r="BJ63" s="75" t="str">
        <f>VLOOKUP($B63,'[2]Bang luong_06'!$B$10:$C$333,2,0)</f>
        <v>Phan Văn Đức</v>
      </c>
      <c r="BK63" s="76" t="b">
        <f t="shared" si="71"/>
        <v>1</v>
      </c>
      <c r="BM63" s="77">
        <f>+VLOOKUP(B63,'[2]Thưởng Lễ 2-9'!B81:G371,6,0)</f>
        <v>0</v>
      </c>
      <c r="BN63" s="75">
        <f t="shared" si="72"/>
        <v>6</v>
      </c>
      <c r="BO63" s="76" t="str">
        <f>+VLOOKUP(B63,'[2]Bang luong_06'!B92:D403,3,0)</f>
        <v>CNSX</v>
      </c>
      <c r="BP63" s="76" t="s">
        <v>40</v>
      </c>
      <c r="BQ63" s="76">
        <v>5</v>
      </c>
      <c r="BR63" s="76">
        <f t="shared" si="4"/>
        <v>12</v>
      </c>
    </row>
    <row r="64" spans="1:70" s="76" customFormat="1" ht="31.5" customHeight="1" x14ac:dyDescent="0.25">
      <c r="A64" s="33">
        <f t="shared" si="24"/>
        <v>47</v>
      </c>
      <c r="B64" s="105" t="s">
        <v>149</v>
      </c>
      <c r="C64" s="106" t="s">
        <v>150</v>
      </c>
      <c r="D64" s="107">
        <v>45419</v>
      </c>
      <c r="E64" s="57" t="s">
        <v>37</v>
      </c>
      <c r="F64" s="86" t="s">
        <v>37</v>
      </c>
      <c r="G64" s="57" t="s">
        <v>37</v>
      </c>
      <c r="H64" s="57" t="s">
        <v>37</v>
      </c>
      <c r="I64" s="57" t="s">
        <v>37</v>
      </c>
      <c r="J64" s="57"/>
      <c r="K64" s="57" t="s">
        <v>38</v>
      </c>
      <c r="L64" s="57" t="s">
        <v>38</v>
      </c>
      <c r="M64" s="57" t="s">
        <v>38</v>
      </c>
      <c r="N64" s="57" t="s">
        <v>38</v>
      </c>
      <c r="O64" s="57" t="s">
        <v>38</v>
      </c>
      <c r="P64" s="57" t="s">
        <v>38</v>
      </c>
      <c r="Q64" s="57" t="s">
        <v>506</v>
      </c>
      <c r="R64" s="57" t="s">
        <v>38</v>
      </c>
      <c r="S64" s="57" t="s">
        <v>38</v>
      </c>
      <c r="T64" s="57" t="s">
        <v>38</v>
      </c>
      <c r="U64" s="57" t="s">
        <v>38</v>
      </c>
      <c r="V64" s="57" t="s">
        <v>38</v>
      </c>
      <c r="W64" s="57" t="s">
        <v>38</v>
      </c>
      <c r="X64" s="57" t="s">
        <v>506</v>
      </c>
      <c r="Y64" s="57" t="s">
        <v>37</v>
      </c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8">
        <v>10110507</v>
      </c>
      <c r="AK64" s="59">
        <v>12</v>
      </c>
      <c r="AL64" s="60">
        <f t="shared" si="59"/>
        <v>12</v>
      </c>
      <c r="AM64" s="61">
        <f t="shared" si="60"/>
        <v>6</v>
      </c>
      <c r="AN64" s="62">
        <f t="shared" si="61"/>
        <v>18</v>
      </c>
      <c r="AO64" s="62">
        <f t="shared" si="62"/>
        <v>0</v>
      </c>
      <c r="AP64" s="62">
        <f t="shared" si="63"/>
        <v>0</v>
      </c>
      <c r="AQ64" s="63">
        <f t="shared" si="64"/>
        <v>0</v>
      </c>
      <c r="AR64" s="62">
        <f t="shared" si="65"/>
        <v>0</v>
      </c>
      <c r="AS64" s="62">
        <f t="shared" si="66"/>
        <v>0</v>
      </c>
      <c r="AT64" s="64"/>
      <c r="AU64" s="64"/>
      <c r="AV64" s="65">
        <f t="shared" si="67"/>
        <v>24</v>
      </c>
      <c r="AW64" s="65">
        <f t="shared" si="68"/>
        <v>0</v>
      </c>
      <c r="AX64" s="64"/>
      <c r="AY64" s="64"/>
      <c r="AZ64" s="80"/>
      <c r="BA64" s="66">
        <f t="shared" si="69"/>
        <v>18</v>
      </c>
      <c r="BB64" s="67"/>
      <c r="BC64" s="68"/>
      <c r="BD64" s="69">
        <f>VLOOKUP($B64,[1]CN!$B$9:$DK$221,114,0)</f>
        <v>2</v>
      </c>
      <c r="BE64" s="70">
        <f t="shared" si="70"/>
        <v>27</v>
      </c>
      <c r="BF64" s="71" t="s">
        <v>39</v>
      </c>
      <c r="BG64" s="72" t="s">
        <v>34</v>
      </c>
      <c r="BH64" s="73" t="str">
        <f>VLOOKUP(B64,'[2]Bang luong_06'!$B$9:$C$333,2,0)</f>
        <v>Lý Thành Lên</v>
      </c>
      <c r="BI64" s="74" t="s">
        <v>151</v>
      </c>
      <c r="BJ64" s="75" t="str">
        <f>VLOOKUP($B64,'[2]Bang luong_06'!$B$10:$C$333,2,0)</f>
        <v>Lý Thành Lên</v>
      </c>
      <c r="BK64" s="76" t="b">
        <f t="shared" si="71"/>
        <v>1</v>
      </c>
      <c r="BM64" s="77">
        <f>+VLOOKUP(B64,'[2]Thưởng Lễ 2-9'!B83:G373,6,0)</f>
        <v>0</v>
      </c>
      <c r="BN64" s="75">
        <f t="shared" si="72"/>
        <v>4</v>
      </c>
      <c r="BO64" s="76" t="str">
        <f>+VLOOKUP(B64,'[2]Bang luong_06'!B95:D405,3,0)</f>
        <v>CNSX</v>
      </c>
      <c r="BP64" s="76" t="s">
        <v>40</v>
      </c>
      <c r="BQ64" s="76">
        <v>1</v>
      </c>
      <c r="BR64" s="76">
        <f t="shared" si="4"/>
        <v>12</v>
      </c>
    </row>
    <row r="65" spans="1:70" s="76" customFormat="1" ht="31.5" customHeight="1" x14ac:dyDescent="0.25">
      <c r="A65" s="33">
        <f t="shared" si="24"/>
        <v>48</v>
      </c>
      <c r="B65" s="78" t="s">
        <v>151</v>
      </c>
      <c r="C65" s="55" t="s">
        <v>152</v>
      </c>
      <c r="D65" s="79">
        <v>45444</v>
      </c>
      <c r="E65" s="57" t="s">
        <v>37</v>
      </c>
      <c r="F65" s="86" t="s">
        <v>37</v>
      </c>
      <c r="G65" s="57" t="s">
        <v>37</v>
      </c>
      <c r="H65" s="57" t="s">
        <v>37</v>
      </c>
      <c r="I65" s="57" t="s">
        <v>37</v>
      </c>
      <c r="J65" s="57"/>
      <c r="K65" s="57" t="s">
        <v>38</v>
      </c>
      <c r="L65" s="57" t="s">
        <v>38</v>
      </c>
      <c r="M65" s="57" t="s">
        <v>38</v>
      </c>
      <c r="N65" s="57" t="s">
        <v>38</v>
      </c>
      <c r="O65" s="57" t="s">
        <v>38</v>
      </c>
      <c r="P65" s="57" t="s">
        <v>38</v>
      </c>
      <c r="Q65" s="57"/>
      <c r="R65" s="57" t="s">
        <v>38</v>
      </c>
      <c r="S65" s="57" t="s">
        <v>38</v>
      </c>
      <c r="T65" s="57" t="s">
        <v>38</v>
      </c>
      <c r="U65" s="57" t="s">
        <v>38</v>
      </c>
      <c r="V65" s="57" t="s">
        <v>38</v>
      </c>
      <c r="W65" s="57" t="s">
        <v>38</v>
      </c>
      <c r="X65" s="57" t="s">
        <v>511</v>
      </c>
      <c r="Y65" s="57" t="s">
        <v>37</v>
      </c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8">
        <v>10110504</v>
      </c>
      <c r="AK65" s="59">
        <v>12</v>
      </c>
      <c r="AL65" s="60">
        <f t="shared" si="59"/>
        <v>12</v>
      </c>
      <c r="AM65" s="61">
        <f t="shared" si="60"/>
        <v>6</v>
      </c>
      <c r="AN65" s="62">
        <f t="shared" si="61"/>
        <v>18</v>
      </c>
      <c r="AO65" s="62">
        <f>COUNTIF(E65:AI65,"p")+COUNTIF(E65:AI65,"p1")/2+COUNTIF(E65:AI65,"p2")/2</f>
        <v>0</v>
      </c>
      <c r="AP65" s="62">
        <f>COUNTIF(E65:AI65,"K")</f>
        <v>0</v>
      </c>
      <c r="AQ65" s="63">
        <f>COUNTIF(E65:AI65,"Ro")+COUNTIF(E65:AI65,"Ro1")*11/AK65+COUNTIF(E65:AI65,"Ro2")*10/AK65+COUNTIF(E65:AI65,"Ro3")*9/AK65+COUNTIF(E65:AI65,"Ro3.0")*9/AK65+COUNTIF(E65:AI65,"Ro4")*8/AK65+COUNTIF(E65:AI65,"Ro4.0")*8/AK65+COUNTIF(E65:AI65,"Ro4.5")*7.5/AK65+COUNTIF(E65:AI65,"Ro5")*7/AK65+COUNTIF(E65:AI65,"Ro5.0")*7/AK65+COUNTIF(E65:AI65,"Ro5.5")*6.5/AK65+COUNTIF(E65:AI65,"Ro6")*6/AK65+COUNTIF(E65:AI65,"Ro7")*5/AK65+COUNTIF(E65:AI65,"Ro8")*4/AK65+COUNTIF(E65:AI65,"Ro8.0")*4/AK65+COUNTIF(E65:AI65,"Ro8.3")*3.7/AK65+COUNTIF(E65:AI65,"Ro8.5")*3.5/AK65+COUNTIF(E65:AI65,"Ro9")*3/AK65+COUNTIF(E65:AI65,"Ro10")*2/AK65+COUNTIF(E65:AI65,"Ro10.0")*2/AK65+COUNTIF(E65:AI65,"Ro10.5")*1.5/AK65+COUNTIF(E65:AI65,"Ro11.0")*1/AK65+COUNTIF(E65:AI65,"Ro11")*1/AK65+COUNTIF(E65:AI65,"Ro11.5")*0.5/AK65+COUNTIF(E65:AI65,"N1")*11/AK65+COUNTIF(E65:AI65,"N2")*10/AK65+COUNTIF(E65:AI65,"N3")*9/AK65+COUNTIF(E65:AI65,"N4")*8/AK65+COUNTIF(E65:AI65,"N5")*7/AK65+COUNTIF(E65:AI65,"N6")*6/AK65+COUNTIF(E65:AI65,"N7")*5/AK65+COUNTIF(E65:AI65,"N8")*4/AK65+COUNTIF(E65:AI65,"N9")*3/AK65+COUNTIF(E65:AI65,"N10")*2/AK65+COUNTIF(E65:AI65,"N11")*1/AK65+COUNTIF(E65:AI65,"D1")*11/AK65+COUNTIF(E65:AI65,"D2")*10/AK65+COUNTIF(E65:AI65,"D3")*9/AK65+COUNTIF(E65:AI65,"D4")*8/AK65+COUNTIF(E65:AI65,"D5")*7/AK65+COUNTIF(E65:AI65,"D6")*6/AK65+COUNTIF(E65:AI65,"D7")*5/AK65+COUNTIF(E65:AI65,"D8")*4/AK65+COUNTIF(E65:AI65,"D9")*3/AK65+COUNTIF(E65:AI65,"D10")*2/AK65+COUNTIF(E65:AI65,"D11")*1/AK65+COUNTIF(E65:AI65,"P1")*0.5</f>
        <v>0</v>
      </c>
      <c r="AR65" s="62">
        <f>COUNTIF(E65:AI65,"R")</f>
        <v>0</v>
      </c>
      <c r="AS65" s="62">
        <f>COUNTIF(E65:AI65,"L")</f>
        <v>0</v>
      </c>
      <c r="AT65" s="64"/>
      <c r="AU65" s="64"/>
      <c r="AV65" s="65">
        <f t="shared" si="67"/>
        <v>0</v>
      </c>
      <c r="AW65" s="65">
        <f t="shared" si="68"/>
        <v>0</v>
      </c>
      <c r="AX65" s="64"/>
      <c r="AY65" s="64"/>
      <c r="AZ65" s="80"/>
      <c r="BA65" s="66">
        <f t="shared" si="69"/>
        <v>18</v>
      </c>
      <c r="BB65" s="67"/>
      <c r="BC65" s="68"/>
      <c r="BD65" s="69">
        <f>VLOOKUP($B65,[1]CN!$B$9:$DK$221,114,0)</f>
        <v>1</v>
      </c>
      <c r="BE65" s="70">
        <f t="shared" si="70"/>
        <v>27</v>
      </c>
      <c r="BF65" s="71" t="s">
        <v>39</v>
      </c>
      <c r="BG65" s="72" t="s">
        <v>34</v>
      </c>
      <c r="BH65" s="73" t="str">
        <f>VLOOKUP(B65,'[2]Bang luong_06'!$B$9:$C$333,2,0)</f>
        <v>Trần Văn Mến</v>
      </c>
      <c r="BI65" s="74" t="s">
        <v>116</v>
      </c>
      <c r="BJ65" s="75" t="str">
        <f>VLOOKUP($B65,'[2]Bang luong_06'!$B$10:$C$333,2,0)</f>
        <v>Trần Văn Mến</v>
      </c>
      <c r="BK65" s="76" t="b">
        <f>BJ65=C65</f>
        <v>1</v>
      </c>
      <c r="BM65" s="77">
        <f>+VLOOKUP(B65,'[2]Thưởng Lễ 2-9'!B40:G330,6,0)</f>
        <v>0</v>
      </c>
      <c r="BN65" s="75">
        <f>ROUND(($BN$12-D65)/30,0)</f>
        <v>3</v>
      </c>
      <c r="BO65" s="76" t="str">
        <f>+VLOOKUP(B65,'[2]Bang luong_06'!B47:D362,3,0)</f>
        <v>CNSX</v>
      </c>
      <c r="BP65" s="76" t="s">
        <v>40</v>
      </c>
      <c r="BQ65" s="76">
        <v>1</v>
      </c>
      <c r="BR65" s="76">
        <f t="shared" si="4"/>
        <v>12</v>
      </c>
    </row>
    <row r="66" spans="1:70" s="114" customFormat="1" ht="31.5" customHeight="1" x14ac:dyDescent="0.25">
      <c r="A66" s="33">
        <f t="shared" si="24"/>
        <v>49</v>
      </c>
      <c r="B66" s="78" t="s">
        <v>153</v>
      </c>
      <c r="C66" s="111" t="s">
        <v>154</v>
      </c>
      <c r="D66" s="56">
        <v>45554</v>
      </c>
      <c r="E66" s="57" t="s">
        <v>37</v>
      </c>
      <c r="F66" s="86" t="s">
        <v>37</v>
      </c>
      <c r="G66" s="57" t="s">
        <v>37</v>
      </c>
      <c r="H66" s="57" t="s">
        <v>37</v>
      </c>
      <c r="I66" s="57" t="s">
        <v>37</v>
      </c>
      <c r="J66" s="57"/>
      <c r="K66" s="57" t="s">
        <v>38</v>
      </c>
      <c r="L66" s="57" t="s">
        <v>38</v>
      </c>
      <c r="M66" s="57" t="s">
        <v>38</v>
      </c>
      <c r="N66" s="57" t="s">
        <v>38</v>
      </c>
      <c r="O66" s="57" t="s">
        <v>38</v>
      </c>
      <c r="P66" s="57" t="s">
        <v>38</v>
      </c>
      <c r="Q66" s="57"/>
      <c r="R66" s="57" t="s">
        <v>38</v>
      </c>
      <c r="S66" s="57" t="s">
        <v>38</v>
      </c>
      <c r="T66" s="57" t="s">
        <v>38</v>
      </c>
      <c r="U66" s="57" t="s">
        <v>38</v>
      </c>
      <c r="V66" s="57" t="s">
        <v>38</v>
      </c>
      <c r="W66" s="57" t="s">
        <v>38</v>
      </c>
      <c r="X66" s="57" t="s">
        <v>506</v>
      </c>
      <c r="Y66" s="57" t="s">
        <v>37</v>
      </c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112">
        <v>10110507</v>
      </c>
      <c r="AK66" s="59">
        <v>12</v>
      </c>
      <c r="AL66" s="60">
        <f t="shared" si="59"/>
        <v>12</v>
      </c>
      <c r="AM66" s="61">
        <f t="shared" si="60"/>
        <v>6</v>
      </c>
      <c r="AN66" s="62">
        <f t="shared" si="61"/>
        <v>18</v>
      </c>
      <c r="AO66" s="62">
        <f t="shared" ref="AO66:AO119" si="73">COUNTIF(E66:AI66,"p")+COUNTIF(E66:AI66,"p1")/2+COUNTIF(E66:AI66,"p2")/2</f>
        <v>0</v>
      </c>
      <c r="AP66" s="62">
        <f t="shared" ref="AP66:AP119" si="74">COUNTIF(E66:AI66,"K")</f>
        <v>0</v>
      </c>
      <c r="AQ66" s="63">
        <f t="shared" ref="AQ66:AQ119" si="75">COUNTIF(E66:AI66,"Ro")+COUNTIF(E66:AI66,"Ro1")*11/AK66+COUNTIF(E66:AI66,"Ro2")*10/AK66+COUNTIF(E66:AI66,"Ro3")*9/AK66+COUNTIF(E66:AI66,"Ro3.0")*9/AK66+COUNTIF(E66:AI66,"Ro4")*8/AK66+COUNTIF(E66:AI66,"Ro4.0")*8/AK66+COUNTIF(E66:AI66,"Ro4.5")*7.5/AK66+COUNTIF(E66:AI66,"Ro5")*7/AK66+COUNTIF(E66:AI66,"Ro5.0")*7/AK66+COUNTIF(E66:AI66,"Ro5.5")*6.5/AK66+COUNTIF(E66:AI66,"Ro6")*6/AK66+COUNTIF(E66:AI66,"Ro7")*5/AK66+COUNTIF(E66:AI66,"Ro8")*4/AK66+COUNTIF(E66:AI66,"Ro8.0")*4/AK66+COUNTIF(E66:AI66,"Ro8.3")*3.7/AK66+COUNTIF(E66:AI66,"Ro8.5")*3.5/AK66+COUNTIF(E66:AI66,"Ro9")*3/AK66+COUNTIF(E66:AI66,"Ro10")*2/AK66+COUNTIF(E66:AI66,"Ro10.0")*2/AK66+COUNTIF(E66:AI66,"Ro10.5")*1.5/AK66+COUNTIF(E66:AI66,"Ro11.0")*1/AK66+COUNTIF(E66:AI66,"Ro11")*1/AK66+COUNTIF(E66:AI66,"Ro11.5")*0.5/AK66+COUNTIF(E66:AI66,"N1")*11/AK66+COUNTIF(E66:AI66,"N2")*10/AK66+COUNTIF(E66:AI66,"N3")*9/AK66+COUNTIF(E66:AI66,"N4")*8/AK66+COUNTIF(E66:AI66,"N5")*7/AK66+COUNTIF(E66:AI66,"N6")*6/AK66+COUNTIF(E66:AI66,"N7")*5/AK66+COUNTIF(E66:AI66,"N8")*4/AK66+COUNTIF(E66:AI66,"N9")*3/AK66+COUNTIF(E66:AI66,"N10")*2/AK66+COUNTIF(E66:AI66,"N11")*1/AK66+COUNTIF(E66:AI66,"D1")*11/AK66+COUNTIF(E66:AI66,"D2")*10/AK66+COUNTIF(E66:AI66,"D3")*9/AK66+COUNTIF(E66:AI66,"D4")*8/AK66+COUNTIF(E66:AI66,"D5")*7/AK66+COUNTIF(E66:AI66,"D6")*6/AK66+COUNTIF(E66:AI66,"D7")*5/AK66+COUNTIF(E66:AI66,"D8")*4/AK66+COUNTIF(E66:AI66,"D9")*3/AK66+COUNTIF(E66:AI66,"D10")*2/AK66+COUNTIF(E66:AI66,"D11")*1/AK66+COUNTIF(E66:AI66,"P1")*0.5</f>
        <v>0</v>
      </c>
      <c r="AR66" s="62">
        <f t="shared" ref="AR66:AR119" si="76">COUNTIF(E66:AI66,"R")</f>
        <v>0</v>
      </c>
      <c r="AS66" s="62">
        <f t="shared" ref="AS66:AS119" si="77">COUNTIF(E66:AI66,"L")</f>
        <v>0</v>
      </c>
      <c r="AT66" s="64"/>
      <c r="AU66" s="64"/>
      <c r="AV66" s="65">
        <f t="shared" si="67"/>
        <v>12</v>
      </c>
      <c r="AW66" s="65">
        <f t="shared" si="68"/>
        <v>0</v>
      </c>
      <c r="AX66" s="104"/>
      <c r="AY66" s="64"/>
      <c r="AZ66" s="113"/>
      <c r="BA66" s="66">
        <f t="shared" si="69"/>
        <v>18</v>
      </c>
      <c r="BB66" s="67"/>
      <c r="BC66" s="68"/>
      <c r="BD66" s="69">
        <f>VLOOKUP($B66,[1]CN!$B$9:$DK$221,114,0)</f>
        <v>2</v>
      </c>
      <c r="BE66" s="70">
        <f t="shared" si="70"/>
        <v>27</v>
      </c>
      <c r="BF66" s="71" t="s">
        <v>39</v>
      </c>
      <c r="BG66" s="72">
        <v>0</v>
      </c>
      <c r="BH66" s="73" t="str">
        <f>VLOOKUP(B66,'[2]Bang luong_06'!$B$9:$C$333,2,0)</f>
        <v>Chau Thiên</v>
      </c>
      <c r="BI66" s="74" t="s">
        <v>155</v>
      </c>
      <c r="BJ66" s="75" t="str">
        <f>VLOOKUP($B66,'[2]Bang luong_06'!$B$10:$C$333,2,0)</f>
        <v>Chau Thiên</v>
      </c>
      <c r="BK66" s="76" t="b">
        <f t="shared" ref="BK66:BK119" si="78">BJ66=C66</f>
        <v>1</v>
      </c>
      <c r="BM66" s="77" t="e">
        <f>+VLOOKUP(B66,'[2]Thưởng Lễ 2-9'!B44:G334,6,0)</f>
        <v>#N/A</v>
      </c>
      <c r="BN66" s="75">
        <f t="shared" ref="BN66:BN119" si="79">ROUND(($BN$12-D66)/30,0)</f>
        <v>-1</v>
      </c>
      <c r="BO66" s="76" t="str">
        <f>+VLOOKUP(B66,'[2]Bang luong_06'!B51:D366,3,0)</f>
        <v>CNSX</v>
      </c>
      <c r="BP66" s="76" t="s">
        <v>40</v>
      </c>
      <c r="BQ66" s="76">
        <v>4</v>
      </c>
      <c r="BR66" s="76">
        <f t="shared" si="4"/>
        <v>12</v>
      </c>
    </row>
    <row r="67" spans="1:70" s="76" customFormat="1" ht="31.5" customHeight="1" x14ac:dyDescent="0.25">
      <c r="A67" s="33">
        <f t="shared" si="24"/>
        <v>50</v>
      </c>
      <c r="B67" s="78" t="s">
        <v>155</v>
      </c>
      <c r="C67" s="55" t="s">
        <v>156</v>
      </c>
      <c r="D67" s="79">
        <v>41098</v>
      </c>
      <c r="E67" s="57" t="s">
        <v>37</v>
      </c>
      <c r="F67" s="102" t="s">
        <v>37</v>
      </c>
      <c r="G67" s="57" t="s">
        <v>37</v>
      </c>
      <c r="H67" s="102" t="s">
        <v>37</v>
      </c>
      <c r="I67" s="102" t="s">
        <v>37</v>
      </c>
      <c r="J67" s="102"/>
      <c r="K67" s="102" t="s">
        <v>38</v>
      </c>
      <c r="L67" s="57" t="s">
        <v>38</v>
      </c>
      <c r="M67" s="102" t="s">
        <v>38</v>
      </c>
      <c r="N67" s="102" t="s">
        <v>38</v>
      </c>
      <c r="O67" s="102" t="s">
        <v>38</v>
      </c>
      <c r="P67" s="102" t="s">
        <v>38</v>
      </c>
      <c r="Q67" s="102" t="s">
        <v>506</v>
      </c>
      <c r="R67" s="102" t="s">
        <v>38</v>
      </c>
      <c r="S67" s="57" t="s">
        <v>38</v>
      </c>
      <c r="T67" s="57" t="s">
        <v>38</v>
      </c>
      <c r="U67" s="102" t="s">
        <v>38</v>
      </c>
      <c r="V67" s="102" t="s">
        <v>38</v>
      </c>
      <c r="W67" s="102" t="s">
        <v>38</v>
      </c>
      <c r="X67" s="102" t="s">
        <v>507</v>
      </c>
      <c r="Y67" s="102" t="s">
        <v>37</v>
      </c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8">
        <v>10110507</v>
      </c>
      <c r="AK67" s="59">
        <v>12</v>
      </c>
      <c r="AL67" s="60">
        <f t="shared" si="59"/>
        <v>12</v>
      </c>
      <c r="AM67" s="61">
        <f t="shared" si="60"/>
        <v>6</v>
      </c>
      <c r="AN67" s="62">
        <f t="shared" si="61"/>
        <v>18</v>
      </c>
      <c r="AO67" s="62">
        <f t="shared" si="73"/>
        <v>0</v>
      </c>
      <c r="AP67" s="62">
        <f t="shared" si="74"/>
        <v>0</v>
      </c>
      <c r="AQ67" s="63">
        <f t="shared" si="75"/>
        <v>0</v>
      </c>
      <c r="AR67" s="62">
        <f t="shared" si="76"/>
        <v>0</v>
      </c>
      <c r="AS67" s="62">
        <f t="shared" si="77"/>
        <v>0</v>
      </c>
      <c r="AT67" s="64"/>
      <c r="AU67" s="64"/>
      <c r="AV67" s="65">
        <f t="shared" si="67"/>
        <v>12</v>
      </c>
      <c r="AW67" s="65">
        <f t="shared" si="68"/>
        <v>12</v>
      </c>
      <c r="AX67" s="104"/>
      <c r="AY67" s="64"/>
      <c r="AZ67" s="80"/>
      <c r="BA67" s="66">
        <f t="shared" si="69"/>
        <v>18</v>
      </c>
      <c r="BB67" s="67"/>
      <c r="BC67" s="68"/>
      <c r="BD67" s="69">
        <f>VLOOKUP($B67,[1]CN!$B$9:$DK$221,114,0)</f>
        <v>5</v>
      </c>
      <c r="BE67" s="70">
        <f t="shared" si="70"/>
        <v>27</v>
      </c>
      <c r="BF67" s="71" t="s">
        <v>39</v>
      </c>
      <c r="BG67" s="72">
        <v>0</v>
      </c>
      <c r="BH67" s="73" t="str">
        <f>VLOOKUP(B67,'[2]Bang luong_06'!$B$9:$C$333,2,0)</f>
        <v>Danh Chao Lốt</v>
      </c>
      <c r="BI67" s="74" t="s">
        <v>157</v>
      </c>
      <c r="BJ67" s="75" t="str">
        <f>VLOOKUP($B67,'[2]Bang luong_06'!$B$10:$C$333,2,0)</f>
        <v>Danh Chao Lốt</v>
      </c>
      <c r="BK67" s="76" t="b">
        <f t="shared" si="78"/>
        <v>1</v>
      </c>
      <c r="BM67" s="77">
        <f>+VLOOKUP(B67,'[2]Thưởng Lễ 2-9'!B52:G342,6,0)</f>
        <v>0</v>
      </c>
      <c r="BN67" s="75">
        <f t="shared" si="79"/>
        <v>148</v>
      </c>
      <c r="BO67" s="76" t="str">
        <f>+VLOOKUP(B67,'[2]Bang luong_06'!B65:D374,3,0)</f>
        <v>CNSX</v>
      </c>
      <c r="BP67" s="76" t="s">
        <v>40</v>
      </c>
      <c r="BQ67" s="76">
        <v>11</v>
      </c>
      <c r="BR67" s="76">
        <f t="shared" si="4"/>
        <v>12</v>
      </c>
    </row>
    <row r="68" spans="1:70" s="76" customFormat="1" ht="31.5" customHeight="1" x14ac:dyDescent="0.25">
      <c r="A68" s="33">
        <f t="shared" si="24"/>
        <v>51</v>
      </c>
      <c r="B68" s="78" t="s">
        <v>157</v>
      </c>
      <c r="C68" s="55" t="s">
        <v>158</v>
      </c>
      <c r="D68" s="79">
        <v>42072</v>
      </c>
      <c r="E68" s="57" t="s">
        <v>38</v>
      </c>
      <c r="F68" s="57" t="s">
        <v>38</v>
      </c>
      <c r="G68" s="57" t="s">
        <v>38</v>
      </c>
      <c r="H68" s="57" t="s">
        <v>38</v>
      </c>
      <c r="I68" s="57" t="s">
        <v>38</v>
      </c>
      <c r="J68" s="57" t="s">
        <v>513</v>
      </c>
      <c r="K68" s="57" t="s">
        <v>37</v>
      </c>
      <c r="L68" s="57" t="s">
        <v>37</v>
      </c>
      <c r="M68" s="57" t="s">
        <v>37</v>
      </c>
      <c r="N68" s="57" t="s">
        <v>37</v>
      </c>
      <c r="O68" s="57" t="s">
        <v>37</v>
      </c>
      <c r="P68" s="57" t="s">
        <v>37</v>
      </c>
      <c r="Q68" s="57" t="s">
        <v>507</v>
      </c>
      <c r="R68" s="57" t="s">
        <v>37</v>
      </c>
      <c r="S68" s="57" t="s">
        <v>37</v>
      </c>
      <c r="T68" s="57" t="s">
        <v>37</v>
      </c>
      <c r="U68" s="57" t="s">
        <v>37</v>
      </c>
      <c r="V68" s="57" t="s">
        <v>37</v>
      </c>
      <c r="W68" s="57" t="s">
        <v>37</v>
      </c>
      <c r="X68" s="57"/>
      <c r="Y68" s="57" t="s">
        <v>38</v>
      </c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8">
        <v>10110507</v>
      </c>
      <c r="AK68" s="59">
        <v>12</v>
      </c>
      <c r="AL68" s="60">
        <f t="shared" si="59"/>
        <v>6</v>
      </c>
      <c r="AM68" s="61">
        <f t="shared" si="60"/>
        <v>12</v>
      </c>
      <c r="AN68" s="62">
        <f t="shared" si="61"/>
        <v>18</v>
      </c>
      <c r="AO68" s="62">
        <f t="shared" si="73"/>
        <v>0</v>
      </c>
      <c r="AP68" s="62">
        <f t="shared" si="74"/>
        <v>0</v>
      </c>
      <c r="AQ68" s="63">
        <f t="shared" si="75"/>
        <v>0</v>
      </c>
      <c r="AR68" s="62">
        <f t="shared" si="76"/>
        <v>0</v>
      </c>
      <c r="AS68" s="62">
        <f t="shared" si="77"/>
        <v>0</v>
      </c>
      <c r="AT68" s="64"/>
      <c r="AU68" s="64"/>
      <c r="AV68" s="65">
        <f t="shared" si="67"/>
        <v>0</v>
      </c>
      <c r="AW68" s="65">
        <f t="shared" si="68"/>
        <v>12</v>
      </c>
      <c r="AX68" s="64"/>
      <c r="AY68" s="64"/>
      <c r="AZ68" s="80"/>
      <c r="BA68" s="66">
        <f t="shared" si="69"/>
        <v>18</v>
      </c>
      <c r="BB68" s="67"/>
      <c r="BC68" s="68"/>
      <c r="BD68" s="69">
        <f>VLOOKUP($B68,[1]CN!$B$9:$DK$221,114,0)</f>
        <v>5</v>
      </c>
      <c r="BE68" s="70">
        <f t="shared" si="70"/>
        <v>27</v>
      </c>
      <c r="BF68" s="71" t="s">
        <v>39</v>
      </c>
      <c r="BG68" s="72">
        <v>0</v>
      </c>
      <c r="BH68" s="73" t="str">
        <f>VLOOKUP(B68,'[2]Bang luong_06'!$B$9:$C$333,2,0)</f>
        <v>Đặng Văn Giang</v>
      </c>
      <c r="BI68" s="74" t="s">
        <v>160</v>
      </c>
      <c r="BJ68" s="75" t="str">
        <f>VLOOKUP($B68,'[2]Bang luong_06'!$B$10:$C$333,2,0)</f>
        <v>Đặng Văn Giang</v>
      </c>
      <c r="BK68" s="76" t="b">
        <f t="shared" si="78"/>
        <v>1</v>
      </c>
      <c r="BM68" s="77">
        <f>+VLOOKUP(B68,'[2]Thưởng Lễ 2-9'!B54:G344,6,0)</f>
        <v>0</v>
      </c>
      <c r="BN68" s="75">
        <f t="shared" si="79"/>
        <v>115</v>
      </c>
      <c r="BO68" s="76" t="str">
        <f>+VLOOKUP(B68,'[2]Bang luong_06'!B65:D376,3,0)</f>
        <v>CNSX</v>
      </c>
      <c r="BP68" s="76" t="s">
        <v>40</v>
      </c>
      <c r="BQ68" s="76">
        <v>12</v>
      </c>
      <c r="BR68" s="76">
        <f t="shared" si="4"/>
        <v>6</v>
      </c>
    </row>
    <row r="69" spans="1:70" s="76" customFormat="1" ht="31.5" customHeight="1" x14ac:dyDescent="0.25">
      <c r="A69" s="33">
        <f t="shared" si="24"/>
        <v>52</v>
      </c>
      <c r="B69" s="78" t="s">
        <v>160</v>
      </c>
      <c r="C69" s="55" t="s">
        <v>161</v>
      </c>
      <c r="D69" s="79">
        <v>43878</v>
      </c>
      <c r="E69" s="57" t="s">
        <v>38</v>
      </c>
      <c r="F69" s="57" t="s">
        <v>38</v>
      </c>
      <c r="G69" s="57" t="s">
        <v>38</v>
      </c>
      <c r="H69" s="57" t="s">
        <v>38</v>
      </c>
      <c r="I69" s="57" t="s">
        <v>38</v>
      </c>
      <c r="J69" s="57"/>
      <c r="K69" s="57" t="s">
        <v>37</v>
      </c>
      <c r="L69" s="57" t="s">
        <v>37</v>
      </c>
      <c r="M69" s="57" t="s">
        <v>37</v>
      </c>
      <c r="N69" s="57" t="s">
        <v>37</v>
      </c>
      <c r="O69" s="57" t="s">
        <v>37</v>
      </c>
      <c r="P69" s="57" t="s">
        <v>37</v>
      </c>
      <c r="Q69" s="57" t="s">
        <v>507</v>
      </c>
      <c r="R69" s="57" t="s">
        <v>37</v>
      </c>
      <c r="S69" s="57" t="s">
        <v>37</v>
      </c>
      <c r="T69" s="57" t="s">
        <v>37</v>
      </c>
      <c r="U69" s="57" t="s">
        <v>37</v>
      </c>
      <c r="V69" s="57" t="s">
        <v>37</v>
      </c>
      <c r="W69" s="57" t="s">
        <v>37</v>
      </c>
      <c r="X69" s="57"/>
      <c r="Y69" s="57" t="s">
        <v>38</v>
      </c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8">
        <v>10110507</v>
      </c>
      <c r="AK69" s="59">
        <v>12</v>
      </c>
      <c r="AL69" s="60">
        <f t="shared" si="59"/>
        <v>6</v>
      </c>
      <c r="AM69" s="61">
        <f t="shared" si="60"/>
        <v>12</v>
      </c>
      <c r="AN69" s="62">
        <f t="shared" si="61"/>
        <v>18</v>
      </c>
      <c r="AO69" s="62">
        <f t="shared" si="73"/>
        <v>0</v>
      </c>
      <c r="AP69" s="62">
        <f t="shared" si="74"/>
        <v>0</v>
      </c>
      <c r="AQ69" s="63">
        <f t="shared" si="75"/>
        <v>0</v>
      </c>
      <c r="AR69" s="62">
        <f t="shared" si="76"/>
        <v>0</v>
      </c>
      <c r="AS69" s="62">
        <f t="shared" si="77"/>
        <v>0</v>
      </c>
      <c r="AT69" s="64"/>
      <c r="AU69" s="64"/>
      <c r="AV69" s="65">
        <f t="shared" si="67"/>
        <v>0</v>
      </c>
      <c r="AW69" s="65">
        <f t="shared" si="68"/>
        <v>12</v>
      </c>
      <c r="AX69" s="64"/>
      <c r="AY69" s="64"/>
      <c r="AZ69" s="80"/>
      <c r="BA69" s="66">
        <f t="shared" si="69"/>
        <v>18</v>
      </c>
      <c r="BB69" s="67"/>
      <c r="BC69" s="99"/>
      <c r="BD69" s="69">
        <f>VLOOKUP($B69,[1]CN!$B$9:$DK$221,114,0)</f>
        <v>4</v>
      </c>
      <c r="BE69" s="70">
        <f t="shared" si="70"/>
        <v>27</v>
      </c>
      <c r="BF69" s="71" t="s">
        <v>39</v>
      </c>
      <c r="BG69" s="72" t="s">
        <v>34</v>
      </c>
      <c r="BH69" s="73" t="str">
        <f>VLOOKUP(B69,'[2]Bang luong_06'!$B$9:$C$333,2,0)</f>
        <v>Lê Văn Lượng</v>
      </c>
      <c r="BI69" s="74" t="s">
        <v>162</v>
      </c>
      <c r="BJ69" s="75" t="str">
        <f>VLOOKUP($B69,'[2]Bang luong_06'!$B$10:$C$333,2,0)</f>
        <v>Lê Văn Lượng</v>
      </c>
      <c r="BK69" s="76" t="b">
        <f t="shared" si="78"/>
        <v>1</v>
      </c>
      <c r="BM69" s="77">
        <f>+VLOOKUP(B69,'[2]Thưởng Lễ 2-9'!B57:G347,6,0)</f>
        <v>0</v>
      </c>
      <c r="BN69" s="75">
        <f t="shared" si="79"/>
        <v>55</v>
      </c>
      <c r="BO69" s="76" t="str">
        <f>+VLOOKUP(B69,'[2]Bang luong_06'!B66:D379,3,0)</f>
        <v>CNSX</v>
      </c>
      <c r="BP69" s="76" t="s">
        <v>40</v>
      </c>
      <c r="BQ69" s="76">
        <v>1</v>
      </c>
      <c r="BR69" s="76">
        <f t="shared" si="4"/>
        <v>6</v>
      </c>
    </row>
    <row r="70" spans="1:70" s="76" customFormat="1" ht="31.5" customHeight="1" x14ac:dyDescent="0.25">
      <c r="A70" s="33">
        <f t="shared" si="24"/>
        <v>53</v>
      </c>
      <c r="B70" s="33" t="s">
        <v>163</v>
      </c>
      <c r="C70" s="55" t="s">
        <v>164</v>
      </c>
      <c r="D70" s="56">
        <v>43969</v>
      </c>
      <c r="E70" s="57" t="s">
        <v>38</v>
      </c>
      <c r="F70" s="57" t="s">
        <v>38</v>
      </c>
      <c r="G70" s="57" t="s">
        <v>38</v>
      </c>
      <c r="H70" s="57" t="s">
        <v>38</v>
      </c>
      <c r="I70" s="57" t="s">
        <v>38</v>
      </c>
      <c r="J70" s="57"/>
      <c r="K70" s="57" t="s">
        <v>37</v>
      </c>
      <c r="L70" s="57" t="s">
        <v>37</v>
      </c>
      <c r="M70" s="57" t="s">
        <v>37</v>
      </c>
      <c r="N70" s="57" t="s">
        <v>37</v>
      </c>
      <c r="O70" s="57" t="s">
        <v>37</v>
      </c>
      <c r="P70" s="57" t="s">
        <v>37</v>
      </c>
      <c r="Q70" s="57" t="s">
        <v>507</v>
      </c>
      <c r="R70" s="57" t="s">
        <v>37</v>
      </c>
      <c r="S70" s="57" t="s">
        <v>37</v>
      </c>
      <c r="T70" s="57" t="s">
        <v>37</v>
      </c>
      <c r="U70" s="57" t="s">
        <v>37</v>
      </c>
      <c r="V70" s="57" t="s">
        <v>37</v>
      </c>
      <c r="W70" s="57" t="s">
        <v>37</v>
      </c>
      <c r="X70" s="57"/>
      <c r="Y70" s="57" t="s">
        <v>38</v>
      </c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8">
        <v>10110507</v>
      </c>
      <c r="AK70" s="59">
        <v>12</v>
      </c>
      <c r="AL70" s="60">
        <f t="shared" si="59"/>
        <v>6</v>
      </c>
      <c r="AM70" s="61">
        <f t="shared" si="60"/>
        <v>12</v>
      </c>
      <c r="AN70" s="62">
        <f t="shared" si="61"/>
        <v>18</v>
      </c>
      <c r="AO70" s="62">
        <f t="shared" si="73"/>
        <v>0</v>
      </c>
      <c r="AP70" s="62">
        <f t="shared" si="74"/>
        <v>0</v>
      </c>
      <c r="AQ70" s="63">
        <f t="shared" si="75"/>
        <v>0</v>
      </c>
      <c r="AR70" s="62">
        <f t="shared" si="76"/>
        <v>0</v>
      </c>
      <c r="AS70" s="62">
        <f t="shared" si="77"/>
        <v>0</v>
      </c>
      <c r="AT70" s="64"/>
      <c r="AU70" s="64"/>
      <c r="AV70" s="65">
        <f t="shared" si="67"/>
        <v>0</v>
      </c>
      <c r="AW70" s="65">
        <f t="shared" si="68"/>
        <v>12</v>
      </c>
      <c r="AX70" s="64"/>
      <c r="AY70" s="64"/>
      <c r="AZ70" s="80"/>
      <c r="BA70" s="66">
        <f t="shared" si="69"/>
        <v>18</v>
      </c>
      <c r="BB70" s="67"/>
      <c r="BC70" s="68"/>
      <c r="BD70" s="69">
        <f>VLOOKUP($B70,[1]CN!$B$9:$DK$221,114,0)</f>
        <v>4</v>
      </c>
      <c r="BE70" s="70">
        <f t="shared" si="70"/>
        <v>27</v>
      </c>
      <c r="BF70" s="71" t="s">
        <v>39</v>
      </c>
      <c r="BG70" s="72">
        <v>0</v>
      </c>
      <c r="BH70" s="73" t="str">
        <f>VLOOKUP(B70,'[2]Bang luong_06'!$B$9:$C$333,2,0)</f>
        <v>Lý Si Phonh</v>
      </c>
      <c r="BI70" s="74" t="s">
        <v>163</v>
      </c>
      <c r="BJ70" s="75" t="str">
        <f>VLOOKUP($B70,'[2]Bang luong_06'!$B$10:$C$333,2,0)</f>
        <v>Lý Si Phonh</v>
      </c>
      <c r="BK70" s="76" t="b">
        <f t="shared" si="78"/>
        <v>1</v>
      </c>
      <c r="BM70" s="77">
        <f>+VLOOKUP(B70,'[2]Thưởng Lễ 2-9'!B50:G340,6,0)</f>
        <v>0</v>
      </c>
      <c r="BN70" s="75">
        <f t="shared" si="79"/>
        <v>52</v>
      </c>
      <c r="BO70" s="76" t="str">
        <f>+VLOOKUP(B70,'[2]Bang luong_06'!B64:D372,3,0)</f>
        <v>CNSX</v>
      </c>
      <c r="BP70" s="76" t="s">
        <v>40</v>
      </c>
      <c r="BQ70" s="76">
        <v>6</v>
      </c>
      <c r="BR70" s="76">
        <f t="shared" si="4"/>
        <v>6</v>
      </c>
    </row>
    <row r="71" spans="1:70" s="76" customFormat="1" ht="31.5" customHeight="1" x14ac:dyDescent="0.25">
      <c r="A71" s="33">
        <f t="shared" si="24"/>
        <v>54</v>
      </c>
      <c r="B71" s="78" t="s">
        <v>165</v>
      </c>
      <c r="C71" s="55" t="s">
        <v>166</v>
      </c>
      <c r="D71" s="79">
        <v>41781</v>
      </c>
      <c r="E71" s="57" t="s">
        <v>38</v>
      </c>
      <c r="F71" s="57" t="s">
        <v>38</v>
      </c>
      <c r="G71" s="57" t="s">
        <v>38</v>
      </c>
      <c r="H71" s="57" t="s">
        <v>38</v>
      </c>
      <c r="I71" s="57" t="s">
        <v>38</v>
      </c>
      <c r="J71" s="57" t="s">
        <v>506</v>
      </c>
      <c r="K71" s="57" t="s">
        <v>37</v>
      </c>
      <c r="L71" s="57" t="s">
        <v>37</v>
      </c>
      <c r="M71" s="57" t="s">
        <v>37</v>
      </c>
      <c r="N71" s="57" t="s">
        <v>37</v>
      </c>
      <c r="O71" s="57" t="s">
        <v>37</v>
      </c>
      <c r="P71" s="57" t="s">
        <v>37</v>
      </c>
      <c r="Q71" s="57" t="s">
        <v>507</v>
      </c>
      <c r="R71" s="57" t="s">
        <v>37</v>
      </c>
      <c r="S71" s="57" t="s">
        <v>37</v>
      </c>
      <c r="T71" s="57" t="s">
        <v>37</v>
      </c>
      <c r="U71" s="57" t="s">
        <v>37</v>
      </c>
      <c r="V71" s="57" t="s">
        <v>37</v>
      </c>
      <c r="W71" s="57" t="s">
        <v>37</v>
      </c>
      <c r="X71" s="57"/>
      <c r="Y71" s="57" t="s">
        <v>38</v>
      </c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8">
        <v>10110511</v>
      </c>
      <c r="AK71" s="59">
        <v>12</v>
      </c>
      <c r="AL71" s="60">
        <f t="shared" si="59"/>
        <v>6</v>
      </c>
      <c r="AM71" s="61">
        <f t="shared" si="60"/>
        <v>12</v>
      </c>
      <c r="AN71" s="62">
        <f t="shared" si="61"/>
        <v>18</v>
      </c>
      <c r="AO71" s="62">
        <f t="shared" si="73"/>
        <v>0</v>
      </c>
      <c r="AP71" s="62">
        <f t="shared" si="74"/>
        <v>0</v>
      </c>
      <c r="AQ71" s="63">
        <f t="shared" si="75"/>
        <v>0</v>
      </c>
      <c r="AR71" s="62">
        <f t="shared" si="76"/>
        <v>0</v>
      </c>
      <c r="AS71" s="62">
        <f t="shared" si="77"/>
        <v>0</v>
      </c>
      <c r="AT71" s="64"/>
      <c r="AU71" s="64"/>
      <c r="AV71" s="65">
        <f t="shared" si="67"/>
        <v>12</v>
      </c>
      <c r="AW71" s="65">
        <f t="shared" si="68"/>
        <v>12</v>
      </c>
      <c r="AX71" s="64"/>
      <c r="AY71" s="64"/>
      <c r="AZ71" s="80"/>
      <c r="BA71" s="66">
        <f t="shared" si="69"/>
        <v>18</v>
      </c>
      <c r="BB71" s="67"/>
      <c r="BC71" s="68"/>
      <c r="BD71" s="69">
        <f>VLOOKUP($B71,[1]CN!$B$9:$DK$221,114,0)</f>
        <v>4</v>
      </c>
      <c r="BE71" s="70">
        <f t="shared" si="70"/>
        <v>27</v>
      </c>
      <c r="BF71" s="71" t="s">
        <v>39</v>
      </c>
      <c r="BG71" s="72" t="s">
        <v>34</v>
      </c>
      <c r="BH71" s="73" t="str">
        <f>VLOOKUP(B71,'[2]Bang luong_06'!$B$9:$C$333,2,0)</f>
        <v>Lê Thị Thơ</v>
      </c>
      <c r="BI71" s="74" t="s">
        <v>165</v>
      </c>
      <c r="BJ71" s="75" t="str">
        <f>VLOOKUP($B71,'[2]Bang luong_06'!$B$10:$C$333,2,0)</f>
        <v>Lê Thị Thơ</v>
      </c>
      <c r="BK71" s="76" t="b">
        <f t="shared" si="78"/>
        <v>1</v>
      </c>
      <c r="BM71" s="77">
        <f>+VLOOKUP(B71,'[2]Thưởng Lễ 2-9'!B45:G335,6,0)</f>
        <v>0</v>
      </c>
      <c r="BN71" s="75">
        <f t="shared" si="79"/>
        <v>125</v>
      </c>
      <c r="BO71" s="76" t="str">
        <f>+VLOOKUP(B71,'[2]Bang luong_06'!B11:D367,3,0)</f>
        <v>CNSX</v>
      </c>
      <c r="BP71" s="76" t="s">
        <v>40</v>
      </c>
      <c r="BQ71" s="76">
        <v>13</v>
      </c>
      <c r="BR71" s="76">
        <f t="shared" si="4"/>
        <v>6</v>
      </c>
    </row>
    <row r="72" spans="1:70" s="76" customFormat="1" ht="31.5" customHeight="1" x14ac:dyDescent="0.25">
      <c r="A72" s="33">
        <f t="shared" si="24"/>
        <v>55</v>
      </c>
      <c r="B72" s="105" t="s">
        <v>167</v>
      </c>
      <c r="C72" s="106" t="s">
        <v>168</v>
      </c>
      <c r="D72" s="107">
        <v>45346</v>
      </c>
      <c r="E72" s="57" t="s">
        <v>38</v>
      </c>
      <c r="F72" s="57" t="s">
        <v>38</v>
      </c>
      <c r="G72" s="57" t="s">
        <v>38</v>
      </c>
      <c r="H72" s="57" t="s">
        <v>38</v>
      </c>
      <c r="I72" s="57" t="s">
        <v>38</v>
      </c>
      <c r="J72" s="57" t="s">
        <v>506</v>
      </c>
      <c r="K72" s="57" t="s">
        <v>37</v>
      </c>
      <c r="L72" s="57" t="s">
        <v>37</v>
      </c>
      <c r="M72" s="57" t="s">
        <v>37</v>
      </c>
      <c r="N72" s="57" t="s">
        <v>37</v>
      </c>
      <c r="O72" s="57" t="s">
        <v>37</v>
      </c>
      <c r="P72" s="57" t="s">
        <v>107</v>
      </c>
      <c r="Q72" s="57"/>
      <c r="R72" s="57" t="s">
        <v>37</v>
      </c>
      <c r="S72" s="57" t="s">
        <v>37</v>
      </c>
      <c r="T72" s="57" t="s">
        <v>37</v>
      </c>
      <c r="U72" s="57" t="s">
        <v>37</v>
      </c>
      <c r="V72" s="57" t="s">
        <v>37</v>
      </c>
      <c r="W72" s="57" t="s">
        <v>37</v>
      </c>
      <c r="X72" s="57"/>
      <c r="Y72" s="57" t="s">
        <v>38</v>
      </c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8">
        <v>10110507</v>
      </c>
      <c r="AK72" s="59">
        <v>12</v>
      </c>
      <c r="AL72" s="60">
        <f t="shared" si="59"/>
        <v>6</v>
      </c>
      <c r="AM72" s="61">
        <f t="shared" si="60"/>
        <v>11</v>
      </c>
      <c r="AN72" s="62">
        <f t="shared" si="61"/>
        <v>17</v>
      </c>
      <c r="AO72" s="62">
        <f>COUNTIF(E72:AI72,"p")+COUNTIF(E72:AI72,"p1")/2+COUNTIF(E72:AI72,"p2")/2</f>
        <v>1</v>
      </c>
      <c r="AP72" s="62">
        <f>COUNTIF(E72:AI72,"K")</f>
        <v>0</v>
      </c>
      <c r="AQ72" s="63">
        <f>COUNTIF(E72:AI72,"Ro")+COUNTIF(E72:AI72,"Ro1")*11/AK72+COUNTIF(E72:AI72,"Ro2")*10/AK72+COUNTIF(E72:AI72,"Ro3")*9/AK72+COUNTIF(E72:AI72,"Ro3.0")*9/AK72+COUNTIF(E72:AI72,"Ro4")*8/AK72+COUNTIF(E72:AI72,"Ro4.0")*8/AK72+COUNTIF(E72:AI72,"Ro4.5")*7.5/AK72+COUNTIF(E72:AI72,"Ro5")*7/AK72+COUNTIF(E72:AI72,"Ro5.0")*7/AK72+COUNTIF(E72:AI72,"Ro5.5")*6.5/AK72+COUNTIF(E72:AI72,"Ro6")*6/AK72+COUNTIF(E72:AI72,"Ro7")*5/AK72+COUNTIF(E72:AI72,"Ro8")*4/AK72+COUNTIF(E72:AI72,"Ro8.0")*4/AK72+COUNTIF(E72:AI72,"Ro8.3")*3.7/AK72+COUNTIF(E72:AI72,"Ro8.5")*3.5/AK72+COUNTIF(E72:AI72,"Ro9")*3/AK72+COUNTIF(E72:AI72,"Ro10")*2/AK72+COUNTIF(E72:AI72,"Ro10.0")*2/AK72+COUNTIF(E72:AI72,"Ro10.5")*1.5/AK72+COUNTIF(E72:AI72,"Ro11.0")*1/AK72+COUNTIF(E72:AI72,"Ro11")*1/AK72+COUNTIF(E72:AI72,"Ro11.5")*0.5/AK72+COUNTIF(E72:AI72,"N1")*11/AK72+COUNTIF(E72:AI72,"N2")*10/AK72+COUNTIF(E72:AI72,"N3")*9/AK72+COUNTIF(E72:AI72,"N4")*8/AK72+COUNTIF(E72:AI72,"N5")*7/AK72+COUNTIF(E72:AI72,"N6")*6/AK72+COUNTIF(E72:AI72,"N7")*5/AK72+COUNTIF(E72:AI72,"N8")*4/AK72+COUNTIF(E72:AI72,"N9")*3/AK72+COUNTIF(E72:AI72,"N10")*2/AK72+COUNTIF(E72:AI72,"N11")*1/AK72+COUNTIF(E72:AI72,"D1")*11/AK72+COUNTIF(E72:AI72,"D2")*10/AK72+COUNTIF(E72:AI72,"D3")*9/AK72+COUNTIF(E72:AI72,"D4")*8/AK72+COUNTIF(E72:AI72,"D5")*7/AK72+COUNTIF(E72:AI72,"D6")*6/AK72+COUNTIF(E72:AI72,"D7")*5/AK72+COUNTIF(E72:AI72,"D8")*4/AK72+COUNTIF(E72:AI72,"D9")*3/AK72+COUNTIF(E72:AI72,"D10")*2/AK72+COUNTIF(E72:AI72,"D11")*1/AK72+COUNTIF(E72:AI72,"P1")*0.5</f>
        <v>0</v>
      </c>
      <c r="AR72" s="62">
        <f>COUNTIF(E72:AI72,"R")</f>
        <v>0</v>
      </c>
      <c r="AS72" s="62">
        <f>COUNTIF(E72:AI72,"L")</f>
        <v>0</v>
      </c>
      <c r="AT72" s="64"/>
      <c r="AU72" s="64"/>
      <c r="AV72" s="65">
        <f t="shared" si="67"/>
        <v>12</v>
      </c>
      <c r="AW72" s="65">
        <f t="shared" si="68"/>
        <v>0</v>
      </c>
      <c r="AX72" s="64"/>
      <c r="AY72" s="64"/>
      <c r="AZ72" s="80"/>
      <c r="BA72" s="66">
        <f t="shared" si="69"/>
        <v>18</v>
      </c>
      <c r="BB72" s="67"/>
      <c r="BC72" s="68"/>
      <c r="BD72" s="69">
        <f>VLOOKUP($B72,[1]CN!$B$9:$DK$221,114,0)</f>
        <v>3</v>
      </c>
      <c r="BE72" s="70">
        <f t="shared" si="70"/>
        <v>27</v>
      </c>
      <c r="BF72" s="71" t="s">
        <v>39</v>
      </c>
      <c r="BG72" s="72" t="s">
        <v>34</v>
      </c>
      <c r="BH72" s="73" t="str">
        <f>VLOOKUP(B72,'[2]Bang luong_06'!$B$9:$C$333,2,0)</f>
        <v>Huỳnh Thị Chi</v>
      </c>
      <c r="BI72" s="74" t="s">
        <v>167</v>
      </c>
      <c r="BJ72" s="75" t="str">
        <f>VLOOKUP($B72,'[2]Bang luong_06'!$B$10:$C$333,2,0)</f>
        <v>Huỳnh Thị Chi</v>
      </c>
      <c r="BK72" s="76" t="b">
        <f>BJ72=C72</f>
        <v>1</v>
      </c>
      <c r="BM72" s="77">
        <f>+VLOOKUP(B72,'[2]Thưởng Lễ 2-9'!B105:G394,6,0)</f>
        <v>0</v>
      </c>
      <c r="BN72" s="75">
        <f>ROUND(($BN$12-D72)/30,0)</f>
        <v>6</v>
      </c>
      <c r="BO72" s="76" t="str">
        <f>+VLOOKUP(B72,'[2]Bang luong_06'!B116:D425,3,0)</f>
        <v>CNSX</v>
      </c>
      <c r="BP72" s="76" t="s">
        <v>40</v>
      </c>
      <c r="BQ72" s="76">
        <v>3</v>
      </c>
      <c r="BR72" s="76">
        <f t="shared" si="4"/>
        <v>6</v>
      </c>
    </row>
    <row r="73" spans="1:70" s="76" customFormat="1" ht="31.5" customHeight="1" x14ac:dyDescent="0.25">
      <c r="A73" s="33">
        <f t="shared" si="24"/>
        <v>56</v>
      </c>
      <c r="B73" s="109" t="s">
        <v>169</v>
      </c>
      <c r="C73" s="110" t="s">
        <v>170</v>
      </c>
      <c r="D73" s="107">
        <v>45378</v>
      </c>
      <c r="E73" s="57" t="s">
        <v>38</v>
      </c>
      <c r="F73" s="57" t="s">
        <v>38</v>
      </c>
      <c r="G73" s="57" t="s">
        <v>38</v>
      </c>
      <c r="H73" s="57" t="s">
        <v>38</v>
      </c>
      <c r="I73" s="57" t="s">
        <v>38</v>
      </c>
      <c r="J73" s="57"/>
      <c r="K73" s="57" t="s">
        <v>37</v>
      </c>
      <c r="L73" s="57" t="s">
        <v>37</v>
      </c>
      <c r="M73" s="57" t="s">
        <v>37</v>
      </c>
      <c r="N73" s="57" t="s">
        <v>37</v>
      </c>
      <c r="O73" s="57" t="s">
        <v>37</v>
      </c>
      <c r="P73" s="57" t="s">
        <v>37</v>
      </c>
      <c r="Q73" s="57" t="s">
        <v>507</v>
      </c>
      <c r="R73" s="57" t="s">
        <v>37</v>
      </c>
      <c r="S73" s="57" t="s">
        <v>37</v>
      </c>
      <c r="T73" s="57" t="s">
        <v>37</v>
      </c>
      <c r="U73" s="57" t="s">
        <v>37</v>
      </c>
      <c r="V73" s="57" t="s">
        <v>37</v>
      </c>
      <c r="W73" s="57" t="s">
        <v>37</v>
      </c>
      <c r="X73" s="57"/>
      <c r="Y73" s="57" t="s">
        <v>38</v>
      </c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8">
        <v>10110507</v>
      </c>
      <c r="AK73" s="59">
        <v>12</v>
      </c>
      <c r="AL73" s="60">
        <f t="shared" si="59"/>
        <v>6</v>
      </c>
      <c r="AM73" s="61">
        <f t="shared" si="60"/>
        <v>12</v>
      </c>
      <c r="AN73" s="62">
        <f t="shared" si="61"/>
        <v>18</v>
      </c>
      <c r="AO73" s="62">
        <f t="shared" si="73"/>
        <v>0</v>
      </c>
      <c r="AP73" s="62">
        <f t="shared" si="74"/>
        <v>0</v>
      </c>
      <c r="AQ73" s="63">
        <f t="shared" si="75"/>
        <v>0</v>
      </c>
      <c r="AR73" s="62">
        <f t="shared" si="76"/>
        <v>0</v>
      </c>
      <c r="AS73" s="62">
        <f t="shared" si="77"/>
        <v>0</v>
      </c>
      <c r="AT73" s="64"/>
      <c r="AU73" s="64"/>
      <c r="AV73" s="65">
        <f t="shared" si="67"/>
        <v>0</v>
      </c>
      <c r="AW73" s="65">
        <f t="shared" si="68"/>
        <v>12</v>
      </c>
      <c r="AX73" s="64"/>
      <c r="AY73" s="64"/>
      <c r="AZ73" s="80"/>
      <c r="BA73" s="66">
        <f t="shared" si="69"/>
        <v>18</v>
      </c>
      <c r="BB73" s="67"/>
      <c r="BC73" s="68"/>
      <c r="BD73" s="69">
        <f>VLOOKUP($B73,[1]CN!$B$9:$DK$221,114,0)</f>
        <v>2</v>
      </c>
      <c r="BE73" s="70">
        <f t="shared" si="70"/>
        <v>27</v>
      </c>
      <c r="BF73" s="71" t="s">
        <v>39</v>
      </c>
      <c r="BG73" s="72">
        <v>0</v>
      </c>
      <c r="BH73" s="73" t="str">
        <f>VLOOKUP(B73,'[2]Bang luong_06'!$B$9:$C$333,2,0)</f>
        <v>Thạch Lửa</v>
      </c>
      <c r="BI73" s="74" t="s">
        <v>171</v>
      </c>
      <c r="BJ73" s="75" t="str">
        <f>VLOOKUP($B73,'[2]Bang luong_06'!$B$10:$C$333,2,0)</f>
        <v>Thạch Lửa</v>
      </c>
      <c r="BK73" s="76" t="b">
        <f t="shared" si="78"/>
        <v>1</v>
      </c>
      <c r="BM73" s="77">
        <f>+VLOOKUP(B73,'[2]Thưởng Lễ 2-9'!B72:G362,6,0)</f>
        <v>0</v>
      </c>
      <c r="BN73" s="75">
        <f t="shared" si="79"/>
        <v>5</v>
      </c>
      <c r="BO73" s="76" t="str">
        <f>+VLOOKUP(B73,'[2]Bang luong_06'!B83:D394,3,0)</f>
        <v>CNSX</v>
      </c>
      <c r="BP73" s="76" t="s">
        <v>40</v>
      </c>
      <c r="BQ73" s="76">
        <v>8</v>
      </c>
      <c r="BR73" s="76">
        <f t="shared" si="4"/>
        <v>6</v>
      </c>
    </row>
    <row r="74" spans="1:70" s="76" customFormat="1" ht="31.5" customHeight="1" x14ac:dyDescent="0.25">
      <c r="A74" s="33">
        <f t="shared" si="24"/>
        <v>57</v>
      </c>
      <c r="B74" s="115" t="s">
        <v>172</v>
      </c>
      <c r="C74" s="110" t="s">
        <v>173</v>
      </c>
      <c r="D74" s="107">
        <v>45391</v>
      </c>
      <c r="E74" s="57" t="s">
        <v>38</v>
      </c>
      <c r="F74" s="57" t="s">
        <v>38</v>
      </c>
      <c r="G74" s="57" t="s">
        <v>38</v>
      </c>
      <c r="H74" s="57" t="s">
        <v>38</v>
      </c>
      <c r="I74" s="57" t="s">
        <v>38</v>
      </c>
      <c r="J74" s="57" t="s">
        <v>506</v>
      </c>
      <c r="K74" s="57" t="s">
        <v>107</v>
      </c>
      <c r="L74" s="57" t="s">
        <v>38</v>
      </c>
      <c r="M74" s="57" t="s">
        <v>38</v>
      </c>
      <c r="N74" s="57" t="s">
        <v>38</v>
      </c>
      <c r="O74" s="57" t="s">
        <v>38</v>
      </c>
      <c r="P74" s="57" t="s">
        <v>38</v>
      </c>
      <c r="Q74" s="57"/>
      <c r="R74" s="57" t="s">
        <v>38</v>
      </c>
      <c r="S74" s="57" t="s">
        <v>38</v>
      </c>
      <c r="T74" s="57" t="s">
        <v>38</v>
      </c>
      <c r="U74" s="57" t="s">
        <v>38</v>
      </c>
      <c r="V74" s="57" t="s">
        <v>38</v>
      </c>
      <c r="W74" s="57" t="s">
        <v>38</v>
      </c>
      <c r="X74" s="57" t="s">
        <v>506</v>
      </c>
      <c r="Y74" s="57" t="s">
        <v>38</v>
      </c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8">
        <v>10110507</v>
      </c>
      <c r="AK74" s="59">
        <v>12</v>
      </c>
      <c r="AL74" s="60">
        <f t="shared" si="59"/>
        <v>17</v>
      </c>
      <c r="AM74" s="61">
        <f t="shared" si="60"/>
        <v>0</v>
      </c>
      <c r="AN74" s="62">
        <f t="shared" si="61"/>
        <v>17</v>
      </c>
      <c r="AO74" s="62">
        <f t="shared" si="73"/>
        <v>1</v>
      </c>
      <c r="AP74" s="62">
        <f t="shared" si="74"/>
        <v>0</v>
      </c>
      <c r="AQ74" s="63">
        <f t="shared" si="75"/>
        <v>0</v>
      </c>
      <c r="AR74" s="62">
        <f t="shared" si="76"/>
        <v>0</v>
      </c>
      <c r="AS74" s="62">
        <f t="shared" si="77"/>
        <v>0</v>
      </c>
      <c r="AT74" s="64"/>
      <c r="AU74" s="64"/>
      <c r="AV74" s="65">
        <f t="shared" si="67"/>
        <v>24</v>
      </c>
      <c r="AW74" s="65">
        <f t="shared" si="68"/>
        <v>0</v>
      </c>
      <c r="AX74" s="64"/>
      <c r="AY74" s="64"/>
      <c r="AZ74" s="80"/>
      <c r="BA74" s="66">
        <f t="shared" si="69"/>
        <v>18</v>
      </c>
      <c r="BB74" s="67"/>
      <c r="BC74" s="68"/>
      <c r="BD74" s="69">
        <f>VLOOKUP($B74,[1]CN!$B$9:$DK$221,114,0)</f>
        <v>2</v>
      </c>
      <c r="BE74" s="70">
        <f t="shared" si="70"/>
        <v>27</v>
      </c>
      <c r="BF74" s="71" t="s">
        <v>39</v>
      </c>
      <c r="BG74" s="72">
        <v>0</v>
      </c>
      <c r="BH74" s="73" t="str">
        <f>VLOOKUP(B74,'[2]Bang luong_06'!$B$9:$C$333,2,0)</f>
        <v>Nguyễn Trần Mỹ Loan</v>
      </c>
      <c r="BI74" s="74" t="s">
        <v>169</v>
      </c>
      <c r="BJ74" s="75" t="str">
        <f>VLOOKUP($B74,'[2]Bang luong_06'!$B$10:$C$333,2,0)</f>
        <v>Nguyễn Trần Mỹ Loan</v>
      </c>
      <c r="BK74" s="76" t="b">
        <f t="shared" si="78"/>
        <v>1</v>
      </c>
      <c r="BM74" s="77">
        <f>+VLOOKUP(B74,'[2]Thưởng Lễ 2-9'!B75:G365,6,0)</f>
        <v>0</v>
      </c>
      <c r="BN74" s="75">
        <f t="shared" si="79"/>
        <v>5</v>
      </c>
      <c r="BO74" s="76" t="str">
        <f>+VLOOKUP(B74,'[2]Bang luong_06'!B87:D397,3,0)</f>
        <v>CNSX</v>
      </c>
      <c r="BP74" s="76" t="s">
        <v>40</v>
      </c>
      <c r="BQ74" s="76">
        <v>8</v>
      </c>
      <c r="BR74" s="76">
        <f t="shared" si="4"/>
        <v>17</v>
      </c>
    </row>
    <row r="75" spans="1:70" s="118" customFormat="1" ht="31.5" customHeight="1" x14ac:dyDescent="0.25">
      <c r="A75" s="33">
        <f t="shared" si="24"/>
        <v>58</v>
      </c>
      <c r="B75" s="33" t="s">
        <v>174</v>
      </c>
      <c r="C75" s="55" t="s">
        <v>175</v>
      </c>
      <c r="D75" s="56">
        <v>41144</v>
      </c>
      <c r="E75" s="57" t="s">
        <v>38</v>
      </c>
      <c r="F75" s="57" t="s">
        <v>38</v>
      </c>
      <c r="G75" s="57" t="s">
        <v>38</v>
      </c>
      <c r="H75" s="57" t="s">
        <v>38</v>
      </c>
      <c r="I75" s="57" t="s">
        <v>38</v>
      </c>
      <c r="J75" s="57" t="s">
        <v>506</v>
      </c>
      <c r="K75" s="57" t="s">
        <v>37</v>
      </c>
      <c r="L75" s="57" t="s">
        <v>37</v>
      </c>
      <c r="M75" s="57" t="s">
        <v>37</v>
      </c>
      <c r="N75" s="57" t="s">
        <v>37</v>
      </c>
      <c r="O75" s="57" t="s">
        <v>37</v>
      </c>
      <c r="P75" s="57" t="s">
        <v>37</v>
      </c>
      <c r="Q75" s="57" t="s">
        <v>507</v>
      </c>
      <c r="R75" s="57" t="s">
        <v>37</v>
      </c>
      <c r="S75" s="57" t="s">
        <v>37</v>
      </c>
      <c r="T75" s="57" t="s">
        <v>37</v>
      </c>
      <c r="U75" s="57" t="s">
        <v>37</v>
      </c>
      <c r="V75" s="57" t="s">
        <v>37</v>
      </c>
      <c r="W75" s="57" t="s">
        <v>37</v>
      </c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8">
        <v>10110505</v>
      </c>
      <c r="AK75" s="59">
        <v>12</v>
      </c>
      <c r="AL75" s="60">
        <f t="shared" si="59"/>
        <v>5</v>
      </c>
      <c r="AM75" s="61">
        <f t="shared" si="60"/>
        <v>12</v>
      </c>
      <c r="AN75" s="62">
        <f t="shared" si="61"/>
        <v>17</v>
      </c>
      <c r="AO75" s="62">
        <f t="shared" si="73"/>
        <v>0</v>
      </c>
      <c r="AP75" s="62">
        <f t="shared" si="74"/>
        <v>0</v>
      </c>
      <c r="AQ75" s="63">
        <f t="shared" si="75"/>
        <v>0</v>
      </c>
      <c r="AR75" s="62">
        <f t="shared" si="76"/>
        <v>0</v>
      </c>
      <c r="AS75" s="62">
        <f t="shared" si="77"/>
        <v>0</v>
      </c>
      <c r="AT75" s="64"/>
      <c r="AU75" s="64"/>
      <c r="AV75" s="65">
        <f t="shared" si="67"/>
        <v>12</v>
      </c>
      <c r="AW75" s="65">
        <f t="shared" si="68"/>
        <v>12</v>
      </c>
      <c r="AX75" s="64"/>
      <c r="AY75" s="64"/>
      <c r="AZ75" s="80"/>
      <c r="BA75" s="66">
        <f t="shared" si="69"/>
        <v>17</v>
      </c>
      <c r="BB75" s="67"/>
      <c r="BC75" s="68"/>
      <c r="BD75" s="69">
        <f>VLOOKUP($B75,[1]CN!$B$9:$DK$221,114,0)</f>
        <v>4</v>
      </c>
      <c r="BE75" s="70">
        <f t="shared" si="70"/>
        <v>27</v>
      </c>
      <c r="BF75" s="71" t="s">
        <v>39</v>
      </c>
      <c r="BG75" s="116" t="s">
        <v>34</v>
      </c>
      <c r="BH75" s="73" t="str">
        <f>VLOOKUP(B75,'[2]Bang luong_06'!$B$9:$C$333,2,0)</f>
        <v>Đỗ Thanh Nhàn</v>
      </c>
      <c r="BI75" s="117"/>
      <c r="BJ75" s="75" t="str">
        <f>VLOOKUP($B75,'[2]Bang luong_06'!$B$10:$C$333,2,0)</f>
        <v>Đỗ Thanh Nhàn</v>
      </c>
      <c r="BK75" s="118" t="b">
        <f t="shared" si="78"/>
        <v>1</v>
      </c>
      <c r="BM75" s="77">
        <f>+VLOOKUP(B75,'[2]Thưởng Lễ 2-9'!B90:G380,6,0)</f>
        <v>0</v>
      </c>
      <c r="BN75" s="119">
        <f t="shared" si="79"/>
        <v>146</v>
      </c>
      <c r="BO75" s="118" t="str">
        <f>+VLOOKUP(B75,'[2]Bang luong_06'!B101:D412,3,0)</f>
        <v>CNSX</v>
      </c>
      <c r="BP75" s="76" t="s">
        <v>40</v>
      </c>
      <c r="BQ75" s="76">
        <v>2</v>
      </c>
      <c r="BR75" s="76">
        <f t="shared" si="4"/>
        <v>5</v>
      </c>
    </row>
    <row r="76" spans="1:70" s="118" customFormat="1" ht="31.5" customHeight="1" x14ac:dyDescent="0.25">
      <c r="A76" s="33">
        <f t="shared" si="24"/>
        <v>59</v>
      </c>
      <c r="B76" s="78" t="s">
        <v>176</v>
      </c>
      <c r="C76" s="55" t="s">
        <v>177</v>
      </c>
      <c r="D76" s="79">
        <v>43523.671256400499</v>
      </c>
      <c r="E76" s="57" t="s">
        <v>38</v>
      </c>
      <c r="F76" s="57" t="s">
        <v>38</v>
      </c>
      <c r="G76" s="57" t="s">
        <v>38</v>
      </c>
      <c r="H76" s="57" t="s">
        <v>38</v>
      </c>
      <c r="I76" s="57" t="s">
        <v>38</v>
      </c>
      <c r="J76" s="57"/>
      <c r="K76" s="57" t="s">
        <v>37</v>
      </c>
      <c r="L76" s="57" t="s">
        <v>37</v>
      </c>
      <c r="M76" s="57" t="s">
        <v>37</v>
      </c>
      <c r="N76" s="57" t="s">
        <v>37</v>
      </c>
      <c r="O76" s="57" t="s">
        <v>37</v>
      </c>
      <c r="P76" s="57" t="s">
        <v>37</v>
      </c>
      <c r="Q76" s="57" t="s">
        <v>507</v>
      </c>
      <c r="R76" s="57" t="s">
        <v>37</v>
      </c>
      <c r="S76" s="57" t="s">
        <v>37</v>
      </c>
      <c r="T76" s="57" t="s">
        <v>37</v>
      </c>
      <c r="U76" s="57" t="s">
        <v>37</v>
      </c>
      <c r="V76" s="57" t="s">
        <v>37</v>
      </c>
      <c r="W76" s="57" t="s">
        <v>37</v>
      </c>
      <c r="X76" s="57"/>
      <c r="Y76" s="57" t="s">
        <v>38</v>
      </c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8">
        <v>10110507</v>
      </c>
      <c r="AK76" s="59">
        <v>12</v>
      </c>
      <c r="AL76" s="60">
        <f t="shared" si="59"/>
        <v>6</v>
      </c>
      <c r="AM76" s="61">
        <f t="shared" si="60"/>
        <v>12</v>
      </c>
      <c r="AN76" s="62">
        <f t="shared" si="61"/>
        <v>18</v>
      </c>
      <c r="AO76" s="62">
        <f t="shared" si="73"/>
        <v>0</v>
      </c>
      <c r="AP76" s="62">
        <f t="shared" si="74"/>
        <v>0</v>
      </c>
      <c r="AQ76" s="63">
        <f t="shared" si="75"/>
        <v>0</v>
      </c>
      <c r="AR76" s="62">
        <f t="shared" si="76"/>
        <v>0</v>
      </c>
      <c r="AS76" s="62">
        <f t="shared" si="77"/>
        <v>0</v>
      </c>
      <c r="AT76" s="64"/>
      <c r="AU76" s="64"/>
      <c r="AV76" s="65">
        <f t="shared" si="67"/>
        <v>0</v>
      </c>
      <c r="AW76" s="65">
        <f t="shared" si="68"/>
        <v>12</v>
      </c>
      <c r="AX76" s="64"/>
      <c r="AY76" s="64"/>
      <c r="AZ76" s="80"/>
      <c r="BA76" s="66">
        <f t="shared" si="69"/>
        <v>18</v>
      </c>
      <c r="BB76" s="67"/>
      <c r="BC76" s="94"/>
      <c r="BD76" s="69">
        <f>VLOOKUP($B76,[1]CN!$B$9:$DK$221,114,0)</f>
        <v>4</v>
      </c>
      <c r="BE76" s="70">
        <f t="shared" si="70"/>
        <v>27</v>
      </c>
      <c r="BF76" s="71" t="s">
        <v>39</v>
      </c>
      <c r="BG76" s="116">
        <v>0</v>
      </c>
      <c r="BH76" s="73" t="str">
        <f>VLOOKUP(B76,'[2]Bang luong_06'!$B$9:$C$333,2,0)</f>
        <v>Danh Chanh Thi</v>
      </c>
      <c r="BI76" s="117" t="s">
        <v>174</v>
      </c>
      <c r="BJ76" s="75" t="str">
        <f>VLOOKUP($B76,'[2]Bang luong_06'!$B$10:$C$333,2,0)</f>
        <v>Danh Chanh Thi</v>
      </c>
      <c r="BK76" s="118" t="b">
        <f t="shared" si="78"/>
        <v>1</v>
      </c>
      <c r="BM76" s="77">
        <f>+VLOOKUP(B76,'[2]Thưởng Lễ 2-9'!B128:G416,6,0)</f>
        <v>0</v>
      </c>
      <c r="BN76" s="119">
        <f t="shared" si="79"/>
        <v>67</v>
      </c>
      <c r="BO76" s="118" t="str">
        <f>+VLOOKUP(B76,'[2]Bang luong_06'!B136:D447,3,0)</f>
        <v>CNSX</v>
      </c>
      <c r="BP76" s="76" t="s">
        <v>40</v>
      </c>
      <c r="BQ76" s="76">
        <v>13.5</v>
      </c>
      <c r="BR76" s="76">
        <f t="shared" si="4"/>
        <v>6</v>
      </c>
    </row>
    <row r="77" spans="1:70" s="76" customFormat="1" ht="31.5" customHeight="1" x14ac:dyDescent="0.25">
      <c r="A77" s="33">
        <f t="shared" si="24"/>
        <v>60</v>
      </c>
      <c r="B77" s="105" t="s">
        <v>178</v>
      </c>
      <c r="C77" s="106" t="s">
        <v>179</v>
      </c>
      <c r="D77" s="107">
        <v>45694</v>
      </c>
      <c r="E77" s="57" t="s">
        <v>38</v>
      </c>
      <c r="F77" s="57" t="s">
        <v>38</v>
      </c>
      <c r="G77" s="57" t="s">
        <v>38</v>
      </c>
      <c r="H77" s="57" t="s">
        <v>38</v>
      </c>
      <c r="I77" s="57" t="s">
        <v>38</v>
      </c>
      <c r="J77" s="57" t="s">
        <v>506</v>
      </c>
      <c r="K77" s="57" t="s">
        <v>37</v>
      </c>
      <c r="L77" s="57" t="s">
        <v>37</v>
      </c>
      <c r="M77" s="57" t="s">
        <v>37</v>
      </c>
      <c r="N77" s="57" t="s">
        <v>37</v>
      </c>
      <c r="O77" s="57" t="s">
        <v>37</v>
      </c>
      <c r="P77" s="57" t="s">
        <v>37</v>
      </c>
      <c r="Q77" s="57"/>
      <c r="R77" s="57" t="s">
        <v>37</v>
      </c>
      <c r="S77" s="57" t="s">
        <v>37</v>
      </c>
      <c r="T77" s="57" t="s">
        <v>37</v>
      </c>
      <c r="U77" s="57" t="s">
        <v>37</v>
      </c>
      <c r="V77" s="57" t="s">
        <v>37</v>
      </c>
      <c r="W77" s="57" t="s">
        <v>37</v>
      </c>
      <c r="X77" s="57"/>
      <c r="Y77" s="57" t="s">
        <v>38</v>
      </c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8">
        <v>10110507</v>
      </c>
      <c r="AK77" s="59">
        <v>12</v>
      </c>
      <c r="AL77" s="60">
        <f t="shared" si="59"/>
        <v>6</v>
      </c>
      <c r="AM77" s="61">
        <f t="shared" si="60"/>
        <v>12</v>
      </c>
      <c r="AN77" s="62">
        <f t="shared" si="61"/>
        <v>18</v>
      </c>
      <c r="AO77" s="62">
        <f t="shared" si="73"/>
        <v>0</v>
      </c>
      <c r="AP77" s="62">
        <f t="shared" si="74"/>
        <v>0</v>
      </c>
      <c r="AQ77" s="63">
        <f t="shared" si="75"/>
        <v>0</v>
      </c>
      <c r="AR77" s="62">
        <f t="shared" si="76"/>
        <v>0</v>
      </c>
      <c r="AS77" s="62">
        <f t="shared" si="77"/>
        <v>0</v>
      </c>
      <c r="AT77" s="64"/>
      <c r="AU77" s="64"/>
      <c r="AV77" s="65">
        <f t="shared" si="67"/>
        <v>12</v>
      </c>
      <c r="AW77" s="65">
        <f t="shared" si="68"/>
        <v>0</v>
      </c>
      <c r="AX77" s="64"/>
      <c r="AY77" s="64"/>
      <c r="AZ77" s="80"/>
      <c r="BA77" s="66">
        <f t="shared" si="69"/>
        <v>18</v>
      </c>
      <c r="BB77" s="67"/>
      <c r="BC77" s="68"/>
      <c r="BD77" s="69">
        <f>VLOOKUP($B77,[1]CN!$B$9:$DK$221,114,0)</f>
        <v>2</v>
      </c>
      <c r="BE77" s="70">
        <f t="shared" si="70"/>
        <v>27</v>
      </c>
      <c r="BF77" s="71" t="s">
        <v>39</v>
      </c>
      <c r="BG77" s="72" t="s">
        <v>34</v>
      </c>
      <c r="BH77" s="73" t="str">
        <f>VLOOKUP(B77,'[2]Bang luong_06'!$B$9:$C$333,2,0)</f>
        <v>Nguyễn Văn Bé Ba</v>
      </c>
      <c r="BI77" s="74" t="s">
        <v>116</v>
      </c>
      <c r="BJ77" s="75" t="str">
        <f>VLOOKUP($B77,'[2]Bang luong_06'!$B$10:$C$333,2,0)</f>
        <v>Nguyễn Văn Bé Ba</v>
      </c>
      <c r="BK77" s="76" t="b">
        <f t="shared" si="78"/>
        <v>1</v>
      </c>
      <c r="BM77" s="77" t="e">
        <f>+VLOOKUP(B77,'[2]Thưởng Lễ 2-9'!B40:G330,6,0)</f>
        <v>#N/A</v>
      </c>
      <c r="BN77" s="75">
        <f t="shared" si="79"/>
        <v>-5</v>
      </c>
      <c r="BO77" s="76" t="str">
        <f>+VLOOKUP(B77,'[2]Bang luong_06'!B45:D362,3,0)</f>
        <v>CNSX</v>
      </c>
      <c r="BP77" s="76" t="s">
        <v>40</v>
      </c>
      <c r="BQ77" s="76">
        <v>1</v>
      </c>
      <c r="BR77" s="76">
        <f t="shared" ref="BR77:BR140" si="80">COUNTIF(D77:AI77,"N")+COUNTIF(D77:AI77,"N1")*1/AK77+COUNTIF(D77:AI77,"N2")*2/AK77+COUNTIF(D77:AI77,"N3")*3/AK77+COUNTIF(D77:AI77,"N4")*4/AK77+COUNTIF(D77:AI77,"N5")*5/AK77+COUNTIF(D77:AI77,"N6")*6/AK77+COUNTIF(D77:AI77,"N7")*7/AK77+COUNTIF(D77:AI77,"N8")*8/AK77+COUNTIF(D77:AI77,"N9")*9/AK77+COUNTIF(D77:AI77,"N10")*10/AK77+COUNTIF(D77:AI77,"N11")*11/AK77+COUNTIF(D77:AI77,"N12")*12/AK77+COUNTIF(D77:AI77,"Ro1")*1/AK77+COUNTIF(D77:AI77,"Ro2")*2/AK77+COUNTIF(D77:AI77,"Ro3")*3/AK77+COUNTIF(D77:AI77,"Ro3.0")*3/AK77+COUNTIF(D77:AI77,"Ro4")*4/AK77+COUNTIF(D77:AI77,"Ro4.0")*4/AK77+COUNTIF(D77:AI77,"Ro4.5")*4.5/AK77+COUNTIF(D77:AI77,"Ro5")*5/AK77+COUNTIF(D77:AI77,"Ro5.0")*5/AK77+COUNTIF(D77:AI77,"Ro5.5")*5.5/AK77+COUNTIF(D77:AI77,"Ro6")*6/AK77+COUNTIF(D77:AI77,"Ro7")*7/AK77+COUNTIF(D77:AI77,"Ro8")*8/AK77+COUNTIF(D77:AI77,"Ro8.0")*8/AK77+COUNTIF(D77:AI77,"Ro8.3")*8.3/AK77+COUNTIF(D77:AI77,"Ro8.5")*8.5/AK77+COUNTIF(D77:AI77,"Ro9")*9/AK77+COUNTIF(D77:AI77,"Ro9.5")*9.5/AK77+COUNTIF(D77:AI77,"Ro10")*10/AK77+COUNTIF(D77:AI77,"Ro10.0")*10/AK77+COUNTIF(D77:AI77,"Ro10.5")*10.5/AK77+COUNTIF(D77:AI77,"Ro11")*11/AK77+COUNTIF(D77:AI77,"Ro11.0")*11/AK77+COUNTIF(D77:AI77,"Ro11.5")*11.5/AK77+COUNTIF(D77:AI77,"P2")*0.5</f>
        <v>6</v>
      </c>
    </row>
    <row r="78" spans="1:70" s="76" customFormat="1" ht="31.5" customHeight="1" x14ac:dyDescent="0.25">
      <c r="A78" s="33">
        <f t="shared" si="24"/>
        <v>61</v>
      </c>
      <c r="B78" s="105" t="s">
        <v>180</v>
      </c>
      <c r="C78" s="106" t="s">
        <v>181</v>
      </c>
      <c r="D78" s="107">
        <v>45701</v>
      </c>
      <c r="E78" s="57" t="s">
        <v>38</v>
      </c>
      <c r="F78" s="57" t="s">
        <v>38</v>
      </c>
      <c r="G78" s="57" t="s">
        <v>38</v>
      </c>
      <c r="H78" s="57" t="s">
        <v>38</v>
      </c>
      <c r="I78" s="57" t="s">
        <v>38</v>
      </c>
      <c r="J78" s="57" t="s">
        <v>506</v>
      </c>
      <c r="K78" s="57" t="s">
        <v>37</v>
      </c>
      <c r="L78" s="57" t="s">
        <v>37</v>
      </c>
      <c r="M78" s="57" t="s">
        <v>37</v>
      </c>
      <c r="N78" s="57" t="s">
        <v>37</v>
      </c>
      <c r="O78" s="57" t="s">
        <v>37</v>
      </c>
      <c r="P78" s="57" t="s">
        <v>37</v>
      </c>
      <c r="Q78" s="57" t="s">
        <v>514</v>
      </c>
      <c r="R78" s="57" t="s">
        <v>37</v>
      </c>
      <c r="S78" s="57" t="s">
        <v>37</v>
      </c>
      <c r="T78" s="57" t="s">
        <v>37</v>
      </c>
      <c r="U78" s="57" t="s">
        <v>37</v>
      </c>
      <c r="V78" s="57" t="s">
        <v>37</v>
      </c>
      <c r="W78" s="57" t="s">
        <v>37</v>
      </c>
      <c r="X78" s="57"/>
      <c r="Y78" s="57" t="s">
        <v>38</v>
      </c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8">
        <v>10110507</v>
      </c>
      <c r="AK78" s="59">
        <v>12</v>
      </c>
      <c r="AL78" s="60">
        <f t="shared" si="59"/>
        <v>6</v>
      </c>
      <c r="AM78" s="61">
        <f t="shared" si="60"/>
        <v>12</v>
      </c>
      <c r="AN78" s="62">
        <f t="shared" si="61"/>
        <v>18</v>
      </c>
      <c r="AO78" s="62">
        <f t="shared" si="73"/>
        <v>0</v>
      </c>
      <c r="AP78" s="62">
        <f t="shared" si="74"/>
        <v>0</v>
      </c>
      <c r="AQ78" s="63">
        <f t="shared" si="75"/>
        <v>0</v>
      </c>
      <c r="AR78" s="62">
        <f t="shared" si="76"/>
        <v>0</v>
      </c>
      <c r="AS78" s="62">
        <f t="shared" si="77"/>
        <v>0</v>
      </c>
      <c r="AT78" s="64"/>
      <c r="AU78" s="64"/>
      <c r="AV78" s="65">
        <f t="shared" si="67"/>
        <v>12</v>
      </c>
      <c r="AW78" s="65">
        <f t="shared" si="68"/>
        <v>0</v>
      </c>
      <c r="AX78" s="64"/>
      <c r="AY78" s="64"/>
      <c r="AZ78" s="80"/>
      <c r="BA78" s="66">
        <f t="shared" si="69"/>
        <v>18</v>
      </c>
      <c r="BB78" s="67"/>
      <c r="BC78" s="68"/>
      <c r="BD78" s="69">
        <f>VLOOKUP($B78,[1]CN!$B$9:$DK$221,114,0)</f>
        <v>3</v>
      </c>
      <c r="BE78" s="70">
        <f t="shared" si="70"/>
        <v>27</v>
      </c>
      <c r="BF78" s="71" t="s">
        <v>39</v>
      </c>
      <c r="BG78" s="72" t="s">
        <v>34</v>
      </c>
      <c r="BH78" s="73" t="str">
        <f>VLOOKUP(B78,'[2]Bang luong_06'!$B$9:$C$333,2,0)</f>
        <v>Phạm Vủ Luân</v>
      </c>
      <c r="BI78" s="74"/>
      <c r="BJ78" s="75" t="str">
        <f>VLOOKUP($B78,'[2]Bang luong_06'!$B$10:$C$333,2,0)</f>
        <v>Phạm Vủ Luân</v>
      </c>
      <c r="BK78" s="76" t="b">
        <f t="shared" si="78"/>
        <v>1</v>
      </c>
      <c r="BM78" s="77" t="e">
        <f>+VLOOKUP(B78,'[2]Thưởng Lễ 2-9'!B87:G377,6,0)</f>
        <v>#N/A</v>
      </c>
      <c r="BN78" s="75">
        <f t="shared" si="79"/>
        <v>-6</v>
      </c>
      <c r="BO78" s="76" t="str">
        <f>+VLOOKUP(B78,'[2]Bang luong_06'!B97:D408,3,0)</f>
        <v>CNSX</v>
      </c>
      <c r="BP78" s="76" t="s">
        <v>40</v>
      </c>
      <c r="BQ78" s="76">
        <v>0</v>
      </c>
      <c r="BR78" s="76">
        <f t="shared" si="80"/>
        <v>6</v>
      </c>
    </row>
    <row r="79" spans="1:70" s="76" customFormat="1" ht="31.5" customHeight="1" x14ac:dyDescent="0.25">
      <c r="A79" s="33">
        <f t="shared" si="24"/>
        <v>62</v>
      </c>
      <c r="B79" s="105" t="s">
        <v>183</v>
      </c>
      <c r="C79" s="106" t="s">
        <v>184</v>
      </c>
      <c r="D79" s="107">
        <v>45702</v>
      </c>
      <c r="E79" s="57" t="s">
        <v>37</v>
      </c>
      <c r="F79" s="57" t="s">
        <v>37</v>
      </c>
      <c r="G79" s="57" t="s">
        <v>37</v>
      </c>
      <c r="H79" s="57" t="s">
        <v>37</v>
      </c>
      <c r="I79" s="57" t="s">
        <v>37</v>
      </c>
      <c r="J79" s="57"/>
      <c r="K79" s="57" t="s">
        <v>38</v>
      </c>
      <c r="L79" s="57" t="s">
        <v>38</v>
      </c>
      <c r="M79" s="57" t="s">
        <v>38</v>
      </c>
      <c r="N79" s="57" t="s">
        <v>38</v>
      </c>
      <c r="O79" s="57" t="s">
        <v>38</v>
      </c>
      <c r="P79" s="57" t="s">
        <v>38</v>
      </c>
      <c r="Q79" s="57"/>
      <c r="R79" s="57" t="s">
        <v>38</v>
      </c>
      <c r="S79" s="57" t="s">
        <v>38</v>
      </c>
      <c r="T79" s="57" t="s">
        <v>38</v>
      </c>
      <c r="U79" s="57" t="s">
        <v>38</v>
      </c>
      <c r="V79" s="57" t="s">
        <v>38</v>
      </c>
      <c r="W79" s="57" t="s">
        <v>38</v>
      </c>
      <c r="X79" s="57" t="s">
        <v>506</v>
      </c>
      <c r="Y79" s="57" t="s">
        <v>37</v>
      </c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8">
        <v>10110507</v>
      </c>
      <c r="AK79" s="59">
        <v>12</v>
      </c>
      <c r="AL79" s="60">
        <f t="shared" si="59"/>
        <v>12</v>
      </c>
      <c r="AM79" s="61">
        <f t="shared" si="60"/>
        <v>6</v>
      </c>
      <c r="AN79" s="62">
        <f t="shared" si="61"/>
        <v>18</v>
      </c>
      <c r="AO79" s="62">
        <f t="shared" si="73"/>
        <v>0</v>
      </c>
      <c r="AP79" s="62">
        <f t="shared" si="74"/>
        <v>0</v>
      </c>
      <c r="AQ79" s="63">
        <f t="shared" si="75"/>
        <v>0</v>
      </c>
      <c r="AR79" s="62">
        <f t="shared" si="76"/>
        <v>0</v>
      </c>
      <c r="AS79" s="62">
        <f t="shared" si="77"/>
        <v>0</v>
      </c>
      <c r="AT79" s="64"/>
      <c r="AU79" s="64"/>
      <c r="AV79" s="65">
        <f t="shared" si="67"/>
        <v>12</v>
      </c>
      <c r="AW79" s="65">
        <f t="shared" si="68"/>
        <v>0</v>
      </c>
      <c r="AX79" s="104"/>
      <c r="AY79" s="64"/>
      <c r="AZ79" s="80"/>
      <c r="BA79" s="66">
        <f t="shared" si="69"/>
        <v>18</v>
      </c>
      <c r="BB79" s="67"/>
      <c r="BC79" s="68"/>
      <c r="BD79" s="69">
        <f>VLOOKUP($B79,[1]CN!$B$9:$DK$221,114,0)</f>
        <v>3</v>
      </c>
      <c r="BE79" s="70">
        <f t="shared" si="70"/>
        <v>27</v>
      </c>
      <c r="BF79" s="71" t="s">
        <v>39</v>
      </c>
      <c r="BG79" s="72" t="s">
        <v>34</v>
      </c>
      <c r="BH79" s="73" t="str">
        <f>VLOOKUP(B79,'[2]Bang luong_06'!$B$9:$C$333,2,0)</f>
        <v>Sơn Vách</v>
      </c>
      <c r="BI79" s="74"/>
      <c r="BJ79" s="75" t="str">
        <f>VLOOKUP($B79,'[2]Bang luong_06'!$B$10:$C$333,2,0)</f>
        <v>Sơn Vách</v>
      </c>
      <c r="BK79" s="76" t="b">
        <f t="shared" si="78"/>
        <v>1</v>
      </c>
      <c r="BM79" s="77" t="e">
        <f>+VLOOKUP(B79,'[2]Thưởng Lễ 2-9'!B87:G377,6,0)</f>
        <v>#N/A</v>
      </c>
      <c r="BN79" s="75">
        <f t="shared" si="79"/>
        <v>-6</v>
      </c>
      <c r="BO79" s="76" t="str">
        <f>+VLOOKUP(B79,'[2]Bang luong_06'!B97:D408,3,0)</f>
        <v>CNSX</v>
      </c>
      <c r="BP79" s="76" t="s">
        <v>40</v>
      </c>
      <c r="BQ79" s="76">
        <v>0</v>
      </c>
      <c r="BR79" s="76">
        <f t="shared" si="80"/>
        <v>12</v>
      </c>
    </row>
    <row r="80" spans="1:70" s="76" customFormat="1" ht="31.5" customHeight="1" x14ac:dyDescent="0.25">
      <c r="A80" s="33">
        <f t="shared" si="24"/>
        <v>63</v>
      </c>
      <c r="B80" s="105" t="s">
        <v>185</v>
      </c>
      <c r="C80" s="106" t="s">
        <v>186</v>
      </c>
      <c r="D80" s="107">
        <v>45705</v>
      </c>
      <c r="E80" s="57" t="s">
        <v>38</v>
      </c>
      <c r="F80" s="57" t="s">
        <v>38</v>
      </c>
      <c r="G80" s="57" t="s">
        <v>38</v>
      </c>
      <c r="H80" s="57" t="s">
        <v>38</v>
      </c>
      <c r="I80" s="57" t="s">
        <v>38</v>
      </c>
      <c r="J80" s="57" t="s">
        <v>506</v>
      </c>
      <c r="K80" s="57" t="s">
        <v>37</v>
      </c>
      <c r="L80" s="57" t="s">
        <v>37</v>
      </c>
      <c r="M80" s="57" t="s">
        <v>37</v>
      </c>
      <c r="N80" s="57" t="s">
        <v>37</v>
      </c>
      <c r="O80" s="57" t="s">
        <v>37</v>
      </c>
      <c r="P80" s="57" t="s">
        <v>37</v>
      </c>
      <c r="Q80" s="57"/>
      <c r="R80" s="57" t="s">
        <v>37</v>
      </c>
      <c r="S80" s="57" t="s">
        <v>37</v>
      </c>
      <c r="T80" s="57" t="s">
        <v>37</v>
      </c>
      <c r="U80" s="57" t="s">
        <v>37</v>
      </c>
      <c r="V80" s="57" t="s">
        <v>37</v>
      </c>
      <c r="W80" s="57" t="s">
        <v>37</v>
      </c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8">
        <v>10110507</v>
      </c>
      <c r="AK80" s="59">
        <v>12</v>
      </c>
      <c r="AL80" s="60">
        <f t="shared" si="59"/>
        <v>5</v>
      </c>
      <c r="AM80" s="61">
        <f t="shared" si="60"/>
        <v>12</v>
      </c>
      <c r="AN80" s="62">
        <f t="shared" si="61"/>
        <v>17</v>
      </c>
      <c r="AO80" s="62">
        <f t="shared" si="73"/>
        <v>0</v>
      </c>
      <c r="AP80" s="62">
        <f t="shared" si="74"/>
        <v>0</v>
      </c>
      <c r="AQ80" s="63">
        <f t="shared" si="75"/>
        <v>0</v>
      </c>
      <c r="AR80" s="62">
        <f t="shared" si="76"/>
        <v>0</v>
      </c>
      <c r="AS80" s="62">
        <f t="shared" si="77"/>
        <v>0</v>
      </c>
      <c r="AT80" s="64"/>
      <c r="AU80" s="64"/>
      <c r="AV80" s="65">
        <f t="shared" si="67"/>
        <v>12</v>
      </c>
      <c r="AW80" s="65">
        <f t="shared" si="68"/>
        <v>0</v>
      </c>
      <c r="AX80" s="64"/>
      <c r="AY80" s="64"/>
      <c r="AZ80" s="80"/>
      <c r="BA80" s="66">
        <f t="shared" si="69"/>
        <v>17</v>
      </c>
      <c r="BB80" s="67"/>
      <c r="BC80" s="68"/>
      <c r="BD80" s="69">
        <f>VLOOKUP($B80,[1]CN!$B$9:$DK$221,114,0)</f>
        <v>3</v>
      </c>
      <c r="BE80" s="70">
        <f t="shared" si="70"/>
        <v>27</v>
      </c>
      <c r="BF80" s="71" t="s">
        <v>39</v>
      </c>
      <c r="BG80" s="72" t="s">
        <v>34</v>
      </c>
      <c r="BH80" s="73" t="str">
        <f>VLOOKUP(B80,'[2]Bang luong_06'!$B$9:$C$333,2,0)</f>
        <v>Sơn Thảo</v>
      </c>
      <c r="BI80" s="74"/>
      <c r="BJ80" s="75" t="str">
        <f>VLOOKUP($B80,'[2]Bang luong_06'!$B$10:$C$333,2,0)</f>
        <v>Sơn Thảo</v>
      </c>
      <c r="BK80" s="76" t="b">
        <f t="shared" si="78"/>
        <v>1</v>
      </c>
      <c r="BM80" s="77" t="e">
        <f>+VLOOKUP(B80,'[2]Thưởng Lễ 2-9'!B89:G379,6,0)</f>
        <v>#N/A</v>
      </c>
      <c r="BN80" s="75">
        <f t="shared" si="79"/>
        <v>-6</v>
      </c>
      <c r="BO80" s="76" t="str">
        <f>+VLOOKUP(B80,'[2]Bang luong_06'!B99:D410,3,0)</f>
        <v>CNSX</v>
      </c>
      <c r="BP80" s="76" t="s">
        <v>40</v>
      </c>
      <c r="BQ80" s="76">
        <v>0</v>
      </c>
      <c r="BR80" s="76">
        <f t="shared" si="80"/>
        <v>5</v>
      </c>
    </row>
    <row r="81" spans="1:70" s="76" customFormat="1" ht="31.5" customHeight="1" x14ac:dyDescent="0.25">
      <c r="A81" s="33">
        <f t="shared" si="24"/>
        <v>64</v>
      </c>
      <c r="B81" s="105" t="s">
        <v>187</v>
      </c>
      <c r="C81" s="106" t="s">
        <v>188</v>
      </c>
      <c r="D81" s="107">
        <v>45708</v>
      </c>
      <c r="E81" s="57" t="s">
        <v>37</v>
      </c>
      <c r="F81" s="57" t="s">
        <v>37</v>
      </c>
      <c r="G81" s="57" t="s">
        <v>37</v>
      </c>
      <c r="H81" s="57" t="s">
        <v>37</v>
      </c>
      <c r="I81" s="97" t="s">
        <v>37</v>
      </c>
      <c r="J81" s="57"/>
      <c r="K81" s="97" t="s">
        <v>271</v>
      </c>
      <c r="L81" s="97" t="s">
        <v>38</v>
      </c>
      <c r="M81" s="97" t="s">
        <v>38</v>
      </c>
      <c r="N81" s="97" t="s">
        <v>38</v>
      </c>
      <c r="O81" s="97" t="s">
        <v>38</v>
      </c>
      <c r="P81" s="97" t="s">
        <v>38</v>
      </c>
      <c r="Q81" s="97"/>
      <c r="R81" s="97" t="s">
        <v>38</v>
      </c>
      <c r="S81" s="97" t="s">
        <v>38</v>
      </c>
      <c r="T81" s="97" t="s">
        <v>38</v>
      </c>
      <c r="U81" s="97" t="s">
        <v>38</v>
      </c>
      <c r="V81" s="57" t="s">
        <v>38</v>
      </c>
      <c r="W81" s="57" t="s">
        <v>38</v>
      </c>
      <c r="X81" s="57" t="s">
        <v>506</v>
      </c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8">
        <v>10110507</v>
      </c>
      <c r="AK81" s="59">
        <v>12</v>
      </c>
      <c r="AL81" s="60">
        <f t="shared" si="59"/>
        <v>11</v>
      </c>
      <c r="AM81" s="61">
        <f t="shared" si="60"/>
        <v>5</v>
      </c>
      <c r="AN81" s="62">
        <f t="shared" si="61"/>
        <v>16</v>
      </c>
      <c r="AO81" s="62">
        <f t="shared" si="73"/>
        <v>0</v>
      </c>
      <c r="AP81" s="62">
        <f t="shared" si="74"/>
        <v>1</v>
      </c>
      <c r="AQ81" s="63">
        <f t="shared" si="75"/>
        <v>0</v>
      </c>
      <c r="AR81" s="62">
        <f t="shared" si="76"/>
        <v>0</v>
      </c>
      <c r="AS81" s="62">
        <f t="shared" si="77"/>
        <v>0</v>
      </c>
      <c r="AT81" s="64"/>
      <c r="AU81" s="64"/>
      <c r="AV81" s="65">
        <f t="shared" si="67"/>
        <v>12</v>
      </c>
      <c r="AW81" s="65">
        <f t="shared" si="68"/>
        <v>0</v>
      </c>
      <c r="AX81" s="64"/>
      <c r="AY81" s="64"/>
      <c r="AZ81" s="80"/>
      <c r="BA81" s="66">
        <f t="shared" si="69"/>
        <v>16</v>
      </c>
      <c r="BB81" s="67"/>
      <c r="BC81" s="68"/>
      <c r="BD81" s="69">
        <f>VLOOKUP($B81,[1]CN!$B$9:$DK$221,114,0)</f>
        <v>3</v>
      </c>
      <c r="BE81" s="70">
        <f t="shared" si="70"/>
        <v>27</v>
      </c>
      <c r="BF81" s="71" t="s">
        <v>39</v>
      </c>
      <c r="BG81" s="72" t="s">
        <v>34</v>
      </c>
      <c r="BH81" s="73" t="str">
        <f>VLOOKUP(B81,'[2]Bang luong_06'!$B$9:$C$333,2,0)</f>
        <v>Lê Hoàng Long</v>
      </c>
      <c r="BI81" s="74"/>
      <c r="BJ81" s="75" t="str">
        <f>VLOOKUP($B81,'[2]Bang luong_06'!$B$10:$C$333,2,0)</f>
        <v>Lê Hoàng Long</v>
      </c>
      <c r="BK81" s="76" t="b">
        <f t="shared" si="78"/>
        <v>1</v>
      </c>
      <c r="BM81" s="77" t="e">
        <f>+VLOOKUP(B81,'[2]Thưởng Lễ 2-9'!B88:G378,6,0)</f>
        <v>#N/A</v>
      </c>
      <c r="BN81" s="75">
        <f t="shared" si="79"/>
        <v>-6</v>
      </c>
      <c r="BO81" s="76" t="str">
        <f>+VLOOKUP(B81,'[2]Bang luong_06'!B98:D409,3,0)</f>
        <v>CNSX</v>
      </c>
      <c r="BP81" s="76" t="s">
        <v>40</v>
      </c>
      <c r="BQ81" s="76">
        <v>0</v>
      </c>
      <c r="BR81" s="76">
        <f t="shared" si="80"/>
        <v>11</v>
      </c>
    </row>
    <row r="82" spans="1:70" s="76" customFormat="1" ht="31.5" customHeight="1" x14ac:dyDescent="0.25">
      <c r="A82" s="33">
        <f t="shared" si="24"/>
        <v>65</v>
      </c>
      <c r="B82" s="105" t="s">
        <v>189</v>
      </c>
      <c r="C82" s="106" t="s">
        <v>190</v>
      </c>
      <c r="D82" s="107">
        <v>45708</v>
      </c>
      <c r="E82" s="57" t="s">
        <v>38</v>
      </c>
      <c r="F82" s="57" t="s">
        <v>38</v>
      </c>
      <c r="G82" s="57" t="s">
        <v>38</v>
      </c>
      <c r="H82" s="57" t="s">
        <v>38</v>
      </c>
      <c r="I82" s="57" t="s">
        <v>38</v>
      </c>
      <c r="J82" s="57" t="s">
        <v>506</v>
      </c>
      <c r="K82" s="57" t="s">
        <v>37</v>
      </c>
      <c r="L82" s="57" t="s">
        <v>37</v>
      </c>
      <c r="M82" s="57" t="s">
        <v>37</v>
      </c>
      <c r="N82" s="57" t="s">
        <v>37</v>
      </c>
      <c r="O82" s="57" t="s">
        <v>37</v>
      </c>
      <c r="P82" s="57" t="s">
        <v>37</v>
      </c>
      <c r="Q82" s="57" t="s">
        <v>507</v>
      </c>
      <c r="R82" s="57" t="s">
        <v>37</v>
      </c>
      <c r="S82" s="57" t="s">
        <v>37</v>
      </c>
      <c r="T82" s="57" t="s">
        <v>37</v>
      </c>
      <c r="U82" s="57" t="s">
        <v>37</v>
      </c>
      <c r="V82" s="57" t="s">
        <v>37</v>
      </c>
      <c r="W82" s="57" t="s">
        <v>37</v>
      </c>
      <c r="X82" s="57"/>
      <c r="Y82" s="57" t="s">
        <v>38</v>
      </c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8">
        <v>10110507</v>
      </c>
      <c r="AK82" s="59">
        <v>12</v>
      </c>
      <c r="AL82" s="60">
        <f t="shared" si="59"/>
        <v>6</v>
      </c>
      <c r="AM82" s="61">
        <f t="shared" si="60"/>
        <v>12</v>
      </c>
      <c r="AN82" s="62">
        <f t="shared" si="61"/>
        <v>18</v>
      </c>
      <c r="AO82" s="62">
        <f t="shared" si="73"/>
        <v>0</v>
      </c>
      <c r="AP82" s="62">
        <f t="shared" si="74"/>
        <v>0</v>
      </c>
      <c r="AQ82" s="63">
        <f t="shared" si="75"/>
        <v>0</v>
      </c>
      <c r="AR82" s="62">
        <f t="shared" si="76"/>
        <v>0</v>
      </c>
      <c r="AS82" s="62">
        <f t="shared" si="77"/>
        <v>0</v>
      </c>
      <c r="AT82" s="64"/>
      <c r="AU82" s="64"/>
      <c r="AV82" s="65">
        <f t="shared" si="67"/>
        <v>12</v>
      </c>
      <c r="AW82" s="65">
        <f t="shared" si="68"/>
        <v>12</v>
      </c>
      <c r="AX82" s="64"/>
      <c r="AY82" s="64"/>
      <c r="AZ82" s="80"/>
      <c r="BA82" s="66">
        <f t="shared" si="69"/>
        <v>18</v>
      </c>
      <c r="BB82" s="67"/>
      <c r="BC82" s="68"/>
      <c r="BD82" s="69">
        <f>VLOOKUP($B82,[1]CN!$B$9:$DK$221,114,0)</f>
        <v>3</v>
      </c>
      <c r="BE82" s="70">
        <f t="shared" si="70"/>
        <v>27</v>
      </c>
      <c r="BF82" s="71" t="s">
        <v>39</v>
      </c>
      <c r="BG82" s="72" t="s">
        <v>34</v>
      </c>
      <c r="BH82" s="73" t="str">
        <f>VLOOKUP(B82,'[2]Bang luong_06'!$B$9:$C$333,2,0)</f>
        <v>Trần Hải Đăng</v>
      </c>
      <c r="BI82" s="74"/>
      <c r="BJ82" s="75" t="str">
        <f>VLOOKUP($B82,'[2]Bang luong_06'!$B$10:$C$333,2,0)</f>
        <v>Trần Hải Đăng</v>
      </c>
      <c r="BK82" s="76" t="b">
        <f t="shared" si="78"/>
        <v>1</v>
      </c>
      <c r="BM82" s="77" t="e">
        <f>+VLOOKUP(B82,'[2]Thưởng Lễ 2-9'!B88:G378,6,0)</f>
        <v>#N/A</v>
      </c>
      <c r="BN82" s="75">
        <f t="shared" si="79"/>
        <v>-6</v>
      </c>
      <c r="BO82" s="76" t="str">
        <f>+VLOOKUP(B82,'[2]Bang luong_06'!B98:D409,3,0)</f>
        <v>CNSX</v>
      </c>
      <c r="BP82" s="76" t="s">
        <v>40</v>
      </c>
      <c r="BQ82" s="76">
        <v>0</v>
      </c>
      <c r="BR82" s="76">
        <f t="shared" si="80"/>
        <v>6</v>
      </c>
    </row>
    <row r="83" spans="1:70" s="76" customFormat="1" ht="31.5" customHeight="1" x14ac:dyDescent="0.25">
      <c r="A83" s="33">
        <f t="shared" ref="A83:A146" si="81">IF(B83="","",MAX(A81:A82)+1)</f>
        <v>66</v>
      </c>
      <c r="B83" s="105" t="s">
        <v>191</v>
      </c>
      <c r="C83" s="106" t="s">
        <v>192</v>
      </c>
      <c r="D83" s="107">
        <v>45716</v>
      </c>
      <c r="E83" s="57" t="s">
        <v>38</v>
      </c>
      <c r="F83" s="57" t="s">
        <v>38</v>
      </c>
      <c r="G83" s="57" t="s">
        <v>38</v>
      </c>
      <c r="H83" s="57" t="s">
        <v>38</v>
      </c>
      <c r="I83" s="57" t="s">
        <v>38</v>
      </c>
      <c r="J83" s="57"/>
      <c r="K83" s="57" t="s">
        <v>37</v>
      </c>
      <c r="L83" s="57" t="s">
        <v>37</v>
      </c>
      <c r="M83" s="57" t="s">
        <v>37</v>
      </c>
      <c r="N83" s="57" t="s">
        <v>37</v>
      </c>
      <c r="O83" s="57" t="s">
        <v>37</v>
      </c>
      <c r="P83" s="57" t="s">
        <v>37</v>
      </c>
      <c r="Q83" s="57" t="s">
        <v>507</v>
      </c>
      <c r="R83" s="57" t="s">
        <v>37</v>
      </c>
      <c r="S83" s="57" t="s">
        <v>37</v>
      </c>
      <c r="T83" s="57" t="s">
        <v>37</v>
      </c>
      <c r="U83" s="57" t="s">
        <v>37</v>
      </c>
      <c r="V83" s="57" t="s">
        <v>37</v>
      </c>
      <c r="W83" s="57" t="s">
        <v>37</v>
      </c>
      <c r="X83" s="57"/>
      <c r="Y83" s="57" t="s">
        <v>38</v>
      </c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8">
        <v>10110507</v>
      </c>
      <c r="AK83" s="59">
        <v>12</v>
      </c>
      <c r="AL83" s="60">
        <f t="shared" si="59"/>
        <v>6</v>
      </c>
      <c r="AM83" s="61">
        <f t="shared" si="60"/>
        <v>12</v>
      </c>
      <c r="AN83" s="62">
        <f t="shared" si="61"/>
        <v>18</v>
      </c>
      <c r="AO83" s="62">
        <f>COUNTIF(E83:AI83,"p")+COUNTIF(E83:AI83,"p1")/2+COUNTIF(E83:AI83,"p2")/2</f>
        <v>0</v>
      </c>
      <c r="AP83" s="62">
        <f>COUNTIF(E83:AI83,"K")</f>
        <v>0</v>
      </c>
      <c r="AQ83" s="63">
        <f>COUNTIF(E83:AI83,"Ro")+COUNTIF(E83:AI83,"Ro1")*11/AK83+COUNTIF(E83:AI83,"Ro2")*10/AK83+COUNTIF(E83:AI83,"Ro3")*9/AK83+COUNTIF(E83:AI83,"Ro3.0")*9/AK83+COUNTIF(E83:AI83,"Ro4")*8/AK83+COUNTIF(E83:AI83,"Ro4.0")*8/AK83+COUNTIF(E83:AI83,"Ro4.5")*7.5/AK83+COUNTIF(E83:AI83,"Ro5")*7/AK83+COUNTIF(E83:AI83,"Ro5.0")*7/AK83+COUNTIF(E83:AI83,"Ro5.5")*6.5/AK83+COUNTIF(E83:AI83,"Ro6")*6/AK83+COUNTIF(E83:AI83,"Ro7")*5/AK83+COUNTIF(E83:AI83,"Ro8")*4/AK83+COUNTIF(E83:AI83,"Ro8.0")*4/AK83+COUNTIF(E83:AI83,"Ro8.3")*3.7/AK83+COUNTIF(E83:AI83,"Ro8.5")*3.5/AK83+COUNTIF(E83:AI83,"Ro9")*3/AK83+COUNTIF(E83:AI83,"Ro10")*2/AK83+COUNTIF(E83:AI83,"Ro10.0")*2/AK83+COUNTIF(E83:AI83,"Ro10.5")*1.5/AK83+COUNTIF(E83:AI83,"Ro11.0")*1/AK83+COUNTIF(E83:AI83,"Ro11")*1/AK83+COUNTIF(E83:AI83,"Ro11.5")*0.5/AK83+COUNTIF(E83:AI83,"N1")*11/AK83+COUNTIF(E83:AI83,"N2")*10/AK83+COUNTIF(E83:AI83,"N3")*9/AK83+COUNTIF(E83:AI83,"N4")*8/AK83+COUNTIF(E83:AI83,"N5")*7/AK83+COUNTIF(E83:AI83,"N6")*6/AK83+COUNTIF(E83:AI83,"N7")*5/AK83+COUNTIF(E83:AI83,"N8")*4/AK83+COUNTIF(E83:AI83,"N9")*3/AK83+COUNTIF(E83:AI83,"N10")*2/AK83+COUNTIF(E83:AI83,"N11")*1/AK83+COUNTIF(E83:AI83,"D1")*11/AK83+COUNTIF(E83:AI83,"D2")*10/AK83+COUNTIF(E83:AI83,"D3")*9/AK83+COUNTIF(E83:AI83,"D4")*8/AK83+COUNTIF(E83:AI83,"D5")*7/AK83+COUNTIF(E83:AI83,"D6")*6/AK83+COUNTIF(E83:AI83,"D7")*5/AK83+COUNTIF(E83:AI83,"D8")*4/AK83+COUNTIF(E83:AI83,"D9")*3/AK83+COUNTIF(E83:AI83,"D10")*2/AK83+COUNTIF(E83:AI83,"D11")*1/AK83+COUNTIF(E83:AI83,"P1")*0.5</f>
        <v>0</v>
      </c>
      <c r="AR83" s="62">
        <f>COUNTIF(E83:AI83,"R")</f>
        <v>0</v>
      </c>
      <c r="AS83" s="62">
        <f>COUNTIF(E83:AI83,"L")</f>
        <v>0</v>
      </c>
      <c r="AT83" s="64"/>
      <c r="AU83" s="64"/>
      <c r="AV83" s="65">
        <f t="shared" si="67"/>
        <v>0</v>
      </c>
      <c r="AW83" s="65">
        <f t="shared" si="68"/>
        <v>12</v>
      </c>
      <c r="AX83" s="64"/>
      <c r="AY83" s="64"/>
      <c r="AZ83" s="80"/>
      <c r="BA83" s="66">
        <f t="shared" si="69"/>
        <v>18</v>
      </c>
      <c r="BB83" s="67"/>
      <c r="BC83" s="68"/>
      <c r="BD83" s="69">
        <f>VLOOKUP($B83,[1]CN!$B$9:$DK$221,114,0)</f>
        <v>2</v>
      </c>
      <c r="BE83" s="70">
        <f t="shared" si="70"/>
        <v>27</v>
      </c>
      <c r="BF83" s="71" t="s">
        <v>39</v>
      </c>
      <c r="BG83" s="72" t="s">
        <v>34</v>
      </c>
      <c r="BH83" s="73" t="str">
        <f>VLOOKUP(B83,'[2]Bang luong_06'!$B$9:$C$333,2,0)</f>
        <v>Trần Bền</v>
      </c>
      <c r="BI83" s="74"/>
      <c r="BJ83" s="75" t="str">
        <f>VLOOKUP($B83,'[2]Bang luong_06'!$B$10:$C$333,2,0)</f>
        <v>Trần Bền</v>
      </c>
      <c r="BK83" s="76" t="b">
        <f>BJ83=C83</f>
        <v>1</v>
      </c>
      <c r="BM83" s="77" t="e">
        <f>+VLOOKUP(B83,'[2]Thưởng Lễ 2-9'!B86:G376,6,0)</f>
        <v>#N/A</v>
      </c>
      <c r="BN83" s="75">
        <f>ROUND(($BN$12-D83)/30,0)</f>
        <v>-6</v>
      </c>
      <c r="BO83" s="76" t="str">
        <f>+VLOOKUP(B83,'[2]Bang luong_06'!B96:D407,3,0)</f>
        <v>CNSX</v>
      </c>
      <c r="BP83" s="76" t="s">
        <v>40</v>
      </c>
      <c r="BQ83" s="76">
        <v>0</v>
      </c>
      <c r="BR83" s="76">
        <f t="shared" si="80"/>
        <v>6</v>
      </c>
    </row>
    <row r="84" spans="1:70" s="76" customFormat="1" ht="31.5" customHeight="1" x14ac:dyDescent="0.25">
      <c r="A84" s="33">
        <f t="shared" si="81"/>
        <v>67</v>
      </c>
      <c r="B84" s="105" t="s">
        <v>193</v>
      </c>
      <c r="C84" s="106" t="s">
        <v>194</v>
      </c>
      <c r="D84" s="107">
        <v>45566</v>
      </c>
      <c r="E84" s="86" t="s">
        <v>38</v>
      </c>
      <c r="F84" s="86" t="s">
        <v>38</v>
      </c>
      <c r="G84" s="86" t="s">
        <v>38</v>
      </c>
      <c r="H84" s="86" t="s">
        <v>38</v>
      </c>
      <c r="I84" s="86" t="s">
        <v>38</v>
      </c>
      <c r="J84" s="86"/>
      <c r="K84" s="57" t="s">
        <v>38</v>
      </c>
      <c r="L84" s="86" t="s">
        <v>38</v>
      </c>
      <c r="M84" s="86" t="s">
        <v>38</v>
      </c>
      <c r="N84" s="86" t="s">
        <v>38</v>
      </c>
      <c r="O84" s="86" t="s">
        <v>38</v>
      </c>
      <c r="P84" s="86" t="s">
        <v>38</v>
      </c>
      <c r="Q84" s="86"/>
      <c r="R84" s="57" t="s">
        <v>38</v>
      </c>
      <c r="S84" s="86" t="s">
        <v>38</v>
      </c>
      <c r="T84" s="86" t="s">
        <v>38</v>
      </c>
      <c r="U84" s="86" t="s">
        <v>38</v>
      </c>
      <c r="V84" s="86" t="s">
        <v>38</v>
      </c>
      <c r="W84" s="86" t="s">
        <v>38</v>
      </c>
      <c r="X84" s="86"/>
      <c r="Y84" s="57" t="s">
        <v>38</v>
      </c>
      <c r="Z84" s="57"/>
      <c r="AA84" s="57"/>
      <c r="AB84" s="57"/>
      <c r="AC84" s="57"/>
      <c r="AD84" s="57"/>
      <c r="AE84" s="57"/>
      <c r="AF84" s="57"/>
      <c r="AG84" s="86"/>
      <c r="AH84" s="86"/>
      <c r="AI84" s="86"/>
      <c r="AJ84" s="58">
        <v>10110507</v>
      </c>
      <c r="AK84" s="59">
        <v>12</v>
      </c>
      <c r="AL84" s="60">
        <f t="shared" si="59"/>
        <v>18</v>
      </c>
      <c r="AM84" s="61">
        <f t="shared" si="60"/>
        <v>0</v>
      </c>
      <c r="AN84" s="62">
        <f t="shared" si="61"/>
        <v>18</v>
      </c>
      <c r="AO84" s="62">
        <f>COUNTIF(E84:AI84,"p")+COUNTIF(E84:AI84,"p1")/2+COUNTIF(E84:AI84,"p2")/2</f>
        <v>0</v>
      </c>
      <c r="AP84" s="62">
        <f>COUNTIF(E84:AI84,"K")</f>
        <v>0</v>
      </c>
      <c r="AQ84" s="63">
        <f>COUNTIF(E84:AI84,"Ro")+COUNTIF(E84:AI84,"Ro1")*11/AK84+COUNTIF(E84:AI84,"Ro2")*10/AK84+COUNTIF(E84:AI84,"Ro3")*9/AK84+COUNTIF(E84:AI84,"Ro3.0")*9/AK84+COUNTIF(E84:AI84,"Ro4")*8/AK84+COUNTIF(E84:AI84,"Ro4.0")*8/AK84+COUNTIF(E84:AI84,"Ro4.5")*7.5/AK84+COUNTIF(E84:AI84,"Ro5")*7/AK84+COUNTIF(E84:AI84,"Ro5.0")*7/AK84+COUNTIF(E84:AI84,"Ro5.5")*6.5/AK84+COUNTIF(E84:AI84,"Ro6")*6/AK84+COUNTIF(E84:AI84,"Ro7")*5/AK84+COUNTIF(E84:AI84,"Ro8")*4/AK84+COUNTIF(E84:AI84,"Ro8.0")*4/AK84+COUNTIF(E84:AI84,"Ro8.3")*3.7/AK84+COUNTIF(E84:AI84,"Ro8.5")*3.5/AK84+COUNTIF(E84:AI84,"Ro9")*3/AK84+COUNTIF(E84:AI84,"Ro10")*2/AK84+COUNTIF(E84:AI84,"Ro10.0")*2/AK84+COUNTIF(E84:AI84,"Ro10.5")*1.5/AK84+COUNTIF(E84:AI84,"Ro11.0")*1/AK84+COUNTIF(E84:AI84,"Ro11")*1/AK84+COUNTIF(E84:AI84,"Ro11.5")*0.5/AK84+COUNTIF(E84:AI84,"N1")*11/AK84+COUNTIF(E84:AI84,"N2")*10/AK84+COUNTIF(E84:AI84,"N3")*9/AK84+COUNTIF(E84:AI84,"N4")*8/AK84+COUNTIF(E84:AI84,"N5")*7/AK84+COUNTIF(E84:AI84,"N6")*6/AK84+COUNTIF(E84:AI84,"N7")*5/AK84+COUNTIF(E84:AI84,"N8")*4/AK84+COUNTIF(E84:AI84,"N9")*3/AK84+COUNTIF(E84:AI84,"N10")*2/AK84+COUNTIF(E84:AI84,"N11")*1/AK84+COUNTIF(E84:AI84,"D1")*11/AK84+COUNTIF(E84:AI84,"D2")*10/AK84+COUNTIF(E84:AI84,"D3")*9/AK84+COUNTIF(E84:AI84,"D4")*8/AK84+COUNTIF(E84:AI84,"D5")*7/AK84+COUNTIF(E84:AI84,"D6")*6/AK84+COUNTIF(E84:AI84,"D7")*5/AK84+COUNTIF(E84:AI84,"D8")*4/AK84+COUNTIF(E84:AI84,"D9")*3/AK84+COUNTIF(E84:AI84,"D10")*2/AK84+COUNTIF(E84:AI84,"D11")*1/AK84+COUNTIF(E84:AI84,"P1")*0.5</f>
        <v>0</v>
      </c>
      <c r="AR84" s="62">
        <f>COUNTIF(E84:AI84,"R")</f>
        <v>0</v>
      </c>
      <c r="AS84" s="62">
        <f>COUNTIF(E84:AI84,"L")</f>
        <v>0</v>
      </c>
      <c r="AT84" s="64"/>
      <c r="AU84" s="64"/>
      <c r="AV84" s="65">
        <f t="shared" si="67"/>
        <v>0</v>
      </c>
      <c r="AW84" s="65">
        <f t="shared" si="68"/>
        <v>0</v>
      </c>
      <c r="AX84" s="64"/>
      <c r="AY84" s="64"/>
      <c r="AZ84" s="80"/>
      <c r="BA84" s="66">
        <f t="shared" si="69"/>
        <v>18</v>
      </c>
      <c r="BB84" s="67"/>
      <c r="BC84" s="68"/>
      <c r="BD84" s="69">
        <f>VLOOKUP($B84,[1]CN!$B$9:$DK$221,114,0)</f>
        <v>0</v>
      </c>
      <c r="BE84" s="70">
        <f t="shared" si="70"/>
        <v>27</v>
      </c>
      <c r="BF84" s="71" t="s">
        <v>39</v>
      </c>
      <c r="BG84" s="72" t="s">
        <v>34</v>
      </c>
      <c r="BH84" s="73" t="str">
        <f>VLOOKUP(B84,'[2]Bang luong_06'!$B$9:$C$333,2,0)</f>
        <v>Chau Sóc Khai</v>
      </c>
      <c r="BI84" s="74"/>
      <c r="BJ84" s="75" t="str">
        <f>VLOOKUP($B84,'[2]Bang luong_06'!$B$10:$C$333,2,0)</f>
        <v>Chau Sóc Khai</v>
      </c>
      <c r="BK84" s="76" t="b">
        <f>BJ84=C84</f>
        <v>1</v>
      </c>
      <c r="BM84" s="77" t="e">
        <f>+VLOOKUP(B84,'[2]Thưởng Lễ 2-9'!B88:G378,6,0)</f>
        <v>#N/A</v>
      </c>
      <c r="BN84" s="75">
        <f>ROUND(($BN$12-D84)/30,0)</f>
        <v>-1</v>
      </c>
      <c r="BO84" s="76" t="str">
        <f>+VLOOKUP(B84,'[2]Bang luong_06'!B98:D409,3,0)</f>
        <v>CNSX</v>
      </c>
      <c r="BP84" s="76" t="s">
        <v>40</v>
      </c>
      <c r="BQ84" s="76">
        <v>0</v>
      </c>
      <c r="BR84" s="76">
        <f t="shared" si="80"/>
        <v>18</v>
      </c>
    </row>
    <row r="85" spans="1:70" s="76" customFormat="1" ht="31.5" customHeight="1" x14ac:dyDescent="0.25">
      <c r="A85" s="33">
        <f t="shared" si="81"/>
        <v>68</v>
      </c>
      <c r="B85" s="105" t="s">
        <v>195</v>
      </c>
      <c r="C85" s="106" t="s">
        <v>196</v>
      </c>
      <c r="D85" s="107">
        <v>45608</v>
      </c>
      <c r="E85" s="57" t="s">
        <v>37</v>
      </c>
      <c r="F85" s="86" t="s">
        <v>37</v>
      </c>
      <c r="G85" s="57" t="s">
        <v>37</v>
      </c>
      <c r="H85" s="57" t="s">
        <v>37</v>
      </c>
      <c r="I85" s="57" t="s">
        <v>37</v>
      </c>
      <c r="J85" s="57"/>
      <c r="K85" s="57" t="s">
        <v>38</v>
      </c>
      <c r="L85" s="57" t="s">
        <v>38</v>
      </c>
      <c r="M85" s="57" t="s">
        <v>38</v>
      </c>
      <c r="N85" s="57" t="s">
        <v>38</v>
      </c>
      <c r="O85" s="57" t="s">
        <v>38</v>
      </c>
      <c r="P85" s="57" t="s">
        <v>38</v>
      </c>
      <c r="Q85" s="57" t="s">
        <v>506</v>
      </c>
      <c r="R85" s="57" t="s">
        <v>38</v>
      </c>
      <c r="S85" s="57" t="s">
        <v>38</v>
      </c>
      <c r="T85" s="57" t="s">
        <v>38</v>
      </c>
      <c r="U85" s="57" t="s">
        <v>38</v>
      </c>
      <c r="V85" s="57" t="s">
        <v>38</v>
      </c>
      <c r="W85" s="57" t="s">
        <v>38</v>
      </c>
      <c r="X85" s="57"/>
      <c r="Y85" s="57" t="s">
        <v>37</v>
      </c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8">
        <v>10110507</v>
      </c>
      <c r="AK85" s="59">
        <v>12</v>
      </c>
      <c r="AL85" s="60">
        <f t="shared" si="59"/>
        <v>12</v>
      </c>
      <c r="AM85" s="61">
        <f t="shared" si="60"/>
        <v>6</v>
      </c>
      <c r="AN85" s="62">
        <f t="shared" si="61"/>
        <v>18</v>
      </c>
      <c r="AO85" s="62">
        <f>COUNTIF(E85:AI85,"p")+COUNTIF(E85:AI85,"p1")/2+COUNTIF(E85:AI85,"p2")/2</f>
        <v>0</v>
      </c>
      <c r="AP85" s="62">
        <f>COUNTIF(E85:AI85,"K")</f>
        <v>0</v>
      </c>
      <c r="AQ85" s="63">
        <f>COUNTIF(E85:AI85,"Ro")+COUNTIF(E85:AI85,"Ro1")*11/AK85+COUNTIF(E85:AI85,"Ro2")*10/AK85+COUNTIF(E85:AI85,"Ro3")*9/AK85+COUNTIF(E85:AI85,"Ro3.0")*9/AK85+COUNTIF(E85:AI85,"Ro4")*8/AK85+COUNTIF(E85:AI85,"Ro4.0")*8/AK85+COUNTIF(E85:AI85,"Ro4.5")*7.5/AK85+COUNTIF(E85:AI85,"Ro5")*7/AK85+COUNTIF(E85:AI85,"Ro5.0")*7/AK85+COUNTIF(E85:AI85,"Ro5.5")*6.5/AK85+COUNTIF(E85:AI85,"Ro6")*6/AK85+COUNTIF(E85:AI85,"Ro7")*5/AK85+COUNTIF(E85:AI85,"Ro8")*4/AK85+COUNTIF(E85:AI85,"Ro8.0")*4/AK85+COUNTIF(E85:AI85,"Ro8.3")*3.7/AK85+COUNTIF(E85:AI85,"Ro8.5")*3.5/AK85+COUNTIF(E85:AI85,"Ro9")*3/AK85+COUNTIF(E85:AI85,"Ro10")*2/AK85+COUNTIF(E85:AI85,"Ro10.0")*2/AK85+COUNTIF(E85:AI85,"Ro10.5")*1.5/AK85+COUNTIF(E85:AI85,"Ro11.0")*1/AK85+COUNTIF(E85:AI85,"Ro11")*1/AK85+COUNTIF(E85:AI85,"Ro11.5")*0.5/AK85+COUNTIF(E85:AI85,"N1")*11/AK85+COUNTIF(E85:AI85,"N2")*10/AK85+COUNTIF(E85:AI85,"N3")*9/AK85+COUNTIF(E85:AI85,"N4")*8/AK85+COUNTIF(E85:AI85,"N5")*7/AK85+COUNTIF(E85:AI85,"N6")*6/AK85+COUNTIF(E85:AI85,"N7")*5/AK85+COUNTIF(E85:AI85,"N8")*4/AK85+COUNTIF(E85:AI85,"N9")*3/AK85+COUNTIF(E85:AI85,"N10")*2/AK85+COUNTIF(E85:AI85,"N11")*1/AK85+COUNTIF(E85:AI85,"D1")*11/AK85+COUNTIF(E85:AI85,"D2")*10/AK85+COUNTIF(E85:AI85,"D3")*9/AK85+COUNTIF(E85:AI85,"D4")*8/AK85+COUNTIF(E85:AI85,"D5")*7/AK85+COUNTIF(E85:AI85,"D6")*6/AK85+COUNTIF(E85:AI85,"D7")*5/AK85+COUNTIF(E85:AI85,"D8")*4/AK85+COUNTIF(E85:AI85,"D9")*3/AK85+COUNTIF(E85:AI85,"D10")*2/AK85+COUNTIF(E85:AI85,"D11")*1/AK85+COUNTIF(E85:AI85,"P1")*0.5</f>
        <v>0</v>
      </c>
      <c r="AR85" s="62">
        <f>COUNTIF(E85:AI85,"R")</f>
        <v>0</v>
      </c>
      <c r="AS85" s="62">
        <f>COUNTIF(E85:AI85,"L")</f>
        <v>0</v>
      </c>
      <c r="AT85" s="64"/>
      <c r="AU85" s="64"/>
      <c r="AV85" s="65">
        <f t="shared" si="67"/>
        <v>12</v>
      </c>
      <c r="AW85" s="65">
        <f t="shared" si="68"/>
        <v>0</v>
      </c>
      <c r="AX85" s="104"/>
      <c r="AY85" s="64"/>
      <c r="AZ85" s="80"/>
      <c r="BA85" s="66">
        <f t="shared" si="69"/>
        <v>18</v>
      </c>
      <c r="BB85" s="67"/>
      <c r="BC85" s="68"/>
      <c r="BD85" s="69">
        <f>VLOOKUP($B85,[1]CN!$B$9:$DK$221,114,0)</f>
        <v>4</v>
      </c>
      <c r="BE85" s="70">
        <f t="shared" si="70"/>
        <v>27</v>
      </c>
      <c r="BF85" s="71" t="s">
        <v>39</v>
      </c>
      <c r="BG85" s="72" t="s">
        <v>34</v>
      </c>
      <c r="BH85" s="73" t="str">
        <f>VLOOKUP(B85,'[2]Bang luong_06'!$B$9:$C$333,2,0)</f>
        <v>Thạch Tiên</v>
      </c>
      <c r="BI85" s="74"/>
      <c r="BJ85" s="75" t="str">
        <f>VLOOKUP($B85,'[2]Bang luong_06'!$B$10:$C$333,2,0)</f>
        <v>Thạch Tiên</v>
      </c>
      <c r="BK85" s="76" t="b">
        <f>BJ85=C85</f>
        <v>1</v>
      </c>
      <c r="BM85" s="77" t="e">
        <f>+VLOOKUP(B85,'[2]Thưởng Lễ 2-9'!B88:G378,6,0)</f>
        <v>#N/A</v>
      </c>
      <c r="BN85" s="75">
        <f>ROUND(($BN$12-D85)/30,0)</f>
        <v>-2</v>
      </c>
      <c r="BO85" s="76" t="str">
        <f>+VLOOKUP(B85,'[2]Bang luong_06'!B98:D409,3,0)</f>
        <v>CNSX</v>
      </c>
      <c r="BP85" s="76" t="s">
        <v>40</v>
      </c>
      <c r="BQ85" s="76">
        <v>0</v>
      </c>
      <c r="BR85" s="76">
        <f t="shared" si="80"/>
        <v>12</v>
      </c>
    </row>
    <row r="86" spans="1:70" s="76" customFormat="1" ht="31.5" customHeight="1" x14ac:dyDescent="0.25">
      <c r="A86" s="33">
        <f t="shared" si="81"/>
        <v>69</v>
      </c>
      <c r="B86" s="105" t="s">
        <v>197</v>
      </c>
      <c r="C86" s="106" t="s">
        <v>198</v>
      </c>
      <c r="D86" s="107">
        <v>45695</v>
      </c>
      <c r="E86" s="57" t="s">
        <v>37</v>
      </c>
      <c r="F86" s="86" t="s">
        <v>37</v>
      </c>
      <c r="G86" s="57" t="s">
        <v>37</v>
      </c>
      <c r="H86" s="57" t="s">
        <v>37</v>
      </c>
      <c r="I86" s="57" t="s">
        <v>37</v>
      </c>
      <c r="J86" s="57"/>
      <c r="K86" s="57" t="s">
        <v>38</v>
      </c>
      <c r="L86" s="57" t="s">
        <v>38</v>
      </c>
      <c r="M86" s="57" t="s">
        <v>38</v>
      </c>
      <c r="N86" s="57" t="s">
        <v>38</v>
      </c>
      <c r="O86" s="57" t="s">
        <v>38</v>
      </c>
      <c r="P86" s="57" t="s">
        <v>38</v>
      </c>
      <c r="Q86" s="57"/>
      <c r="R86" s="57" t="s">
        <v>38</v>
      </c>
      <c r="S86" s="57" t="s">
        <v>38</v>
      </c>
      <c r="T86" s="57" t="s">
        <v>38</v>
      </c>
      <c r="U86" s="57" t="s">
        <v>38</v>
      </c>
      <c r="V86" s="57" t="s">
        <v>38</v>
      </c>
      <c r="W86" s="57" t="s">
        <v>38</v>
      </c>
      <c r="X86" s="57" t="s">
        <v>506</v>
      </c>
      <c r="Y86" s="57" t="s">
        <v>37</v>
      </c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8">
        <v>10110507</v>
      </c>
      <c r="AK86" s="59">
        <v>12</v>
      </c>
      <c r="AL86" s="60">
        <f t="shared" si="59"/>
        <v>12</v>
      </c>
      <c r="AM86" s="61">
        <f t="shared" si="60"/>
        <v>6</v>
      </c>
      <c r="AN86" s="62">
        <f t="shared" si="61"/>
        <v>18</v>
      </c>
      <c r="AO86" s="62">
        <f t="shared" si="73"/>
        <v>0</v>
      </c>
      <c r="AP86" s="62">
        <f t="shared" si="74"/>
        <v>0</v>
      </c>
      <c r="AQ86" s="63">
        <f t="shared" si="75"/>
        <v>0</v>
      </c>
      <c r="AR86" s="62">
        <f t="shared" si="76"/>
        <v>0</v>
      </c>
      <c r="AS86" s="62">
        <f t="shared" si="77"/>
        <v>0</v>
      </c>
      <c r="AT86" s="64"/>
      <c r="AU86" s="64"/>
      <c r="AV86" s="65">
        <f t="shared" si="67"/>
        <v>12</v>
      </c>
      <c r="AW86" s="65">
        <f t="shared" si="68"/>
        <v>0</v>
      </c>
      <c r="AX86" s="64"/>
      <c r="AY86" s="64"/>
      <c r="AZ86" s="80"/>
      <c r="BA86" s="66">
        <f t="shared" si="69"/>
        <v>18</v>
      </c>
      <c r="BB86" s="67"/>
      <c r="BC86" s="68"/>
      <c r="BD86" s="69">
        <f>VLOOKUP($B86,[1]CN!$B$9:$DK$221,114,0)</f>
        <v>4</v>
      </c>
      <c r="BE86" s="70">
        <f t="shared" si="70"/>
        <v>27</v>
      </c>
      <c r="BF86" s="71" t="s">
        <v>39</v>
      </c>
      <c r="BG86" s="72" t="s">
        <v>34</v>
      </c>
      <c r="BH86" s="73" t="str">
        <f>VLOOKUP(B86,'[2]Bang luong_06'!$B$9:$C$333,2,0)</f>
        <v>Nguyễn Hoàng Nam</v>
      </c>
      <c r="BI86" s="74"/>
      <c r="BJ86" s="75" t="str">
        <f>VLOOKUP($B86,'[2]Bang luong_06'!$B$10:$C$333,2,0)</f>
        <v>Nguyễn Hoàng Nam</v>
      </c>
      <c r="BK86" s="76" t="b">
        <f t="shared" si="78"/>
        <v>1</v>
      </c>
      <c r="BM86" s="77" t="e">
        <f>+VLOOKUP(B86,'[2]Thưởng Lễ 2-9'!B90:G380,6,0)</f>
        <v>#N/A</v>
      </c>
      <c r="BN86" s="75">
        <f t="shared" si="79"/>
        <v>-5</v>
      </c>
      <c r="BO86" s="76" t="str">
        <f>+VLOOKUP(B86,'[2]Bang luong_06'!B100:D411,3,0)</f>
        <v>CNSX</v>
      </c>
      <c r="BP86" s="76" t="s">
        <v>40</v>
      </c>
      <c r="BQ86" s="76">
        <v>0</v>
      </c>
      <c r="BR86" s="76">
        <f t="shared" si="80"/>
        <v>12</v>
      </c>
    </row>
    <row r="87" spans="1:70" s="76" customFormat="1" ht="31.5" customHeight="1" x14ac:dyDescent="0.25">
      <c r="A87" s="33">
        <f t="shared" si="81"/>
        <v>70</v>
      </c>
      <c r="B87" s="105" t="s">
        <v>199</v>
      </c>
      <c r="C87" s="106" t="s">
        <v>200</v>
      </c>
      <c r="D87" s="107">
        <v>45699</v>
      </c>
      <c r="E87" s="57" t="s">
        <v>37</v>
      </c>
      <c r="F87" s="86" t="s">
        <v>37</v>
      </c>
      <c r="G87" s="57" t="s">
        <v>37</v>
      </c>
      <c r="H87" s="57" t="s">
        <v>37</v>
      </c>
      <c r="I87" s="57" t="s">
        <v>37</v>
      </c>
      <c r="J87" s="57"/>
      <c r="K87" s="57" t="s">
        <v>38</v>
      </c>
      <c r="L87" s="57" t="s">
        <v>38</v>
      </c>
      <c r="M87" s="57" t="s">
        <v>38</v>
      </c>
      <c r="N87" s="57" t="s">
        <v>38</v>
      </c>
      <c r="O87" s="57" t="s">
        <v>38</v>
      </c>
      <c r="P87" s="57" t="s">
        <v>38</v>
      </c>
      <c r="Q87" s="57"/>
      <c r="R87" s="57" t="s">
        <v>38</v>
      </c>
      <c r="S87" s="57" t="s">
        <v>38</v>
      </c>
      <c r="T87" s="57" t="s">
        <v>38</v>
      </c>
      <c r="U87" s="57" t="s">
        <v>38</v>
      </c>
      <c r="V87" s="57" t="s">
        <v>38</v>
      </c>
      <c r="W87" s="57" t="s">
        <v>38</v>
      </c>
      <c r="X87" s="57" t="s">
        <v>506</v>
      </c>
      <c r="Y87" s="57" t="s">
        <v>37</v>
      </c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8">
        <v>10110507</v>
      </c>
      <c r="AK87" s="59">
        <v>12</v>
      </c>
      <c r="AL87" s="60">
        <f t="shared" si="59"/>
        <v>12</v>
      </c>
      <c r="AM87" s="61">
        <f t="shared" si="60"/>
        <v>6</v>
      </c>
      <c r="AN87" s="62">
        <f t="shared" si="61"/>
        <v>18</v>
      </c>
      <c r="AO87" s="62">
        <f t="shared" si="73"/>
        <v>0</v>
      </c>
      <c r="AP87" s="62">
        <f t="shared" si="74"/>
        <v>0</v>
      </c>
      <c r="AQ87" s="63">
        <f t="shared" si="75"/>
        <v>0</v>
      </c>
      <c r="AR87" s="62">
        <f t="shared" si="76"/>
        <v>0</v>
      </c>
      <c r="AS87" s="62">
        <f t="shared" si="77"/>
        <v>0</v>
      </c>
      <c r="AT87" s="64"/>
      <c r="AU87" s="64"/>
      <c r="AV87" s="65">
        <f t="shared" si="67"/>
        <v>12</v>
      </c>
      <c r="AW87" s="65">
        <f t="shared" si="68"/>
        <v>0</v>
      </c>
      <c r="AX87" s="64"/>
      <c r="AY87" s="64"/>
      <c r="AZ87" s="80"/>
      <c r="BA87" s="66">
        <f t="shared" si="69"/>
        <v>18</v>
      </c>
      <c r="BB87" s="67"/>
      <c r="BC87" s="68"/>
      <c r="BD87" s="69">
        <f>VLOOKUP($B87,[1]CN!$B$9:$DK$221,114,0)</f>
        <v>4</v>
      </c>
      <c r="BE87" s="70">
        <f t="shared" si="70"/>
        <v>27</v>
      </c>
      <c r="BF87" s="71" t="s">
        <v>39</v>
      </c>
      <c r="BG87" s="72" t="s">
        <v>34</v>
      </c>
      <c r="BH87" s="73" t="str">
        <f>VLOOKUP(B87,'[2]Bang luong_06'!$B$9:$C$333,2,0)</f>
        <v>Neàng Kim Sen</v>
      </c>
      <c r="BI87" s="74"/>
      <c r="BJ87" s="75" t="str">
        <f>VLOOKUP($B87,'[2]Bang luong_06'!$B$10:$C$333,2,0)</f>
        <v>Neàng Kim Sen</v>
      </c>
      <c r="BK87" s="76" t="b">
        <f t="shared" si="78"/>
        <v>1</v>
      </c>
      <c r="BM87" s="77" t="e">
        <f>+VLOOKUP(B87,'[2]Thưởng Lễ 2-9'!B91:G381,6,0)</f>
        <v>#N/A</v>
      </c>
      <c r="BN87" s="75">
        <f t="shared" si="79"/>
        <v>-5</v>
      </c>
      <c r="BO87" s="76" t="str">
        <f>+VLOOKUP(B87,'[2]Bang luong_06'!B101:D412,3,0)</f>
        <v>CNSX</v>
      </c>
      <c r="BP87" s="76" t="s">
        <v>40</v>
      </c>
      <c r="BQ87" s="76">
        <v>-1</v>
      </c>
      <c r="BR87" s="76">
        <f t="shared" si="80"/>
        <v>12</v>
      </c>
    </row>
    <row r="88" spans="1:70" s="76" customFormat="1" ht="31.5" customHeight="1" x14ac:dyDescent="0.25">
      <c r="A88" s="33">
        <f t="shared" si="81"/>
        <v>71</v>
      </c>
      <c r="B88" s="105" t="s">
        <v>201</v>
      </c>
      <c r="C88" s="106" t="s">
        <v>202</v>
      </c>
      <c r="D88" s="107">
        <v>45727</v>
      </c>
      <c r="E88" s="57" t="s">
        <v>37</v>
      </c>
      <c r="F88" s="86" t="s">
        <v>37</v>
      </c>
      <c r="G88" s="57" t="s">
        <v>37</v>
      </c>
      <c r="H88" s="57" t="s">
        <v>37</v>
      </c>
      <c r="I88" s="57" t="s">
        <v>37</v>
      </c>
      <c r="J88" s="57"/>
      <c r="K88" s="57" t="s">
        <v>38</v>
      </c>
      <c r="L88" s="57" t="s">
        <v>38</v>
      </c>
      <c r="M88" s="57" t="s">
        <v>38</v>
      </c>
      <c r="N88" s="57" t="s">
        <v>38</v>
      </c>
      <c r="O88" s="57" t="s">
        <v>38</v>
      </c>
      <c r="P88" s="57" t="s">
        <v>38</v>
      </c>
      <c r="Q88" s="57" t="s">
        <v>506</v>
      </c>
      <c r="R88" s="57" t="s">
        <v>38</v>
      </c>
      <c r="S88" s="57" t="s">
        <v>38</v>
      </c>
      <c r="T88" s="57" t="s">
        <v>38</v>
      </c>
      <c r="U88" s="57" t="s">
        <v>38</v>
      </c>
      <c r="V88" s="57" t="s">
        <v>38</v>
      </c>
      <c r="W88" s="57" t="s">
        <v>38</v>
      </c>
      <c r="X88" s="57" t="s">
        <v>511</v>
      </c>
      <c r="Y88" s="57" t="s">
        <v>37</v>
      </c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8">
        <v>10110507</v>
      </c>
      <c r="AK88" s="59">
        <v>12</v>
      </c>
      <c r="AL88" s="60">
        <f t="shared" si="59"/>
        <v>12</v>
      </c>
      <c r="AM88" s="61">
        <f t="shared" si="60"/>
        <v>6</v>
      </c>
      <c r="AN88" s="62">
        <f t="shared" si="61"/>
        <v>18</v>
      </c>
      <c r="AO88" s="62">
        <f t="shared" si="73"/>
        <v>0</v>
      </c>
      <c r="AP88" s="62">
        <f t="shared" si="74"/>
        <v>0</v>
      </c>
      <c r="AQ88" s="63">
        <f t="shared" si="75"/>
        <v>0</v>
      </c>
      <c r="AR88" s="62">
        <f t="shared" si="76"/>
        <v>0</v>
      </c>
      <c r="AS88" s="62">
        <f t="shared" si="77"/>
        <v>0</v>
      </c>
      <c r="AT88" s="64"/>
      <c r="AU88" s="64"/>
      <c r="AV88" s="65">
        <f t="shared" si="67"/>
        <v>12</v>
      </c>
      <c r="AW88" s="65">
        <f t="shared" si="68"/>
        <v>0</v>
      </c>
      <c r="AX88" s="64"/>
      <c r="AY88" s="64"/>
      <c r="AZ88" s="80"/>
      <c r="BA88" s="66">
        <f t="shared" si="69"/>
        <v>18</v>
      </c>
      <c r="BB88" s="67"/>
      <c r="BC88" s="99"/>
      <c r="BD88" s="69">
        <f>VLOOKUP($B88,[1]CN!$B$9:$DK$221,114,0)</f>
        <v>4</v>
      </c>
      <c r="BE88" s="70">
        <f t="shared" si="70"/>
        <v>27</v>
      </c>
      <c r="BF88" s="71" t="s">
        <v>39</v>
      </c>
      <c r="BG88" s="72" t="s">
        <v>34</v>
      </c>
      <c r="BH88" s="73" t="str">
        <f>VLOOKUP(B88,'[2]Bang luong_06'!$B$9:$C$333,2,0)</f>
        <v>Danh Thanh Tuyền</v>
      </c>
      <c r="BI88" s="74"/>
      <c r="BJ88" s="75" t="str">
        <f>VLOOKUP($B88,'[2]Bang luong_06'!$B$10:$C$333,2,0)</f>
        <v>Danh Thanh Tuyền</v>
      </c>
      <c r="BK88" s="76" t="b">
        <f t="shared" si="78"/>
        <v>1</v>
      </c>
      <c r="BM88" s="77" t="e">
        <f>+VLOOKUP(B88,'[2]Thưởng Lễ 2-9'!B86:G376,6,0)</f>
        <v>#N/A</v>
      </c>
      <c r="BN88" s="75">
        <f t="shared" si="79"/>
        <v>-6</v>
      </c>
      <c r="BO88" s="76" t="str">
        <f>+VLOOKUP(B88,'[2]Bang luong_06'!B96:D407,3,0)</f>
        <v>CNSX</v>
      </c>
      <c r="BP88" s="76" t="s">
        <v>40</v>
      </c>
      <c r="BQ88" s="76">
        <v>-2</v>
      </c>
      <c r="BR88" s="76">
        <f t="shared" si="80"/>
        <v>12</v>
      </c>
    </row>
    <row r="89" spans="1:70" s="76" customFormat="1" ht="31.5" customHeight="1" x14ac:dyDescent="0.25">
      <c r="A89" s="33">
        <f t="shared" si="81"/>
        <v>72</v>
      </c>
      <c r="B89" s="105" t="s">
        <v>203</v>
      </c>
      <c r="C89" s="106" t="s">
        <v>204</v>
      </c>
      <c r="D89" s="107">
        <v>45733</v>
      </c>
      <c r="E89" s="57" t="s">
        <v>37</v>
      </c>
      <c r="F89" s="86" t="s">
        <v>37</v>
      </c>
      <c r="G89" s="57" t="s">
        <v>37</v>
      </c>
      <c r="H89" s="57" t="s">
        <v>37</v>
      </c>
      <c r="I89" s="57" t="s">
        <v>37</v>
      </c>
      <c r="J89" s="57"/>
      <c r="K89" s="57" t="s">
        <v>38</v>
      </c>
      <c r="L89" s="57" t="s">
        <v>38</v>
      </c>
      <c r="M89" s="57" t="s">
        <v>38</v>
      </c>
      <c r="N89" s="57" t="s">
        <v>38</v>
      </c>
      <c r="O89" s="57" t="s">
        <v>38</v>
      </c>
      <c r="P89" s="57" t="s">
        <v>38</v>
      </c>
      <c r="Q89" s="57" t="s">
        <v>506</v>
      </c>
      <c r="R89" s="57" t="s">
        <v>38</v>
      </c>
      <c r="S89" s="57" t="s">
        <v>38</v>
      </c>
      <c r="T89" s="57" t="s">
        <v>38</v>
      </c>
      <c r="U89" s="57" t="s">
        <v>38</v>
      </c>
      <c r="V89" s="57" t="s">
        <v>38</v>
      </c>
      <c r="W89" s="57" t="s">
        <v>38</v>
      </c>
      <c r="X89" s="57"/>
      <c r="Y89" s="57" t="s">
        <v>37</v>
      </c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8">
        <v>10110507</v>
      </c>
      <c r="AK89" s="59">
        <v>12</v>
      </c>
      <c r="AL89" s="60">
        <f t="shared" si="59"/>
        <v>12</v>
      </c>
      <c r="AM89" s="61">
        <f t="shared" si="60"/>
        <v>6</v>
      </c>
      <c r="AN89" s="62">
        <f t="shared" si="61"/>
        <v>18</v>
      </c>
      <c r="AO89" s="62">
        <f t="shared" si="73"/>
        <v>0</v>
      </c>
      <c r="AP89" s="62">
        <f t="shared" si="74"/>
        <v>0</v>
      </c>
      <c r="AQ89" s="63">
        <f t="shared" si="75"/>
        <v>0</v>
      </c>
      <c r="AR89" s="62">
        <f t="shared" si="76"/>
        <v>0</v>
      </c>
      <c r="AS89" s="62">
        <f t="shared" si="77"/>
        <v>0</v>
      </c>
      <c r="AT89" s="64"/>
      <c r="AU89" s="64"/>
      <c r="AV89" s="65">
        <f t="shared" si="67"/>
        <v>12</v>
      </c>
      <c r="AW89" s="65">
        <f t="shared" si="68"/>
        <v>0</v>
      </c>
      <c r="AX89" s="64"/>
      <c r="AY89" s="64"/>
      <c r="AZ89" s="80"/>
      <c r="BA89" s="66">
        <f t="shared" si="69"/>
        <v>18</v>
      </c>
      <c r="BB89" s="67"/>
      <c r="BC89" s="99"/>
      <c r="BD89" s="69">
        <f>VLOOKUP($B89,[1]CN!$B$9:$DK$221,114,0)</f>
        <v>3</v>
      </c>
      <c r="BE89" s="70">
        <f t="shared" si="70"/>
        <v>27</v>
      </c>
      <c r="BF89" s="71" t="s">
        <v>39</v>
      </c>
      <c r="BG89" s="72" t="s">
        <v>34</v>
      </c>
      <c r="BH89" s="73" t="str">
        <f>VLOOKUP(B89,'[2]Bang luong_06'!$B$9:$C$333,2,0)</f>
        <v>Thạch Chane Bô Rết</v>
      </c>
      <c r="BI89" s="74"/>
      <c r="BJ89" s="75" t="str">
        <f>VLOOKUP($B89,'[2]Bang luong_06'!$B$10:$C$333,2,0)</f>
        <v>Thạch Chane Bô Rết</v>
      </c>
      <c r="BK89" s="76" t="b">
        <f t="shared" si="78"/>
        <v>1</v>
      </c>
      <c r="BM89" s="77" t="e">
        <f>+VLOOKUP(B89,'[2]Thưởng Lễ 2-9'!B87:G377,6,0)</f>
        <v>#N/A</v>
      </c>
      <c r="BN89" s="75">
        <f t="shared" si="79"/>
        <v>-7</v>
      </c>
      <c r="BO89" s="76" t="str">
        <f>+VLOOKUP(B89,'[2]Bang luong_06'!B97:D408,3,0)</f>
        <v>CNSX</v>
      </c>
      <c r="BP89" s="76" t="s">
        <v>40</v>
      </c>
      <c r="BQ89" s="76">
        <v>0</v>
      </c>
      <c r="BR89" s="76">
        <f t="shared" si="80"/>
        <v>12</v>
      </c>
    </row>
    <row r="90" spans="1:70" s="76" customFormat="1" ht="31.5" customHeight="1" x14ac:dyDescent="0.25">
      <c r="A90" s="33">
        <f t="shared" si="81"/>
        <v>73</v>
      </c>
      <c r="B90" s="105" t="s">
        <v>205</v>
      </c>
      <c r="C90" s="106" t="s">
        <v>206</v>
      </c>
      <c r="D90" s="107">
        <v>45790</v>
      </c>
      <c r="E90" s="86" t="s">
        <v>207</v>
      </c>
      <c r="F90" s="86" t="s">
        <v>37</v>
      </c>
      <c r="G90" s="57" t="s">
        <v>37</v>
      </c>
      <c r="H90" s="57" t="s">
        <v>37</v>
      </c>
      <c r="I90" s="57" t="s">
        <v>37</v>
      </c>
      <c r="J90" s="57"/>
      <c r="K90" s="57" t="s">
        <v>38</v>
      </c>
      <c r="L90" s="57" t="s">
        <v>38</v>
      </c>
      <c r="M90" s="57" t="s">
        <v>38</v>
      </c>
      <c r="N90" s="57" t="s">
        <v>38</v>
      </c>
      <c r="O90" s="57" t="s">
        <v>38</v>
      </c>
      <c r="P90" s="57" t="s">
        <v>208</v>
      </c>
      <c r="Q90" s="57" t="s">
        <v>506</v>
      </c>
      <c r="R90" s="57" t="s">
        <v>38</v>
      </c>
      <c r="S90" s="57" t="s">
        <v>38</v>
      </c>
      <c r="T90" s="57" t="s">
        <v>38</v>
      </c>
      <c r="U90" s="57" t="s">
        <v>38</v>
      </c>
      <c r="V90" s="57" t="s">
        <v>38</v>
      </c>
      <c r="W90" s="57" t="s">
        <v>38</v>
      </c>
      <c r="X90" s="57" t="s">
        <v>507</v>
      </c>
      <c r="Y90" s="57" t="s">
        <v>37</v>
      </c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8">
        <v>10110507</v>
      </c>
      <c r="AK90" s="59">
        <v>12</v>
      </c>
      <c r="AL90" s="60">
        <f t="shared" si="59"/>
        <v>11.416666666666666</v>
      </c>
      <c r="AM90" s="61">
        <f t="shared" si="60"/>
        <v>5.833333333333333</v>
      </c>
      <c r="AN90" s="62">
        <f t="shared" si="61"/>
        <v>17.25</v>
      </c>
      <c r="AO90" s="62">
        <f t="shared" si="73"/>
        <v>0</v>
      </c>
      <c r="AP90" s="62">
        <f t="shared" si="74"/>
        <v>0</v>
      </c>
      <c r="AQ90" s="63">
        <f t="shared" si="75"/>
        <v>0.75</v>
      </c>
      <c r="AR90" s="62">
        <f t="shared" si="76"/>
        <v>0</v>
      </c>
      <c r="AS90" s="62">
        <f t="shared" si="77"/>
        <v>0</v>
      </c>
      <c r="AT90" s="64"/>
      <c r="AU90" s="64"/>
      <c r="AV90" s="65">
        <f t="shared" si="67"/>
        <v>12</v>
      </c>
      <c r="AW90" s="65">
        <f t="shared" si="68"/>
        <v>12</v>
      </c>
      <c r="AX90" s="64"/>
      <c r="AY90" s="64"/>
      <c r="AZ90" s="80"/>
      <c r="BA90" s="66">
        <f t="shared" si="69"/>
        <v>17.25</v>
      </c>
      <c r="BB90" s="67"/>
      <c r="BC90" s="68"/>
      <c r="BD90" s="69">
        <f>VLOOKUP($B90,[1]CN!$B$9:$DK$221,114,0)</f>
        <v>3</v>
      </c>
      <c r="BE90" s="70">
        <f t="shared" si="70"/>
        <v>27</v>
      </c>
      <c r="BF90" s="71" t="s">
        <v>39</v>
      </c>
      <c r="BG90" s="72" t="s">
        <v>34</v>
      </c>
      <c r="BH90" s="73" t="str">
        <f>VLOOKUP(B90,'[2]Bang luong_06'!$B$9:$C$333,2,0)</f>
        <v>Lâm Luân</v>
      </c>
      <c r="BI90" s="74"/>
      <c r="BJ90" s="75" t="str">
        <f>VLOOKUP($B90,'[2]Bang luong_06'!$B$10:$C$333,2,0)</f>
        <v>Lâm Luân</v>
      </c>
      <c r="BK90" s="76" t="b">
        <f t="shared" si="78"/>
        <v>1</v>
      </c>
      <c r="BM90" s="77" t="e">
        <f>+VLOOKUP(B90,'[2]Thưởng Lễ 2-9'!B84:G374,6,0)</f>
        <v>#N/A</v>
      </c>
      <c r="BN90" s="75">
        <f t="shared" si="79"/>
        <v>-9</v>
      </c>
      <c r="BO90" s="76" t="str">
        <f>+VLOOKUP(B90,'[2]Bang luong_06'!B94:D405,3,0)</f>
        <v>CNSX</v>
      </c>
      <c r="BP90" s="76" t="s">
        <v>40</v>
      </c>
      <c r="BQ90" s="76">
        <v>0</v>
      </c>
      <c r="BR90" s="76">
        <f t="shared" si="80"/>
        <v>11.416666666666666</v>
      </c>
    </row>
    <row r="91" spans="1:70" s="76" customFormat="1" ht="31.5" customHeight="1" x14ac:dyDescent="0.25">
      <c r="A91" s="33">
        <f t="shared" si="81"/>
        <v>74</v>
      </c>
      <c r="B91" s="105" t="s">
        <v>209</v>
      </c>
      <c r="C91" s="106" t="s">
        <v>210</v>
      </c>
      <c r="D91" s="107">
        <v>45783</v>
      </c>
      <c r="E91" s="57" t="s">
        <v>37</v>
      </c>
      <c r="F91" s="86" t="s">
        <v>37</v>
      </c>
      <c r="G91" s="57" t="s">
        <v>37</v>
      </c>
      <c r="H91" s="57" t="s">
        <v>37</v>
      </c>
      <c r="I91" s="57" t="s">
        <v>37</v>
      </c>
      <c r="J91" s="57" t="s">
        <v>507</v>
      </c>
      <c r="K91" s="57" t="s">
        <v>107</v>
      </c>
      <c r="L91" s="57" t="s">
        <v>38</v>
      </c>
      <c r="M91" s="57" t="s">
        <v>38</v>
      </c>
      <c r="N91" s="57" t="s">
        <v>38</v>
      </c>
      <c r="O91" s="57" t="s">
        <v>38</v>
      </c>
      <c r="P91" s="57" t="s">
        <v>38</v>
      </c>
      <c r="Q91" s="57" t="s">
        <v>506</v>
      </c>
      <c r="R91" s="57" t="s">
        <v>38</v>
      </c>
      <c r="S91" s="57" t="s">
        <v>38</v>
      </c>
      <c r="T91" s="57" t="s">
        <v>38</v>
      </c>
      <c r="U91" s="57" t="s">
        <v>38</v>
      </c>
      <c r="V91" s="57" t="s">
        <v>107</v>
      </c>
      <c r="W91" s="57" t="s">
        <v>107</v>
      </c>
      <c r="X91" s="57"/>
      <c r="Y91" s="57" t="s">
        <v>37</v>
      </c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8">
        <v>10110507</v>
      </c>
      <c r="AK91" s="59">
        <v>12</v>
      </c>
      <c r="AL91" s="60">
        <f t="shared" si="59"/>
        <v>9</v>
      </c>
      <c r="AM91" s="61">
        <f t="shared" si="60"/>
        <v>6</v>
      </c>
      <c r="AN91" s="62">
        <f t="shared" si="61"/>
        <v>15</v>
      </c>
      <c r="AO91" s="62">
        <f t="shared" si="73"/>
        <v>3</v>
      </c>
      <c r="AP91" s="62">
        <f t="shared" si="74"/>
        <v>0</v>
      </c>
      <c r="AQ91" s="63">
        <f t="shared" si="75"/>
        <v>0</v>
      </c>
      <c r="AR91" s="62">
        <f t="shared" si="76"/>
        <v>0</v>
      </c>
      <c r="AS91" s="62">
        <f t="shared" si="77"/>
        <v>0</v>
      </c>
      <c r="AT91" s="64"/>
      <c r="AU91" s="64"/>
      <c r="AV91" s="65">
        <f t="shared" si="67"/>
        <v>12</v>
      </c>
      <c r="AW91" s="65">
        <f t="shared" si="68"/>
        <v>12</v>
      </c>
      <c r="AX91" s="64"/>
      <c r="AY91" s="64"/>
      <c r="AZ91" s="80"/>
      <c r="BA91" s="66">
        <f t="shared" si="69"/>
        <v>18</v>
      </c>
      <c r="BB91" s="67"/>
      <c r="BC91" s="99"/>
      <c r="BD91" s="69">
        <f>VLOOKUP($B91,[1]CN!$B$9:$DK$221,114,0)</f>
        <v>1</v>
      </c>
      <c r="BE91" s="70">
        <f t="shared" si="70"/>
        <v>27</v>
      </c>
      <c r="BF91" s="71" t="s">
        <v>39</v>
      </c>
      <c r="BG91" s="72" t="s">
        <v>34</v>
      </c>
      <c r="BH91" s="73" t="str">
        <f>VLOOKUP(B91,'[2]Bang luong_06'!$B$9:$C$333,2,0)</f>
        <v>Nguyễn Đăng Tính</v>
      </c>
      <c r="BI91" s="74"/>
      <c r="BJ91" s="75" t="str">
        <f>VLOOKUP($B91,'[2]Bang luong_06'!$B$10:$C$333,2,0)</f>
        <v>Nguyễn Đăng Tính</v>
      </c>
      <c r="BK91" s="76" t="b">
        <f t="shared" si="78"/>
        <v>1</v>
      </c>
      <c r="BM91" s="77" t="e">
        <f>+VLOOKUP(B91,'[2]Thưởng Lễ 2-9'!B84:G374,6,0)</f>
        <v>#N/A</v>
      </c>
      <c r="BN91" s="75">
        <f t="shared" si="79"/>
        <v>-8</v>
      </c>
      <c r="BO91" s="76" t="str">
        <f>+VLOOKUP(B91,'[2]Bang luong_06'!B94:D405,3,0)</f>
        <v>CNSX</v>
      </c>
      <c r="BP91" s="76" t="s">
        <v>40</v>
      </c>
      <c r="BQ91" s="76">
        <v>0</v>
      </c>
      <c r="BR91" s="76">
        <f t="shared" si="80"/>
        <v>9</v>
      </c>
    </row>
    <row r="92" spans="1:70" s="76" customFormat="1" ht="31.5" customHeight="1" x14ac:dyDescent="0.25">
      <c r="A92" s="33">
        <f t="shared" si="81"/>
        <v>75</v>
      </c>
      <c r="B92" s="105" t="s">
        <v>211</v>
      </c>
      <c r="C92" s="106" t="s">
        <v>212</v>
      </c>
      <c r="D92" s="107">
        <v>45786</v>
      </c>
      <c r="E92" s="86" t="s">
        <v>37</v>
      </c>
      <c r="F92" s="86" t="s">
        <v>213</v>
      </c>
      <c r="G92" s="57" t="s">
        <v>37</v>
      </c>
      <c r="H92" s="57" t="s">
        <v>37</v>
      </c>
      <c r="I92" s="57" t="s">
        <v>37</v>
      </c>
      <c r="J92" s="57"/>
      <c r="K92" s="57" t="s">
        <v>38</v>
      </c>
      <c r="L92" s="57" t="s">
        <v>38</v>
      </c>
      <c r="M92" s="57" t="s">
        <v>38</v>
      </c>
      <c r="N92" s="57" t="s">
        <v>38</v>
      </c>
      <c r="O92" s="57" t="s">
        <v>38</v>
      </c>
      <c r="P92" s="57" t="s">
        <v>38</v>
      </c>
      <c r="Q92" s="57" t="s">
        <v>506</v>
      </c>
      <c r="R92" s="57" t="s">
        <v>38</v>
      </c>
      <c r="S92" s="57" t="s">
        <v>38</v>
      </c>
      <c r="T92" s="57" t="s">
        <v>38</v>
      </c>
      <c r="U92" s="57" t="s">
        <v>38</v>
      </c>
      <c r="V92" s="57" t="s">
        <v>38</v>
      </c>
      <c r="W92" s="57" t="s">
        <v>38</v>
      </c>
      <c r="X92" s="57" t="s">
        <v>506</v>
      </c>
      <c r="Y92" s="57" t="s">
        <v>38</v>
      </c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8">
        <v>10110507</v>
      </c>
      <c r="AK92" s="59">
        <v>12</v>
      </c>
      <c r="AL92" s="60">
        <f t="shared" si="59"/>
        <v>13</v>
      </c>
      <c r="AM92" s="61">
        <f t="shared" si="60"/>
        <v>4</v>
      </c>
      <c r="AN92" s="62">
        <f t="shared" si="61"/>
        <v>17</v>
      </c>
      <c r="AO92" s="62">
        <f t="shared" si="73"/>
        <v>0</v>
      </c>
      <c r="AP92" s="62">
        <f t="shared" si="74"/>
        <v>0</v>
      </c>
      <c r="AQ92" s="63">
        <f t="shared" si="75"/>
        <v>1</v>
      </c>
      <c r="AR92" s="62">
        <f t="shared" si="76"/>
        <v>0</v>
      </c>
      <c r="AS92" s="62">
        <f t="shared" si="77"/>
        <v>0</v>
      </c>
      <c r="AT92" s="64"/>
      <c r="AU92" s="64"/>
      <c r="AV92" s="65">
        <f t="shared" si="67"/>
        <v>24</v>
      </c>
      <c r="AW92" s="65">
        <f t="shared" si="68"/>
        <v>0</v>
      </c>
      <c r="AX92" s="64"/>
      <c r="AY92" s="64"/>
      <c r="AZ92" s="80"/>
      <c r="BA92" s="66">
        <f t="shared" si="69"/>
        <v>17</v>
      </c>
      <c r="BB92" s="67"/>
      <c r="BC92" s="68"/>
      <c r="BD92" s="69">
        <f>VLOOKUP($B92,[1]CN!$B$9:$DK$221,114,0)</f>
        <v>1</v>
      </c>
      <c r="BE92" s="70">
        <f t="shared" si="70"/>
        <v>27</v>
      </c>
      <c r="BF92" s="71" t="s">
        <v>39</v>
      </c>
      <c r="BG92" s="72" t="s">
        <v>34</v>
      </c>
      <c r="BH92" s="73" t="str">
        <f>VLOOKUP(B92,'[2]Bang luong_06'!$B$9:$C$333,2,0)</f>
        <v>Phan Văn Nhiều</v>
      </c>
      <c r="BI92" s="74"/>
      <c r="BJ92" s="75" t="str">
        <f>VLOOKUP($B92,'[2]Bang luong_06'!$B$10:$C$333,2,0)</f>
        <v>Phan Văn Nhiều</v>
      </c>
      <c r="BK92" s="76" t="b">
        <f t="shared" si="78"/>
        <v>1</v>
      </c>
      <c r="BM92" s="77" t="e">
        <f>+VLOOKUP(B92,'[2]Thưởng Lễ 2-9'!B79:G369,6,0)</f>
        <v>#N/A</v>
      </c>
      <c r="BN92" s="75">
        <f t="shared" si="79"/>
        <v>-8</v>
      </c>
      <c r="BO92" s="76" t="str">
        <f>+VLOOKUP(B92,'[2]Bang luong_06'!B90:D400,3,0)</f>
        <v>CNSX</v>
      </c>
      <c r="BP92" s="76" t="s">
        <v>40</v>
      </c>
      <c r="BQ92" s="76">
        <v>0</v>
      </c>
      <c r="BR92" s="76">
        <f t="shared" si="80"/>
        <v>13</v>
      </c>
    </row>
    <row r="93" spans="1:70" s="76" customFormat="1" ht="31.5" customHeight="1" x14ac:dyDescent="0.25">
      <c r="A93" s="33">
        <f t="shared" si="81"/>
        <v>76</v>
      </c>
      <c r="B93" s="105" t="s">
        <v>162</v>
      </c>
      <c r="C93" s="106" t="s">
        <v>214</v>
      </c>
      <c r="D93" s="107">
        <v>44267</v>
      </c>
      <c r="E93" s="57" t="s">
        <v>38</v>
      </c>
      <c r="F93" s="57" t="s">
        <v>38</v>
      </c>
      <c r="G93" s="57" t="s">
        <v>215</v>
      </c>
      <c r="H93" s="57" t="s">
        <v>38</v>
      </c>
      <c r="I93" s="57" t="s">
        <v>38</v>
      </c>
      <c r="J93" s="57"/>
      <c r="K93" s="57" t="s">
        <v>37</v>
      </c>
      <c r="L93" s="57" t="s">
        <v>37</v>
      </c>
      <c r="M93" s="57" t="s">
        <v>37</v>
      </c>
      <c r="N93" s="57" t="s">
        <v>37</v>
      </c>
      <c r="O93" s="57" t="s">
        <v>37</v>
      </c>
      <c r="P93" s="57" t="s">
        <v>37</v>
      </c>
      <c r="Q93" s="57" t="s">
        <v>507</v>
      </c>
      <c r="R93" s="57" t="s">
        <v>37</v>
      </c>
      <c r="S93" s="57" t="s">
        <v>37</v>
      </c>
      <c r="T93" s="57" t="s">
        <v>37</v>
      </c>
      <c r="U93" s="57" t="s">
        <v>37</v>
      </c>
      <c r="V93" s="57" t="s">
        <v>37</v>
      </c>
      <c r="W93" s="57" t="s">
        <v>37</v>
      </c>
      <c r="X93" s="57"/>
      <c r="Y93" s="57" t="s">
        <v>38</v>
      </c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8">
        <v>10110507</v>
      </c>
      <c r="AK93" s="59">
        <v>12</v>
      </c>
      <c r="AL93" s="60">
        <f t="shared" si="59"/>
        <v>5.666666666666667</v>
      </c>
      <c r="AM93" s="61">
        <f t="shared" si="60"/>
        <v>12</v>
      </c>
      <c r="AN93" s="62">
        <f t="shared" si="61"/>
        <v>17.666666666666668</v>
      </c>
      <c r="AO93" s="62">
        <f t="shared" si="73"/>
        <v>0</v>
      </c>
      <c r="AP93" s="62">
        <f t="shared" si="74"/>
        <v>0</v>
      </c>
      <c r="AQ93" s="63">
        <f t="shared" si="75"/>
        <v>0.33333333333333331</v>
      </c>
      <c r="AR93" s="62">
        <f t="shared" si="76"/>
        <v>0</v>
      </c>
      <c r="AS93" s="62">
        <f t="shared" si="77"/>
        <v>0</v>
      </c>
      <c r="AT93" s="64"/>
      <c r="AU93" s="64"/>
      <c r="AV93" s="65">
        <f t="shared" si="67"/>
        <v>0</v>
      </c>
      <c r="AW93" s="65">
        <f t="shared" si="68"/>
        <v>12</v>
      </c>
      <c r="AX93" s="64"/>
      <c r="AY93" s="64"/>
      <c r="AZ93" s="80"/>
      <c r="BA93" s="66">
        <f t="shared" si="69"/>
        <v>17.666666666666668</v>
      </c>
      <c r="BB93" s="67"/>
      <c r="BC93" s="68"/>
      <c r="BD93" s="69">
        <f>VLOOKUP($B93,[1]CN!$B$9:$DK$221,114,0)</f>
        <v>4</v>
      </c>
      <c r="BE93" s="70">
        <f t="shared" si="70"/>
        <v>27</v>
      </c>
      <c r="BF93" s="71" t="s">
        <v>39</v>
      </c>
      <c r="BG93" s="72" t="s">
        <v>34</v>
      </c>
      <c r="BH93" s="73" t="str">
        <f>VLOOKUP(B93,'[2]Bang luong_06'!$B$9:$C$333,2,0)</f>
        <v>Danh Ngọc</v>
      </c>
      <c r="BI93" s="74"/>
      <c r="BJ93" s="75" t="str">
        <f>VLOOKUP($B93,'[2]Bang luong_06'!$B$10:$C$333,2,0)</f>
        <v>Danh Ngọc</v>
      </c>
      <c r="BK93" s="76" t="b">
        <f t="shared" si="78"/>
        <v>1</v>
      </c>
      <c r="BM93" s="77">
        <f>+VLOOKUP(B93,'[2]Thưởng Lễ 2-9'!B80:G370,6,0)</f>
        <v>0</v>
      </c>
      <c r="BN93" s="75">
        <f t="shared" si="79"/>
        <v>42</v>
      </c>
      <c r="BO93" s="76" t="str">
        <f>+VLOOKUP(B93,'[2]Bang luong_06'!B90:D401,3,0)</f>
        <v>CNSX</v>
      </c>
      <c r="BP93" s="76" t="s">
        <v>40</v>
      </c>
      <c r="BQ93" s="76">
        <v>0</v>
      </c>
      <c r="BR93" s="76">
        <f t="shared" si="80"/>
        <v>5.666666666666667</v>
      </c>
    </row>
    <row r="94" spans="1:70" s="76" customFormat="1" ht="31.5" customHeight="1" x14ac:dyDescent="0.25">
      <c r="A94" s="33">
        <f t="shared" si="81"/>
        <v>77</v>
      </c>
      <c r="B94" s="33" t="s">
        <v>216</v>
      </c>
      <c r="C94" s="55" t="s">
        <v>217</v>
      </c>
      <c r="D94" s="120">
        <v>45804</v>
      </c>
      <c r="E94" s="57" t="s">
        <v>38</v>
      </c>
      <c r="F94" s="57" t="s">
        <v>38</v>
      </c>
      <c r="G94" s="57" t="s">
        <v>38</v>
      </c>
      <c r="H94" s="57" t="s">
        <v>38</v>
      </c>
      <c r="I94" s="57" t="s">
        <v>38</v>
      </c>
      <c r="J94" s="57"/>
      <c r="K94" s="57" t="s">
        <v>37</v>
      </c>
      <c r="L94" s="57" t="s">
        <v>37</v>
      </c>
      <c r="M94" s="57" t="s">
        <v>37</v>
      </c>
      <c r="N94" s="57" t="s">
        <v>37</v>
      </c>
      <c r="O94" s="57" t="s">
        <v>37</v>
      </c>
      <c r="P94" s="57" t="s">
        <v>37</v>
      </c>
      <c r="Q94" s="57" t="s">
        <v>507</v>
      </c>
      <c r="R94" s="57" t="s">
        <v>37</v>
      </c>
      <c r="S94" s="57" t="s">
        <v>37</v>
      </c>
      <c r="T94" s="57" t="s">
        <v>37</v>
      </c>
      <c r="U94" s="57" t="s">
        <v>37</v>
      </c>
      <c r="V94" s="57" t="s">
        <v>37</v>
      </c>
      <c r="W94" s="57" t="s">
        <v>37</v>
      </c>
      <c r="X94" s="57"/>
      <c r="Y94" s="57" t="s">
        <v>38</v>
      </c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8">
        <v>10100403</v>
      </c>
      <c r="AK94" s="59">
        <v>12</v>
      </c>
      <c r="AL94" s="60">
        <f t="shared" si="59"/>
        <v>6</v>
      </c>
      <c r="AM94" s="61">
        <f t="shared" si="60"/>
        <v>12</v>
      </c>
      <c r="AN94" s="62">
        <f t="shared" si="61"/>
        <v>18</v>
      </c>
      <c r="AO94" s="62">
        <f>COUNTIF(E94:AI94,"p")+COUNTIF(E94:AI94,"p1")/2+COUNTIF(E94:AI94,"p2")/2</f>
        <v>0</v>
      </c>
      <c r="AP94" s="62">
        <f>COUNTIF(E94:AI94,"K")</f>
        <v>0</v>
      </c>
      <c r="AQ94" s="63">
        <f>COUNTIF(E94:AI94,"Ro")+COUNTIF(E94:AI94,"Ro1")*11/AK94+COUNTIF(E94:AI94,"Ro2")*10/AK94+COUNTIF(E94:AI94,"Ro3")*9/AK94+COUNTIF(E94:AI94,"Ro3.0")*9/AK94+COUNTIF(E94:AI94,"Ro4")*8/AK94+COUNTIF(E94:AI94,"Ro4.0")*8/AK94+COUNTIF(E94:AI94,"Ro4.5")*7.5/AK94+COUNTIF(E94:AI94,"Ro5")*7/AK94+COUNTIF(E94:AI94,"Ro5.0")*7/AK94+COUNTIF(E94:AI94,"Ro5.5")*6.5/AK94+COUNTIF(E94:AI94,"Ro6")*6/AK94+COUNTIF(E94:AI94,"Ro7")*5/AK94+COUNTIF(E94:AI94,"Ro8")*4/AK94+COUNTIF(E94:AI94,"Ro8.0")*4/AK94+COUNTIF(E94:AI94,"Ro8.3")*3.7/AK94+COUNTIF(E94:AI94,"Ro8.5")*3.5/AK94+COUNTIF(E94:AI94,"Ro9")*3/AK94+COUNTIF(E94:AI94,"Ro10")*2/AK94+COUNTIF(E94:AI94,"Ro10.0")*2/AK94+COUNTIF(E94:AI94,"Ro10.5")*1.5/AK94+COUNTIF(E94:AI94,"Ro11.0")*1/AK94+COUNTIF(E94:AI94,"Ro11")*1/AK94+COUNTIF(E94:AI94,"Ro11.5")*0.5/AK94+COUNTIF(E94:AI94,"N1")*11/AK94+COUNTIF(E94:AI94,"N2")*10/AK94+COUNTIF(E94:AI94,"N3")*9/AK94+COUNTIF(E94:AI94,"N4")*8/AK94+COUNTIF(E94:AI94,"N5")*7/AK94+COUNTIF(E94:AI94,"N6")*6/AK94+COUNTIF(E94:AI94,"N7")*5/AK94+COUNTIF(E94:AI94,"N8")*4/AK94+COUNTIF(E94:AI94,"N9")*3/AK94+COUNTIF(E94:AI94,"N10")*2/AK94+COUNTIF(E94:AI94,"N11")*1/AK94+COUNTIF(E94:AI94,"D1")*11/AK94+COUNTIF(E94:AI94,"D2")*10/AK94+COUNTIF(E94:AI94,"D3")*9/AK94+COUNTIF(E94:AI94,"D4")*8/AK94+COUNTIF(E94:AI94,"D5")*7/AK94+COUNTIF(E94:AI94,"D6")*6/AK94+COUNTIF(E94:AI94,"D7")*5/AK94+COUNTIF(E94:AI94,"D8")*4/AK94+COUNTIF(E94:AI94,"D9")*3/AK94+COUNTIF(E94:AI94,"D10")*2/AK94+COUNTIF(E94:AI94,"D11")*1/AK94+COUNTIF(E94:AI94,"P1")*0.5</f>
        <v>0</v>
      </c>
      <c r="AR94" s="62">
        <f>COUNTIF(E94:AI94,"R")</f>
        <v>0</v>
      </c>
      <c r="AS94" s="62">
        <f>COUNTIF(E94:AI94,"L")</f>
        <v>0</v>
      </c>
      <c r="AT94" s="64"/>
      <c r="AU94" s="64"/>
      <c r="AV94" s="65">
        <f t="shared" si="67"/>
        <v>0</v>
      </c>
      <c r="AW94" s="65">
        <f t="shared" si="68"/>
        <v>12</v>
      </c>
      <c r="AX94" s="64"/>
      <c r="AY94" s="64"/>
      <c r="AZ94" s="80"/>
      <c r="BA94" s="66">
        <f t="shared" si="69"/>
        <v>18</v>
      </c>
      <c r="BB94" s="67"/>
      <c r="BC94" s="68"/>
      <c r="BD94" s="69">
        <f>VLOOKUP($B94,[1]CN!$B$9:$DK$221,114,0)</f>
        <v>2</v>
      </c>
      <c r="BE94" s="70">
        <f t="shared" si="70"/>
        <v>27</v>
      </c>
      <c r="BF94" s="71" t="s">
        <v>39</v>
      </c>
      <c r="BG94" s="72" t="s">
        <v>34</v>
      </c>
      <c r="BH94" s="73" t="str">
        <f>VLOOKUP(B94,'[2]Bang luong_06'!$B$9:$C$333,2,0)</f>
        <v>Cao Minh Thư</v>
      </c>
      <c r="BI94" s="74"/>
      <c r="BJ94" s="75" t="str">
        <f>VLOOKUP($B94,'[2]Bang luong_06'!$B$10:$C$333,2,0)</f>
        <v>Cao Minh Thư</v>
      </c>
      <c r="BK94" s="76" t="b">
        <f>BJ94=C94</f>
        <v>1</v>
      </c>
      <c r="BM94" s="77" t="e">
        <f>+VLOOKUP(B94,'[2]Thưởng Lễ 2-9'!B74:G364,6,0)</f>
        <v>#N/A</v>
      </c>
      <c r="BN94" s="75">
        <f>ROUND(($BN$12-D94)/30,0)</f>
        <v>-9</v>
      </c>
      <c r="BO94" s="76" t="str">
        <f>+VLOOKUP(B94,'[2]Bang luong_06'!B83:D395,3,0)</f>
        <v>CNSX</v>
      </c>
      <c r="BP94" s="76" t="s">
        <v>40</v>
      </c>
      <c r="BQ94" s="76">
        <v>0</v>
      </c>
      <c r="BR94" s="76">
        <f>COUNTIF(D94:AI94,"N")+COUNTIF(D94:AI94,"N1")*1/AK94+COUNTIF(D94:AI94,"N2")*2/AK94+COUNTIF(D94:AI94,"N3")*3/AK94+COUNTIF(D94:AI94,"N4")*4/AK94+COUNTIF(D94:AI94,"N5")*5/AK94+COUNTIF(D94:AI94,"N6")*6/AK94+COUNTIF(D94:AI94,"N7")*7/AK94+COUNTIF(D94:AI94,"N8")*8/AK94+COUNTIF(D94:AI94,"N9")*9/AK94+COUNTIF(D94:AI94,"N10")*10/AK94+COUNTIF(D94:AI94,"N11")*11/AK94+COUNTIF(D94:AI94,"N12")*12/AK94+COUNTIF(D94:AI94,"Ro1")*1/AK94+COUNTIF(D94:AI94,"Ro2")*2/AK94+COUNTIF(D94:AI94,"Ro3")*3/AK94+COUNTIF(D94:AI94,"Ro3.0")*3/AK94+COUNTIF(D94:AI94,"Ro4")*4/AK94+COUNTIF(D94:AI94,"Ro4.0")*4/AK94+COUNTIF(D94:AI94,"Ro4.5")*4.5/AK94+COUNTIF(D94:AI94,"Ro5")*5/AK94+COUNTIF(D94:AI94,"Ro5.0")*5/AK94+COUNTIF(D94:AI94,"Ro5.5")*5.5/AK94+COUNTIF(D94:AI94,"Ro6")*6/AK94+COUNTIF(D94:AI94,"Ro7")*7/AK94+COUNTIF(D94:AI94,"Ro8")*8/AK94+COUNTIF(D94:AI94,"Ro8.0")*8/AK94+COUNTIF(D94:AI94,"Ro8.3")*8.3/AK94+COUNTIF(D94:AI94,"Ro8.5")*8.5/AK94+COUNTIF(D94:AI94,"Ro9")*9/AK94+COUNTIF(D94:AI94,"Ro9.5")*9.5/AK94+COUNTIF(D94:AI94,"Ro10")*10/AK94+COUNTIF(D94:AI94,"Ro10.0")*10/AK94+COUNTIF(D94:AI94,"Ro10.5")*10.5/AK94+COUNTIF(D94:AI94,"Ro11")*11/AK94+COUNTIF(D94:AI94,"Ro11.0")*11/AK94+COUNTIF(D94:AI94,"Ro11.5")*11.5/AK94+COUNTIF(D94:AI94,"P2")*0.5</f>
        <v>6</v>
      </c>
    </row>
    <row r="95" spans="1:70" s="76" customFormat="1" ht="31.5" customHeight="1" x14ac:dyDescent="0.25">
      <c r="A95" s="33">
        <f t="shared" si="81"/>
        <v>78</v>
      </c>
      <c r="B95" s="33" t="s">
        <v>218</v>
      </c>
      <c r="C95" s="55" t="s">
        <v>219</v>
      </c>
      <c r="D95" s="120">
        <v>45814</v>
      </c>
      <c r="E95" s="57" t="s">
        <v>38</v>
      </c>
      <c r="F95" s="57" t="s">
        <v>38</v>
      </c>
      <c r="G95" s="57" t="s">
        <v>38</v>
      </c>
      <c r="H95" s="57" t="s">
        <v>38</v>
      </c>
      <c r="I95" s="57" t="s">
        <v>38</v>
      </c>
      <c r="J95" s="57"/>
      <c r="K95" s="57" t="s">
        <v>37</v>
      </c>
      <c r="L95" s="57" t="s">
        <v>37</v>
      </c>
      <c r="M95" s="57" t="s">
        <v>37</v>
      </c>
      <c r="N95" s="57" t="s">
        <v>37</v>
      </c>
      <c r="O95" s="57" t="s">
        <v>37</v>
      </c>
      <c r="P95" s="57" t="s">
        <v>37</v>
      </c>
      <c r="Q95" s="57" t="s">
        <v>507</v>
      </c>
      <c r="R95" s="57" t="s">
        <v>37</v>
      </c>
      <c r="S95" s="57" t="s">
        <v>37</v>
      </c>
      <c r="T95" s="57" t="s">
        <v>37</v>
      </c>
      <c r="U95" s="57" t="s">
        <v>37</v>
      </c>
      <c r="V95" s="57" t="s">
        <v>37</v>
      </c>
      <c r="W95" s="57" t="s">
        <v>37</v>
      </c>
      <c r="X95" s="57"/>
      <c r="Y95" s="57" t="s">
        <v>38</v>
      </c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8">
        <v>10100403</v>
      </c>
      <c r="AK95" s="59">
        <v>12</v>
      </c>
      <c r="AL95" s="60">
        <f t="shared" si="59"/>
        <v>6</v>
      </c>
      <c r="AM95" s="61">
        <f t="shared" si="60"/>
        <v>12</v>
      </c>
      <c r="AN95" s="62">
        <f t="shared" si="61"/>
        <v>18</v>
      </c>
      <c r="AO95" s="62">
        <f>COUNTIF(E95:AI95,"p")+COUNTIF(E95:AI95,"p1")/2+COUNTIF(E95:AI95,"p2")/2</f>
        <v>0</v>
      </c>
      <c r="AP95" s="62">
        <f>COUNTIF(E95:AI95,"K")</f>
        <v>0</v>
      </c>
      <c r="AQ95" s="63">
        <f>COUNTIF(E95:AI95,"Ro")+COUNTIF(E95:AI95,"Ro1")*11/AK95+COUNTIF(E95:AI95,"Ro2")*10/AK95+COUNTIF(E95:AI95,"Ro3")*9/AK95+COUNTIF(E95:AI95,"Ro3.0")*9/AK95+COUNTIF(E95:AI95,"Ro4")*8/AK95+COUNTIF(E95:AI95,"Ro4.0")*8/AK95+COUNTIF(E95:AI95,"Ro4.5")*7.5/AK95+COUNTIF(E95:AI95,"Ro5")*7/AK95+COUNTIF(E95:AI95,"Ro5.0")*7/AK95+COUNTIF(E95:AI95,"Ro5.5")*6.5/AK95+COUNTIF(E95:AI95,"Ro6")*6/AK95+COUNTIF(E95:AI95,"Ro7")*5/AK95+COUNTIF(E95:AI95,"Ro8")*4/AK95+COUNTIF(E95:AI95,"Ro8.0")*4/AK95+COUNTIF(E95:AI95,"Ro8.3")*3.7/AK95+COUNTIF(E95:AI95,"Ro8.5")*3.5/AK95+COUNTIF(E95:AI95,"Ro9")*3/AK95+COUNTIF(E95:AI95,"Ro10")*2/AK95+COUNTIF(E95:AI95,"Ro10.0")*2/AK95+COUNTIF(E95:AI95,"Ro10.5")*1.5/AK95+COUNTIF(E95:AI95,"Ro11.0")*1/AK95+COUNTIF(E95:AI95,"Ro11")*1/AK95+COUNTIF(E95:AI95,"Ro11.5")*0.5/AK95+COUNTIF(E95:AI95,"N1")*11/AK95+COUNTIF(E95:AI95,"N2")*10/AK95+COUNTIF(E95:AI95,"N3")*9/AK95+COUNTIF(E95:AI95,"N4")*8/AK95+COUNTIF(E95:AI95,"N5")*7/AK95+COUNTIF(E95:AI95,"N6")*6/AK95+COUNTIF(E95:AI95,"N7")*5/AK95+COUNTIF(E95:AI95,"N8")*4/AK95+COUNTIF(E95:AI95,"N9")*3/AK95+COUNTIF(E95:AI95,"N10")*2/AK95+COUNTIF(E95:AI95,"N11")*1/AK95+COUNTIF(E95:AI95,"D1")*11/AK95+COUNTIF(E95:AI95,"D2")*10/AK95+COUNTIF(E95:AI95,"D3")*9/AK95+COUNTIF(E95:AI95,"D4")*8/AK95+COUNTIF(E95:AI95,"D5")*7/AK95+COUNTIF(E95:AI95,"D6")*6/AK95+COUNTIF(E95:AI95,"D7")*5/AK95+COUNTIF(E95:AI95,"D8")*4/AK95+COUNTIF(E95:AI95,"D9")*3/AK95+COUNTIF(E95:AI95,"D10")*2/AK95+COUNTIF(E95:AI95,"D11")*1/AK95+COUNTIF(E95:AI95,"P1")*0.5</f>
        <v>0</v>
      </c>
      <c r="AR95" s="62">
        <f>COUNTIF(E95:AI95,"R")</f>
        <v>0</v>
      </c>
      <c r="AS95" s="62">
        <f>COUNTIF(E95:AI95,"L")</f>
        <v>0</v>
      </c>
      <c r="AT95" s="64"/>
      <c r="AU95" s="64"/>
      <c r="AV95" s="65">
        <f t="shared" si="67"/>
        <v>0</v>
      </c>
      <c r="AW95" s="65">
        <f t="shared" si="68"/>
        <v>12</v>
      </c>
      <c r="AX95" s="64"/>
      <c r="AY95" s="64"/>
      <c r="AZ95" s="80"/>
      <c r="BA95" s="66">
        <f t="shared" si="69"/>
        <v>18</v>
      </c>
      <c r="BB95" s="67"/>
      <c r="BC95" s="68"/>
      <c r="BD95" s="69">
        <f>VLOOKUP($B95,[1]CN!$B$9:$DK$221,114,0)</f>
        <v>3</v>
      </c>
      <c r="BE95" s="70">
        <f t="shared" si="70"/>
        <v>27</v>
      </c>
      <c r="BF95" s="71" t="s">
        <v>39</v>
      </c>
      <c r="BG95" s="72" t="s">
        <v>34</v>
      </c>
      <c r="BH95" s="73" t="str">
        <f>VLOOKUP(B95,'[2]Bang luong_06'!$B$9:$C$333,2,0)</f>
        <v>Giang Đình Nhất</v>
      </c>
      <c r="BI95" s="74"/>
      <c r="BJ95" s="75" t="str">
        <f>VLOOKUP($B95,'[2]Bang luong_06'!$B$10:$C$333,2,0)</f>
        <v>Giang Đình Nhất</v>
      </c>
      <c r="BK95" s="76" t="b">
        <f>BJ95=C95</f>
        <v>1</v>
      </c>
      <c r="BM95" s="77" t="e">
        <f>+VLOOKUP(B95,'[2]Thưởng Lễ 2-9'!B73:G363,6,0)</f>
        <v>#N/A</v>
      </c>
      <c r="BN95" s="75">
        <f>ROUND(($BN$12-D95)/30,0)</f>
        <v>-9</v>
      </c>
      <c r="BO95" s="76" t="str">
        <f>+VLOOKUP(B95,'[2]Bang luong_06'!B83:D394,3,0)</f>
        <v>CNSX</v>
      </c>
      <c r="BP95" s="76" t="s">
        <v>40</v>
      </c>
      <c r="BQ95" s="76">
        <v>0</v>
      </c>
      <c r="BR95" s="76">
        <f>COUNTIF(D95:AI95,"N")+COUNTIF(D95:AI95,"N1")*1/AK95+COUNTIF(D95:AI95,"N2")*2/AK95+COUNTIF(D95:AI95,"N3")*3/AK95+COUNTIF(D95:AI95,"N4")*4/AK95+COUNTIF(D95:AI95,"N5")*5/AK95+COUNTIF(D95:AI95,"N6")*6/AK95+COUNTIF(D95:AI95,"N7")*7/AK95+COUNTIF(D95:AI95,"N8")*8/AK95+COUNTIF(D95:AI95,"N9")*9/AK95+COUNTIF(D95:AI95,"N10")*10/AK95+COUNTIF(D95:AI95,"N11")*11/AK95+COUNTIF(D95:AI95,"N12")*12/AK95+COUNTIF(D95:AI95,"Ro1")*1/AK95+COUNTIF(D95:AI95,"Ro2")*2/AK95+COUNTIF(D95:AI95,"Ro3")*3/AK95+COUNTIF(D95:AI95,"Ro3.0")*3/AK95+COUNTIF(D95:AI95,"Ro4")*4/AK95+COUNTIF(D95:AI95,"Ro4.0")*4/AK95+COUNTIF(D95:AI95,"Ro4.5")*4.5/AK95+COUNTIF(D95:AI95,"Ro5")*5/AK95+COUNTIF(D95:AI95,"Ro5.0")*5/AK95+COUNTIF(D95:AI95,"Ro5.5")*5.5/AK95+COUNTIF(D95:AI95,"Ro6")*6/AK95+COUNTIF(D95:AI95,"Ro7")*7/AK95+COUNTIF(D95:AI95,"Ro8")*8/AK95+COUNTIF(D95:AI95,"Ro8.0")*8/AK95+COUNTIF(D95:AI95,"Ro8.3")*8.3/AK95+COUNTIF(D95:AI95,"Ro8.5")*8.5/AK95+COUNTIF(D95:AI95,"Ro9")*9/AK95+COUNTIF(D95:AI95,"Ro9.5")*9.5/AK95+COUNTIF(D95:AI95,"Ro10")*10/AK95+COUNTIF(D95:AI95,"Ro10.0")*10/AK95+COUNTIF(D95:AI95,"Ro10.5")*10.5/AK95+COUNTIF(D95:AI95,"Ro11")*11/AK95+COUNTIF(D95:AI95,"Ro11.0")*11/AK95+COUNTIF(D95:AI95,"Ro11.5")*11.5/AK95+COUNTIF(D95:AI95,"P2")*0.5</f>
        <v>6</v>
      </c>
    </row>
    <row r="96" spans="1:70" s="76" customFormat="1" ht="31.5" customHeight="1" x14ac:dyDescent="0.25">
      <c r="A96" s="33">
        <f t="shared" si="81"/>
        <v>79</v>
      </c>
      <c r="B96" s="121" t="s">
        <v>220</v>
      </c>
      <c r="C96" s="122" t="s">
        <v>221</v>
      </c>
      <c r="D96" s="123">
        <v>45819</v>
      </c>
      <c r="E96" s="57" t="s">
        <v>38</v>
      </c>
      <c r="F96" s="86" t="s">
        <v>38</v>
      </c>
      <c r="G96" s="57" t="s">
        <v>38</v>
      </c>
      <c r="H96" s="57" t="s">
        <v>38</v>
      </c>
      <c r="I96" s="57" t="s">
        <v>38</v>
      </c>
      <c r="J96" s="57"/>
      <c r="K96" s="57" t="s">
        <v>38</v>
      </c>
      <c r="L96" s="57" t="s">
        <v>38</v>
      </c>
      <c r="M96" s="57" t="s">
        <v>38</v>
      </c>
      <c r="N96" s="57" t="s">
        <v>38</v>
      </c>
      <c r="O96" s="57" t="s">
        <v>38</v>
      </c>
      <c r="P96" s="57" t="s">
        <v>38</v>
      </c>
      <c r="Q96" s="57"/>
      <c r="R96" s="57" t="s">
        <v>38</v>
      </c>
      <c r="S96" s="57" t="s">
        <v>38</v>
      </c>
      <c r="T96" s="57" t="s">
        <v>38</v>
      </c>
      <c r="U96" s="57" t="s">
        <v>107</v>
      </c>
      <c r="V96" s="57" t="s">
        <v>38</v>
      </c>
      <c r="W96" s="57" t="s">
        <v>38</v>
      </c>
      <c r="X96" s="57" t="s">
        <v>506</v>
      </c>
      <c r="Y96" s="57" t="s">
        <v>38</v>
      </c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8">
        <v>10100403</v>
      </c>
      <c r="AK96" s="59">
        <v>12</v>
      </c>
      <c r="AL96" s="60">
        <f t="shared" si="59"/>
        <v>17</v>
      </c>
      <c r="AM96" s="61">
        <f t="shared" si="60"/>
        <v>0</v>
      </c>
      <c r="AN96" s="62">
        <f t="shared" si="61"/>
        <v>17</v>
      </c>
      <c r="AO96" s="62">
        <f>COUNTIF(E96:AI96,"p")+COUNTIF(E96:AI96,"p1")/2+COUNTIF(E96:AI96,"p2")/2</f>
        <v>1</v>
      </c>
      <c r="AP96" s="62">
        <f>COUNTIF(E96:AI96,"K")</f>
        <v>0</v>
      </c>
      <c r="AQ96" s="63">
        <f>COUNTIF(E96:AI96,"Ro")+COUNTIF(E96:AI96,"Ro1")*11/AK96+COUNTIF(E96:AI96,"Ro2")*10/AK96+COUNTIF(E96:AI96,"Ro3")*9/AK96+COUNTIF(E96:AI96,"Ro3.0")*9/AK96+COUNTIF(E96:AI96,"Ro4")*8/AK96+COUNTIF(E96:AI96,"Ro4.0")*8/AK96+COUNTIF(E96:AI96,"Ro4.5")*7.5/AK96+COUNTIF(E96:AI96,"Ro5")*7/AK96+COUNTIF(E96:AI96,"Ro5.0")*7/AK96+COUNTIF(E96:AI96,"Ro5.5")*6.5/AK96+COUNTIF(E96:AI96,"Ro6")*6/AK96+COUNTIF(E96:AI96,"Ro7")*5/AK96+COUNTIF(E96:AI96,"Ro8")*4/AK96+COUNTIF(E96:AI96,"Ro8.0")*4/AK96+COUNTIF(E96:AI96,"Ro8.3")*3.7/AK96+COUNTIF(E96:AI96,"Ro8.5")*3.5/AK96+COUNTIF(E96:AI96,"Ro9")*3/AK96+COUNTIF(E96:AI96,"Ro10")*2/AK96+COUNTIF(E96:AI96,"Ro10.0")*2/AK96+COUNTIF(E96:AI96,"Ro10.5")*1.5/AK96+COUNTIF(E96:AI96,"Ro11.0")*1/AK96+COUNTIF(E96:AI96,"Ro11")*1/AK96+COUNTIF(E96:AI96,"Ro11.5")*0.5/AK96+COUNTIF(E96:AI96,"N1")*11/AK96+COUNTIF(E96:AI96,"N2")*10/AK96+COUNTIF(E96:AI96,"N3")*9/AK96+COUNTIF(E96:AI96,"N4")*8/AK96+COUNTIF(E96:AI96,"N5")*7/AK96+COUNTIF(E96:AI96,"N6")*6/AK96+COUNTIF(E96:AI96,"N7")*5/AK96+COUNTIF(E96:AI96,"N8")*4/AK96+COUNTIF(E96:AI96,"N9")*3/AK96+COUNTIF(E96:AI96,"N10")*2/AK96+COUNTIF(E96:AI96,"N11")*1/AK96+COUNTIF(E96:AI96,"D1")*11/AK96+COUNTIF(E96:AI96,"D2")*10/AK96+COUNTIF(E96:AI96,"D3")*9/AK96+COUNTIF(E96:AI96,"D4")*8/AK96+COUNTIF(E96:AI96,"D5")*7/AK96+COUNTIF(E96:AI96,"D6")*6/AK96+COUNTIF(E96:AI96,"D7")*5/AK96+COUNTIF(E96:AI96,"D8")*4/AK96+COUNTIF(E96:AI96,"D9")*3/AK96+COUNTIF(E96:AI96,"D10")*2/AK96+COUNTIF(E96:AI96,"D11")*1/AK96+COUNTIF(E96:AI96,"P1")*0.5</f>
        <v>0</v>
      </c>
      <c r="AR96" s="62">
        <f>COUNTIF(E96:AI96,"R")</f>
        <v>0</v>
      </c>
      <c r="AS96" s="62">
        <f>COUNTIF(E96:AI96,"L")</f>
        <v>0</v>
      </c>
      <c r="AT96" s="64"/>
      <c r="AU96" s="64"/>
      <c r="AV96" s="65">
        <f t="shared" si="67"/>
        <v>12</v>
      </c>
      <c r="AW96" s="65">
        <f t="shared" si="68"/>
        <v>0</v>
      </c>
      <c r="AX96" s="64"/>
      <c r="AY96" s="64"/>
      <c r="AZ96" s="80"/>
      <c r="BA96" s="66">
        <f t="shared" si="69"/>
        <v>18</v>
      </c>
      <c r="BB96" s="67"/>
      <c r="BC96" s="68"/>
      <c r="BD96" s="69">
        <f>VLOOKUP($B96,[1]CN!$B$9:$DK$221,114,0)</f>
        <v>0</v>
      </c>
      <c r="BE96" s="70">
        <f t="shared" si="70"/>
        <v>27</v>
      </c>
      <c r="BF96" s="71" t="s">
        <v>39</v>
      </c>
      <c r="BG96" s="72" t="s">
        <v>34</v>
      </c>
      <c r="BH96" s="73" t="str">
        <f>VLOOKUP(B96,'[2]Bang luong_06'!$B$9:$C$333,2,0)</f>
        <v>Kim Thị Ngọc Huyền</v>
      </c>
      <c r="BI96" s="74"/>
      <c r="BJ96" s="75" t="str">
        <f>VLOOKUP($B96,'[2]Bang luong_06'!$B$10:$C$333,2,0)</f>
        <v>Kim Thị Ngọc Huyền</v>
      </c>
      <c r="BK96" s="76" t="b">
        <f>BJ96=C96</f>
        <v>1</v>
      </c>
      <c r="BM96" s="77" t="e">
        <f>+VLOOKUP(B96,'[2]Thưởng Lễ 2-9'!B77:G367,6,0)</f>
        <v>#N/A</v>
      </c>
      <c r="BN96" s="75">
        <f>ROUND(($BN$12-D96)/30,0)</f>
        <v>-9</v>
      </c>
      <c r="BO96" s="76" t="str">
        <f>+VLOOKUP(B96,'[2]Bang luong_06'!B88:D398,3,0)</f>
        <v>CNSX</v>
      </c>
      <c r="BP96" s="76" t="s">
        <v>40</v>
      </c>
      <c r="BQ96" s="76">
        <v>0</v>
      </c>
      <c r="BR96" s="76">
        <f>COUNTIF(D96:AI96,"N")+COUNTIF(D96:AI96,"N1")*1/AK96+COUNTIF(D96:AI96,"N2")*2/AK96+COUNTIF(D96:AI96,"N3")*3/AK96+COUNTIF(D96:AI96,"N4")*4/AK96+COUNTIF(D96:AI96,"N5")*5/AK96+COUNTIF(D96:AI96,"N6")*6/AK96+COUNTIF(D96:AI96,"N7")*7/AK96+COUNTIF(D96:AI96,"N8")*8/AK96+COUNTIF(D96:AI96,"N9")*9/AK96+COUNTIF(D96:AI96,"N10")*10/AK96+COUNTIF(D96:AI96,"N11")*11/AK96+COUNTIF(D96:AI96,"N12")*12/AK96+COUNTIF(D96:AI96,"Ro1")*1/AK96+COUNTIF(D96:AI96,"Ro2")*2/AK96+COUNTIF(D96:AI96,"Ro3")*3/AK96+COUNTIF(D96:AI96,"Ro3.0")*3/AK96+COUNTIF(D96:AI96,"Ro4")*4/AK96+COUNTIF(D96:AI96,"Ro4.0")*4/AK96+COUNTIF(D96:AI96,"Ro4.5")*4.5/AK96+COUNTIF(D96:AI96,"Ro5")*5/AK96+COUNTIF(D96:AI96,"Ro5.0")*5/AK96+COUNTIF(D96:AI96,"Ro5.5")*5.5/AK96+COUNTIF(D96:AI96,"Ro6")*6/AK96+COUNTIF(D96:AI96,"Ro7")*7/AK96+COUNTIF(D96:AI96,"Ro8")*8/AK96+COUNTIF(D96:AI96,"Ro8.0")*8/AK96+COUNTIF(D96:AI96,"Ro8.3")*8.3/AK96+COUNTIF(D96:AI96,"Ro8.5")*8.5/AK96+COUNTIF(D96:AI96,"Ro9")*9/AK96+COUNTIF(D96:AI96,"Ro9.5")*9.5/AK96+COUNTIF(D96:AI96,"Ro10")*10/AK96+COUNTIF(D96:AI96,"Ro10.0")*10/AK96+COUNTIF(D96:AI96,"Ro10.5")*10.5/AK96+COUNTIF(D96:AI96,"Ro11")*11/AK96+COUNTIF(D96:AI96,"Ro11.0")*11/AK96+COUNTIF(D96:AI96,"Ro11.5")*11.5/AK96+COUNTIF(D96:AI96,"P2")*0.5</f>
        <v>17</v>
      </c>
    </row>
    <row r="97" spans="1:70" s="76" customFormat="1" ht="31.5" customHeight="1" x14ac:dyDescent="0.25">
      <c r="A97" s="33">
        <f t="shared" si="81"/>
        <v>80</v>
      </c>
      <c r="B97" s="88" t="s">
        <v>222</v>
      </c>
      <c r="C97" s="89" t="s">
        <v>223</v>
      </c>
      <c r="D97" s="90">
        <v>45825</v>
      </c>
      <c r="E97" s="86" t="s">
        <v>37</v>
      </c>
      <c r="F97" s="86" t="s">
        <v>37</v>
      </c>
      <c r="G97" s="57" t="s">
        <v>37</v>
      </c>
      <c r="H97" s="57" t="s">
        <v>37</v>
      </c>
      <c r="I97" s="97" t="s">
        <v>37</v>
      </c>
      <c r="J97" s="97"/>
      <c r="K97" s="97" t="s">
        <v>38</v>
      </c>
      <c r="L97" s="97" t="s">
        <v>38</v>
      </c>
      <c r="M97" s="97" t="s">
        <v>38</v>
      </c>
      <c r="N97" s="97" t="s">
        <v>38</v>
      </c>
      <c r="O97" s="97" t="s">
        <v>38</v>
      </c>
      <c r="P97" s="97" t="s">
        <v>38</v>
      </c>
      <c r="Q97" s="97" t="s">
        <v>506</v>
      </c>
      <c r="R97" s="97" t="s">
        <v>38</v>
      </c>
      <c r="S97" s="97" t="s">
        <v>38</v>
      </c>
      <c r="T97" s="97" t="s">
        <v>38</v>
      </c>
      <c r="U97" s="97" t="s">
        <v>38</v>
      </c>
      <c r="V97" s="97" t="s">
        <v>38</v>
      </c>
      <c r="W97" s="97" t="s">
        <v>143</v>
      </c>
      <c r="X97" s="97"/>
      <c r="Y97" s="57" t="s">
        <v>143</v>
      </c>
      <c r="Z97" s="57" t="s">
        <v>143</v>
      </c>
      <c r="AA97" s="57"/>
      <c r="AB97" s="57"/>
      <c r="AC97" s="57"/>
      <c r="AD97" s="57"/>
      <c r="AE97" s="57"/>
      <c r="AF97" s="57"/>
      <c r="AG97" s="57"/>
      <c r="AH97" s="57"/>
      <c r="AI97" s="57"/>
      <c r="AJ97" s="58">
        <v>10100403</v>
      </c>
      <c r="AK97" s="59">
        <v>12</v>
      </c>
      <c r="AL97" s="60">
        <f t="shared" si="59"/>
        <v>11</v>
      </c>
      <c r="AM97" s="61">
        <f t="shared" si="60"/>
        <v>5</v>
      </c>
      <c r="AN97" s="62">
        <f>+AL97+AM97</f>
        <v>16</v>
      </c>
      <c r="AO97" s="62">
        <f t="shared" si="73"/>
        <v>0</v>
      </c>
      <c r="AP97" s="62">
        <f t="shared" si="74"/>
        <v>0</v>
      </c>
      <c r="AQ97" s="63">
        <f t="shared" si="75"/>
        <v>0</v>
      </c>
      <c r="AR97" s="62">
        <f t="shared" si="76"/>
        <v>0</v>
      </c>
      <c r="AS97" s="62">
        <f t="shared" si="77"/>
        <v>0</v>
      </c>
      <c r="AT97" s="64"/>
      <c r="AU97" s="64"/>
      <c r="AV97" s="65">
        <f t="shared" si="67"/>
        <v>12</v>
      </c>
      <c r="AW97" s="65">
        <f t="shared" si="68"/>
        <v>0</v>
      </c>
      <c r="AX97" s="64"/>
      <c r="AY97" s="64"/>
      <c r="AZ97" s="80"/>
      <c r="BA97" s="66">
        <f t="shared" si="69"/>
        <v>16</v>
      </c>
      <c r="BB97" s="67"/>
      <c r="BC97" s="68"/>
      <c r="BD97" s="69">
        <f>VLOOKUP($B97,[1]CN!$B$9:$DK$221,114,0)</f>
        <v>1</v>
      </c>
      <c r="BE97" s="70">
        <f t="shared" si="70"/>
        <v>27</v>
      </c>
      <c r="BF97" s="71" t="s">
        <v>39</v>
      </c>
      <c r="BG97" s="72" t="s">
        <v>34</v>
      </c>
      <c r="BH97" s="73" t="str">
        <f>VLOOKUP(B97,'[2]Bang luong_06'!$B$9:$C$333,2,0)</f>
        <v>Phạm Nhựt Tuấn</v>
      </c>
      <c r="BI97" s="74"/>
      <c r="BJ97" s="75" t="str">
        <f>VLOOKUP($B97,'[2]Bang luong_06'!$B$10:$C$333,2,0)</f>
        <v>Phạm Nhựt Tuấn</v>
      </c>
      <c r="BK97" s="76" t="b">
        <f t="shared" si="78"/>
        <v>1</v>
      </c>
      <c r="BM97" s="77" t="e">
        <f>+VLOOKUP(B97,'[2]Thưởng Lễ 2-9'!B76:G366,6,0)</f>
        <v>#N/A</v>
      </c>
      <c r="BN97" s="75">
        <f t="shared" si="79"/>
        <v>-10</v>
      </c>
      <c r="BO97" s="76" t="str">
        <f>+VLOOKUP(B97,'[2]Bang luong_06'!B87:D397,3,0)</f>
        <v>CNSX</v>
      </c>
      <c r="BP97" s="76" t="s">
        <v>40</v>
      </c>
      <c r="BQ97" s="76">
        <v>0</v>
      </c>
      <c r="BR97" s="76">
        <f t="shared" si="80"/>
        <v>11</v>
      </c>
    </row>
    <row r="98" spans="1:70" s="76" customFormat="1" ht="31.5" customHeight="1" x14ac:dyDescent="0.25">
      <c r="A98" s="33">
        <f t="shared" si="81"/>
        <v>81</v>
      </c>
      <c r="B98" s="88" t="s">
        <v>224</v>
      </c>
      <c r="C98" s="89" t="s">
        <v>225</v>
      </c>
      <c r="D98" s="90">
        <v>45846</v>
      </c>
      <c r="E98" s="57" t="s">
        <v>37</v>
      </c>
      <c r="F98" s="86" t="s">
        <v>37</v>
      </c>
      <c r="G98" s="57" t="s">
        <v>37</v>
      </c>
      <c r="H98" s="57" t="s">
        <v>37</v>
      </c>
      <c r="I98" s="57" t="s">
        <v>37</v>
      </c>
      <c r="J98" s="57"/>
      <c r="K98" s="57" t="s">
        <v>38</v>
      </c>
      <c r="L98" s="57" t="s">
        <v>38</v>
      </c>
      <c r="M98" s="57" t="s">
        <v>38</v>
      </c>
      <c r="N98" s="57" t="s">
        <v>38</v>
      </c>
      <c r="O98" s="57" t="s">
        <v>38</v>
      </c>
      <c r="P98" s="57" t="s">
        <v>38</v>
      </c>
      <c r="Q98" s="57"/>
      <c r="R98" s="57" t="s">
        <v>38</v>
      </c>
      <c r="S98" s="57" t="s">
        <v>38</v>
      </c>
      <c r="T98" s="57" t="s">
        <v>38</v>
      </c>
      <c r="U98" s="57" t="s">
        <v>38</v>
      </c>
      <c r="V98" s="57" t="s">
        <v>38</v>
      </c>
      <c r="W98" s="57" t="s">
        <v>38</v>
      </c>
      <c r="X98" s="57"/>
      <c r="Y98" s="57" t="s">
        <v>37</v>
      </c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8">
        <v>10100403</v>
      </c>
      <c r="AK98" s="59">
        <v>12</v>
      </c>
      <c r="AL98" s="60">
        <f t="shared" si="59"/>
        <v>12</v>
      </c>
      <c r="AM98" s="61">
        <f t="shared" si="60"/>
        <v>6</v>
      </c>
      <c r="AN98" s="62">
        <f>+AL98+AM98</f>
        <v>18</v>
      </c>
      <c r="AO98" s="62">
        <f t="shared" si="73"/>
        <v>0</v>
      </c>
      <c r="AP98" s="62">
        <f t="shared" si="74"/>
        <v>0</v>
      </c>
      <c r="AQ98" s="63">
        <f t="shared" si="75"/>
        <v>0</v>
      </c>
      <c r="AR98" s="62">
        <f t="shared" si="76"/>
        <v>0</v>
      </c>
      <c r="AS98" s="62">
        <f t="shared" si="77"/>
        <v>0</v>
      </c>
      <c r="AT98" s="64"/>
      <c r="AU98" s="64"/>
      <c r="AV98" s="65">
        <f t="shared" si="67"/>
        <v>0</v>
      </c>
      <c r="AW98" s="65">
        <f t="shared" si="68"/>
        <v>0</v>
      </c>
      <c r="AX98" s="64"/>
      <c r="AY98" s="64"/>
      <c r="AZ98" s="80"/>
      <c r="BA98" s="66">
        <f t="shared" si="69"/>
        <v>18</v>
      </c>
      <c r="BB98" s="67"/>
      <c r="BC98" s="68"/>
      <c r="BD98" s="69">
        <f>VLOOKUP($B98,[1]CN!$B$9:$DK$221,114,0)</f>
        <v>3</v>
      </c>
      <c r="BE98" s="70">
        <f t="shared" si="70"/>
        <v>27</v>
      </c>
      <c r="BF98" s="71" t="s">
        <v>39</v>
      </c>
      <c r="BG98" s="72" t="s">
        <v>34</v>
      </c>
      <c r="BH98" s="73" t="str">
        <f>VLOOKUP(B98,'[2]Bang luong_06'!$B$9:$C$333,2,0)</f>
        <v>Trịnh Thị Hiền</v>
      </c>
      <c r="BI98" s="74"/>
      <c r="BJ98" s="75" t="str">
        <f>VLOOKUP($B98,'[2]Bang luong_06'!$B$10:$C$333,2,0)</f>
        <v>Trịnh Thị Hiền</v>
      </c>
      <c r="BK98" s="76" t="b">
        <f t="shared" si="78"/>
        <v>1</v>
      </c>
      <c r="BM98" s="77" t="e">
        <f>+VLOOKUP(B98,'[2]Thưởng Lễ 2-9'!B80:G370,6,0)</f>
        <v>#N/A</v>
      </c>
      <c r="BN98" s="75">
        <f t="shared" si="79"/>
        <v>-10</v>
      </c>
      <c r="BO98" s="76" t="str">
        <f>+VLOOKUP(B98,'[2]Bang luong_06'!B90:D401,3,0)</f>
        <v>CNSX</v>
      </c>
      <c r="BP98" s="76" t="s">
        <v>40</v>
      </c>
      <c r="BQ98" s="76">
        <v>0</v>
      </c>
      <c r="BR98" s="76">
        <f t="shared" si="80"/>
        <v>12</v>
      </c>
    </row>
    <row r="99" spans="1:70" s="76" customFormat="1" ht="31.5" customHeight="1" x14ac:dyDescent="0.25">
      <c r="A99" s="33">
        <f t="shared" si="81"/>
        <v>82</v>
      </c>
      <c r="B99" s="88" t="s">
        <v>226</v>
      </c>
      <c r="C99" s="89" t="s">
        <v>227</v>
      </c>
      <c r="D99" s="90">
        <v>45867</v>
      </c>
      <c r="E99" s="57" t="s">
        <v>37</v>
      </c>
      <c r="F99" s="86" t="s">
        <v>37</v>
      </c>
      <c r="G99" s="57" t="s">
        <v>37</v>
      </c>
      <c r="H99" s="57" t="s">
        <v>37</v>
      </c>
      <c r="I99" s="57" t="s">
        <v>37</v>
      </c>
      <c r="J99" s="57"/>
      <c r="K99" s="57" t="s">
        <v>38</v>
      </c>
      <c r="L99" s="57" t="s">
        <v>38</v>
      </c>
      <c r="M99" s="57" t="s">
        <v>38</v>
      </c>
      <c r="N99" s="57" t="s">
        <v>38</v>
      </c>
      <c r="O99" s="57" t="s">
        <v>38</v>
      </c>
      <c r="P99" s="57" t="s">
        <v>38</v>
      </c>
      <c r="Q99" s="57"/>
      <c r="R99" s="57" t="s">
        <v>38</v>
      </c>
      <c r="S99" s="57" t="s">
        <v>38</v>
      </c>
      <c r="T99" s="57" t="s">
        <v>107</v>
      </c>
      <c r="U99" s="57" t="s">
        <v>38</v>
      </c>
      <c r="V99" s="57" t="s">
        <v>38</v>
      </c>
      <c r="W99" s="57" t="s">
        <v>38</v>
      </c>
      <c r="X99" s="57" t="s">
        <v>506</v>
      </c>
      <c r="Y99" s="57" t="s">
        <v>37</v>
      </c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8">
        <v>10100403</v>
      </c>
      <c r="AK99" s="59">
        <v>12</v>
      </c>
      <c r="AL99" s="60">
        <f t="shared" si="59"/>
        <v>11</v>
      </c>
      <c r="AM99" s="61">
        <f t="shared" si="60"/>
        <v>6</v>
      </c>
      <c r="AN99" s="62">
        <f>+AL99+AM99</f>
        <v>17</v>
      </c>
      <c r="AO99" s="62">
        <f t="shared" si="73"/>
        <v>1</v>
      </c>
      <c r="AP99" s="62">
        <f t="shared" si="74"/>
        <v>0</v>
      </c>
      <c r="AQ99" s="63">
        <f t="shared" si="75"/>
        <v>0</v>
      </c>
      <c r="AR99" s="62">
        <f t="shared" si="76"/>
        <v>0</v>
      </c>
      <c r="AS99" s="62">
        <f t="shared" si="77"/>
        <v>0</v>
      </c>
      <c r="AT99" s="64"/>
      <c r="AU99" s="64"/>
      <c r="AV99" s="65">
        <f t="shared" si="67"/>
        <v>12</v>
      </c>
      <c r="AW99" s="65">
        <f t="shared" si="68"/>
        <v>0</v>
      </c>
      <c r="AX99" s="64"/>
      <c r="AY99" s="64"/>
      <c r="AZ99" s="80"/>
      <c r="BA99" s="66">
        <f t="shared" si="69"/>
        <v>18</v>
      </c>
      <c r="BB99" s="67"/>
      <c r="BC99" s="68"/>
      <c r="BD99" s="69">
        <f>VLOOKUP($B99,[1]CN!$B$9:$DK$221,114,0)</f>
        <v>3</v>
      </c>
      <c r="BE99" s="70">
        <f t="shared" si="70"/>
        <v>27</v>
      </c>
      <c r="BF99" s="71" t="s">
        <v>39</v>
      </c>
      <c r="BG99" s="72" t="s">
        <v>34</v>
      </c>
      <c r="BH99" s="73" t="str">
        <f>VLOOKUP(B99,'[2]Bang luong_06'!$B$9:$C$333,2,0)</f>
        <v>Từ Chí Hảo</v>
      </c>
      <c r="BI99" s="74"/>
      <c r="BJ99" s="75" t="str">
        <f>VLOOKUP($B99,'[2]Bang luong_06'!$B$10:$C$333,2,0)</f>
        <v>Từ Chí Hảo</v>
      </c>
      <c r="BK99" s="76" t="b">
        <f t="shared" si="78"/>
        <v>1</v>
      </c>
      <c r="BM99" s="77" t="e">
        <f>+VLOOKUP(B99,'[2]Thưởng Lễ 2-9'!B77:G367,6,0)</f>
        <v>#N/A</v>
      </c>
      <c r="BN99" s="75">
        <f t="shared" si="79"/>
        <v>-11</v>
      </c>
      <c r="BO99" s="76" t="str">
        <f>+VLOOKUP(B99,'[2]Bang luong_06'!B88:D398,3,0)</f>
        <v>CNSX</v>
      </c>
      <c r="BP99" s="76" t="s">
        <v>40</v>
      </c>
      <c r="BQ99" s="76">
        <v>0</v>
      </c>
      <c r="BR99" s="76">
        <f t="shared" si="80"/>
        <v>11</v>
      </c>
    </row>
    <row r="100" spans="1:70" s="76" customFormat="1" ht="31.5" customHeight="1" x14ac:dyDescent="0.25">
      <c r="A100" s="33">
        <f t="shared" si="81"/>
        <v>83</v>
      </c>
      <c r="B100" s="88" t="s">
        <v>228</v>
      </c>
      <c r="C100" s="89" t="s">
        <v>229</v>
      </c>
      <c r="D100" s="90">
        <v>45871</v>
      </c>
      <c r="E100" s="57" t="s">
        <v>38</v>
      </c>
      <c r="F100" s="57" t="s">
        <v>38</v>
      </c>
      <c r="G100" s="57" t="s">
        <v>38</v>
      </c>
      <c r="H100" s="57" t="s">
        <v>38</v>
      </c>
      <c r="I100" s="57" t="s">
        <v>38</v>
      </c>
      <c r="J100" s="57" t="s">
        <v>506</v>
      </c>
      <c r="K100" s="57" t="s">
        <v>37</v>
      </c>
      <c r="L100" s="57" t="s">
        <v>37</v>
      </c>
      <c r="M100" s="57" t="s">
        <v>37</v>
      </c>
      <c r="N100" s="57" t="s">
        <v>37</v>
      </c>
      <c r="O100" s="57" t="s">
        <v>37</v>
      </c>
      <c r="P100" s="57" t="s">
        <v>37</v>
      </c>
      <c r="Q100" s="57" t="s">
        <v>507</v>
      </c>
      <c r="R100" s="57" t="s">
        <v>37</v>
      </c>
      <c r="S100" s="57" t="s">
        <v>37</v>
      </c>
      <c r="T100" s="57" t="s">
        <v>37</v>
      </c>
      <c r="U100" s="57" t="s">
        <v>37</v>
      </c>
      <c r="V100" s="57" t="s">
        <v>37</v>
      </c>
      <c r="W100" s="57" t="s">
        <v>37</v>
      </c>
      <c r="X100" s="57"/>
      <c r="Y100" s="57" t="s">
        <v>38</v>
      </c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8">
        <v>10100403</v>
      </c>
      <c r="AK100" s="59">
        <v>12</v>
      </c>
      <c r="AL100" s="60">
        <f t="shared" si="59"/>
        <v>6</v>
      </c>
      <c r="AM100" s="61">
        <f t="shared" si="60"/>
        <v>12</v>
      </c>
      <c r="AN100" s="62">
        <f>+AL100+AM100</f>
        <v>18</v>
      </c>
      <c r="AO100" s="62">
        <f t="shared" si="73"/>
        <v>0</v>
      </c>
      <c r="AP100" s="62">
        <f t="shared" si="74"/>
        <v>0</v>
      </c>
      <c r="AQ100" s="63">
        <f t="shared" si="75"/>
        <v>0</v>
      </c>
      <c r="AR100" s="62">
        <f t="shared" si="76"/>
        <v>0</v>
      </c>
      <c r="AS100" s="62">
        <f t="shared" si="77"/>
        <v>0</v>
      </c>
      <c r="AT100" s="64"/>
      <c r="AU100" s="64"/>
      <c r="AV100" s="65">
        <f t="shared" si="67"/>
        <v>12</v>
      </c>
      <c r="AW100" s="65">
        <f t="shared" si="68"/>
        <v>12</v>
      </c>
      <c r="AX100" s="64"/>
      <c r="AY100" s="64"/>
      <c r="AZ100" s="80"/>
      <c r="BA100" s="66">
        <f t="shared" si="69"/>
        <v>18</v>
      </c>
      <c r="BB100" s="67"/>
      <c r="BC100" s="68"/>
      <c r="BD100" s="69">
        <f>VLOOKUP($B100,[1]CN!$B$9:$DK$221,114,0)</f>
        <v>3</v>
      </c>
      <c r="BE100" s="70">
        <f t="shared" si="70"/>
        <v>27</v>
      </c>
      <c r="BF100" s="71" t="s">
        <v>39</v>
      </c>
      <c r="BG100" s="72" t="s">
        <v>34</v>
      </c>
      <c r="BH100" s="73" t="str">
        <f>VLOOKUP(B100,'[2]Bang luong_06'!$B$9:$C$333,2,0)</f>
        <v>Đinh Hoàng Thái</v>
      </c>
      <c r="BI100" s="74"/>
      <c r="BJ100" s="75" t="str">
        <f>VLOOKUP($B100,'[2]Bang luong_06'!$B$10:$C$333,2,0)</f>
        <v>Đinh Hoàng Thái</v>
      </c>
      <c r="BK100" s="76" t="b">
        <f t="shared" si="78"/>
        <v>1</v>
      </c>
      <c r="BM100" s="77" t="e">
        <f>+VLOOKUP(B100,'[2]Thưởng Lễ 2-9'!B80:G370,6,0)</f>
        <v>#N/A</v>
      </c>
      <c r="BN100" s="75">
        <f t="shared" si="79"/>
        <v>-11</v>
      </c>
      <c r="BO100" s="76" t="str">
        <f>+VLOOKUP(B100,'[2]Bang luong_06'!B90:D401,3,0)</f>
        <v>CNSX</v>
      </c>
      <c r="BP100" s="76" t="s">
        <v>40</v>
      </c>
      <c r="BQ100" s="76">
        <v>0</v>
      </c>
      <c r="BR100" s="76">
        <f t="shared" si="80"/>
        <v>6</v>
      </c>
    </row>
    <row r="101" spans="1:70" s="76" customFormat="1" ht="31.5" customHeight="1" x14ac:dyDescent="0.25">
      <c r="A101" s="33">
        <f t="shared" si="81"/>
        <v>84</v>
      </c>
      <c r="B101" s="88" t="s">
        <v>230</v>
      </c>
      <c r="C101" s="89" t="s">
        <v>231</v>
      </c>
      <c r="D101" s="90">
        <v>45909</v>
      </c>
      <c r="E101" s="57" t="s">
        <v>38</v>
      </c>
      <c r="F101" s="57" t="s">
        <v>38</v>
      </c>
      <c r="G101" s="57" t="s">
        <v>38</v>
      </c>
      <c r="H101" s="57" t="s">
        <v>38</v>
      </c>
      <c r="I101" s="57" t="s">
        <v>38</v>
      </c>
      <c r="J101" s="57" t="s">
        <v>506</v>
      </c>
      <c r="K101" s="57" t="s">
        <v>37</v>
      </c>
      <c r="L101" s="57" t="s">
        <v>37</v>
      </c>
      <c r="M101" s="57" t="s">
        <v>37</v>
      </c>
      <c r="N101" s="57" t="s">
        <v>37</v>
      </c>
      <c r="O101" s="57" t="s">
        <v>37</v>
      </c>
      <c r="P101" s="57" t="s">
        <v>37</v>
      </c>
      <c r="Q101" s="57"/>
      <c r="R101" s="57" t="s">
        <v>107</v>
      </c>
      <c r="S101" s="57" t="s">
        <v>37</v>
      </c>
      <c r="T101" s="57" t="s">
        <v>37</v>
      </c>
      <c r="U101" s="57" t="s">
        <v>37</v>
      </c>
      <c r="V101" s="57" t="s">
        <v>37</v>
      </c>
      <c r="W101" s="57" t="s">
        <v>37</v>
      </c>
      <c r="X101" s="57"/>
      <c r="Y101" s="57" t="s">
        <v>38</v>
      </c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8">
        <v>10100403</v>
      </c>
      <c r="AK101" s="59">
        <v>12</v>
      </c>
      <c r="AL101" s="60">
        <f t="shared" si="59"/>
        <v>6</v>
      </c>
      <c r="AM101" s="61">
        <f t="shared" si="60"/>
        <v>11</v>
      </c>
      <c r="AN101" s="62">
        <f t="shared" ref="AN101:AN119" si="82">+AL101+AM101</f>
        <v>17</v>
      </c>
      <c r="AO101" s="62">
        <f t="shared" si="73"/>
        <v>1</v>
      </c>
      <c r="AP101" s="62">
        <f t="shared" si="74"/>
        <v>0</v>
      </c>
      <c r="AQ101" s="63">
        <f t="shared" si="75"/>
        <v>0</v>
      </c>
      <c r="AR101" s="62">
        <f t="shared" si="76"/>
        <v>0</v>
      </c>
      <c r="AS101" s="62">
        <f t="shared" si="77"/>
        <v>0</v>
      </c>
      <c r="AT101" s="64"/>
      <c r="AU101" s="64"/>
      <c r="AV101" s="65">
        <f t="shared" si="67"/>
        <v>12</v>
      </c>
      <c r="AW101" s="65">
        <f t="shared" si="68"/>
        <v>0</v>
      </c>
      <c r="AX101" s="64"/>
      <c r="AY101" s="64"/>
      <c r="AZ101" s="80"/>
      <c r="BA101" s="66">
        <f t="shared" si="69"/>
        <v>18</v>
      </c>
      <c r="BB101" s="67"/>
      <c r="BC101" s="68"/>
      <c r="BD101" s="69">
        <f>VLOOKUP($B101,[1]CN!$B$9:$DK$221,114,0)</f>
        <v>1</v>
      </c>
      <c r="BE101" s="70">
        <f t="shared" si="70"/>
        <v>27</v>
      </c>
      <c r="BF101" s="71" t="s">
        <v>39</v>
      </c>
      <c r="BG101" s="72" t="s">
        <v>34</v>
      </c>
      <c r="BH101" s="73" t="str">
        <f>VLOOKUP(B101,'[2]Bang luong_06'!$B$9:$C$333,2,0)</f>
        <v>Đặng Thanh Chiến</v>
      </c>
      <c r="BI101" s="74"/>
      <c r="BJ101" s="75" t="str">
        <f>VLOOKUP($B101,'[2]Bang luong_06'!$B$10:$C$333,2,0)</f>
        <v>Đặng Thanh Chiến</v>
      </c>
      <c r="BK101" s="76" t="b">
        <f t="shared" si="78"/>
        <v>1</v>
      </c>
      <c r="BM101" s="77" t="e">
        <f>+VLOOKUP(B101,'[2]Thưởng Lễ 2-9'!B79:G369,6,0)</f>
        <v>#N/A</v>
      </c>
      <c r="BN101" s="75">
        <f t="shared" si="79"/>
        <v>-12</v>
      </c>
      <c r="BO101" s="76" t="str">
        <f>+VLOOKUP(B101,'[2]Bang luong_06'!B90:D400,3,0)</f>
        <v>CNSX</v>
      </c>
      <c r="BP101" s="76" t="s">
        <v>40</v>
      </c>
      <c r="BQ101" s="76">
        <v>0</v>
      </c>
      <c r="BR101" s="76">
        <f t="shared" si="80"/>
        <v>6</v>
      </c>
    </row>
    <row r="102" spans="1:70" s="76" customFormat="1" ht="31.5" customHeight="1" x14ac:dyDescent="0.25">
      <c r="A102" s="33">
        <f t="shared" si="81"/>
        <v>85</v>
      </c>
      <c r="B102" s="88" t="s">
        <v>232</v>
      </c>
      <c r="C102" s="89" t="s">
        <v>233</v>
      </c>
      <c r="D102" s="90">
        <v>45909</v>
      </c>
      <c r="E102" s="97" t="s">
        <v>38</v>
      </c>
      <c r="F102" s="97" t="s">
        <v>38</v>
      </c>
      <c r="G102" s="97" t="s">
        <v>38</v>
      </c>
      <c r="H102" s="97" t="s">
        <v>38</v>
      </c>
      <c r="I102" s="97" t="s">
        <v>38</v>
      </c>
      <c r="J102" s="97"/>
      <c r="K102" s="97" t="s">
        <v>107</v>
      </c>
      <c r="L102" s="97" t="s">
        <v>37</v>
      </c>
      <c r="M102" s="97" t="s">
        <v>37</v>
      </c>
      <c r="N102" s="97" t="s">
        <v>37</v>
      </c>
      <c r="O102" s="97" t="s">
        <v>37</v>
      </c>
      <c r="P102" s="97" t="s">
        <v>37</v>
      </c>
      <c r="Q102" s="97"/>
      <c r="R102" s="97" t="s">
        <v>37</v>
      </c>
      <c r="S102" s="97" t="s">
        <v>37</v>
      </c>
      <c r="T102" s="97" t="s">
        <v>37</v>
      </c>
      <c r="U102" s="97" t="s">
        <v>37</v>
      </c>
      <c r="V102" s="97" t="s">
        <v>37</v>
      </c>
      <c r="W102" s="97" t="s">
        <v>37</v>
      </c>
      <c r="X102" s="97"/>
      <c r="Y102" s="9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8">
        <v>10100403</v>
      </c>
      <c r="AK102" s="59">
        <v>12</v>
      </c>
      <c r="AL102" s="60">
        <f t="shared" si="59"/>
        <v>5</v>
      </c>
      <c r="AM102" s="61">
        <f t="shared" si="60"/>
        <v>11</v>
      </c>
      <c r="AN102" s="62">
        <f t="shared" si="82"/>
        <v>16</v>
      </c>
      <c r="AO102" s="62">
        <f t="shared" si="73"/>
        <v>1</v>
      </c>
      <c r="AP102" s="62">
        <f t="shared" si="74"/>
        <v>0</v>
      </c>
      <c r="AQ102" s="63">
        <f t="shared" si="75"/>
        <v>0</v>
      </c>
      <c r="AR102" s="62">
        <f t="shared" si="76"/>
        <v>0</v>
      </c>
      <c r="AS102" s="62">
        <f t="shared" si="77"/>
        <v>0</v>
      </c>
      <c r="AT102" s="64"/>
      <c r="AU102" s="64"/>
      <c r="AV102" s="65">
        <f t="shared" si="67"/>
        <v>0</v>
      </c>
      <c r="AW102" s="65">
        <f t="shared" si="68"/>
        <v>0</v>
      </c>
      <c r="AX102" s="64"/>
      <c r="AY102" s="64"/>
      <c r="AZ102" s="80"/>
      <c r="BA102" s="66">
        <f t="shared" si="69"/>
        <v>17</v>
      </c>
      <c r="BB102" s="67"/>
      <c r="BC102" s="68"/>
      <c r="BD102" s="69">
        <f>VLOOKUP($B102,[1]CN!$B$9:$DK$221,114,0)</f>
        <v>3</v>
      </c>
      <c r="BE102" s="70">
        <f t="shared" si="70"/>
        <v>27</v>
      </c>
      <c r="BF102" s="71" t="s">
        <v>39</v>
      </c>
      <c r="BG102" s="72" t="s">
        <v>34</v>
      </c>
      <c r="BH102" s="73" t="str">
        <f>VLOOKUP(B102,'[2]Bang luong_06'!$B$9:$C$333,2,0)</f>
        <v>Lê Đức Thiện</v>
      </c>
      <c r="BI102" s="74"/>
      <c r="BJ102" s="75" t="str">
        <f>VLOOKUP($B102,'[2]Bang luong_06'!$B$10:$C$333,2,0)</f>
        <v>Lê Đức Thiện</v>
      </c>
      <c r="BK102" s="76" t="b">
        <f t="shared" si="78"/>
        <v>1</v>
      </c>
      <c r="BM102" s="77" t="e">
        <f>+VLOOKUP(B102,'[2]Thưởng Lễ 2-9'!B79:G369,6,0)</f>
        <v>#N/A</v>
      </c>
      <c r="BN102" s="75">
        <f t="shared" si="79"/>
        <v>-12</v>
      </c>
      <c r="BO102" s="76" t="str">
        <f>+VLOOKUP(B102,'[2]Bang luong_06'!B90:D400,3,0)</f>
        <v>CNSX</v>
      </c>
      <c r="BP102" s="76" t="s">
        <v>40</v>
      </c>
      <c r="BQ102" s="76">
        <v>0</v>
      </c>
      <c r="BR102" s="76">
        <f t="shared" si="80"/>
        <v>5</v>
      </c>
    </row>
    <row r="103" spans="1:70" s="76" customFormat="1" ht="31.5" customHeight="1" x14ac:dyDescent="0.25">
      <c r="A103" s="33">
        <f t="shared" si="81"/>
        <v>86</v>
      </c>
      <c r="B103" s="88" t="s">
        <v>234</v>
      </c>
      <c r="C103" s="89" t="s">
        <v>235</v>
      </c>
      <c r="D103" s="90">
        <v>45916</v>
      </c>
      <c r="E103" s="57" t="s">
        <v>37</v>
      </c>
      <c r="F103" s="86" t="s">
        <v>37</v>
      </c>
      <c r="G103" s="57" t="s">
        <v>37</v>
      </c>
      <c r="H103" s="57" t="s">
        <v>37</v>
      </c>
      <c r="I103" s="57" t="s">
        <v>37</v>
      </c>
      <c r="J103" s="57"/>
      <c r="K103" s="57" t="s">
        <v>38</v>
      </c>
      <c r="L103" s="57" t="s">
        <v>38</v>
      </c>
      <c r="M103" s="57" t="s">
        <v>38</v>
      </c>
      <c r="N103" s="57" t="s">
        <v>38</v>
      </c>
      <c r="O103" s="57" t="s">
        <v>38</v>
      </c>
      <c r="P103" s="57" t="s">
        <v>38</v>
      </c>
      <c r="Q103" s="57" t="s">
        <v>506</v>
      </c>
      <c r="R103" s="57" t="s">
        <v>38</v>
      </c>
      <c r="S103" s="57" t="s">
        <v>38</v>
      </c>
      <c r="T103" s="57" t="s">
        <v>38</v>
      </c>
      <c r="U103" s="57" t="s">
        <v>38</v>
      </c>
      <c r="V103" s="57" t="s">
        <v>38</v>
      </c>
      <c r="W103" s="57" t="s">
        <v>38</v>
      </c>
      <c r="X103" s="57"/>
      <c r="Y103" s="57" t="s">
        <v>37</v>
      </c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8">
        <v>10100403</v>
      </c>
      <c r="AK103" s="59">
        <v>12</v>
      </c>
      <c r="AL103" s="60">
        <f t="shared" si="59"/>
        <v>12</v>
      </c>
      <c r="AM103" s="61">
        <f t="shared" si="60"/>
        <v>6</v>
      </c>
      <c r="AN103" s="62">
        <f t="shared" si="82"/>
        <v>18</v>
      </c>
      <c r="AO103" s="62">
        <f t="shared" si="73"/>
        <v>0</v>
      </c>
      <c r="AP103" s="62">
        <f t="shared" si="74"/>
        <v>0</v>
      </c>
      <c r="AQ103" s="63">
        <f t="shared" si="75"/>
        <v>0</v>
      </c>
      <c r="AR103" s="62">
        <f t="shared" si="76"/>
        <v>0</v>
      </c>
      <c r="AS103" s="62">
        <f t="shared" si="77"/>
        <v>0</v>
      </c>
      <c r="AT103" s="64"/>
      <c r="AU103" s="64"/>
      <c r="AV103" s="65">
        <f t="shared" si="67"/>
        <v>12</v>
      </c>
      <c r="AW103" s="65">
        <f t="shared" si="68"/>
        <v>0</v>
      </c>
      <c r="AX103" s="64"/>
      <c r="AY103" s="64"/>
      <c r="AZ103" s="80"/>
      <c r="BA103" s="66">
        <f t="shared" si="69"/>
        <v>18</v>
      </c>
      <c r="BB103" s="67"/>
      <c r="BC103" s="68"/>
      <c r="BD103" s="69">
        <f>VLOOKUP($B103,[1]CN!$B$9:$DK$221,114,0)</f>
        <v>4</v>
      </c>
      <c r="BE103" s="70">
        <f t="shared" si="70"/>
        <v>27</v>
      </c>
      <c r="BF103" s="71" t="s">
        <v>39</v>
      </c>
      <c r="BG103" s="72" t="s">
        <v>34</v>
      </c>
      <c r="BH103" s="73" t="str">
        <f>VLOOKUP(B103,'[2]Bang luong_06'!$B$9:$C$333,2,0)</f>
        <v>Thạch Ngọc Anh</v>
      </c>
      <c r="BI103" s="74"/>
      <c r="BJ103" s="75" t="str">
        <f>VLOOKUP($B103,'[2]Bang luong_06'!$B$10:$C$333,2,0)</f>
        <v>Thạch Ngọc Anh</v>
      </c>
      <c r="BK103" s="76" t="b">
        <f t="shared" si="78"/>
        <v>1</v>
      </c>
      <c r="BM103" s="77" t="e">
        <f>+VLOOKUP(B103,'[2]Thưởng Lễ 2-9'!B78:G368,6,0)</f>
        <v>#N/A</v>
      </c>
      <c r="BN103" s="75">
        <f t="shared" si="79"/>
        <v>-13</v>
      </c>
      <c r="BO103" s="76" t="str">
        <f>+VLOOKUP(B103,'[2]Bang luong_06'!B89:D399,3,0)</f>
        <v>CNSX</v>
      </c>
      <c r="BP103" s="76" t="s">
        <v>40</v>
      </c>
      <c r="BQ103" s="76">
        <v>0</v>
      </c>
      <c r="BR103" s="76">
        <f t="shared" si="80"/>
        <v>12</v>
      </c>
    </row>
    <row r="104" spans="1:70" s="76" customFormat="1" ht="31.5" customHeight="1" x14ac:dyDescent="0.25">
      <c r="A104" s="33">
        <f t="shared" si="81"/>
        <v>87</v>
      </c>
      <c r="B104" s="88" t="s">
        <v>236</v>
      </c>
      <c r="C104" s="89" t="s">
        <v>237</v>
      </c>
      <c r="D104" s="90">
        <v>45930</v>
      </c>
      <c r="E104" s="57" t="s">
        <v>37</v>
      </c>
      <c r="F104" s="86" t="s">
        <v>37</v>
      </c>
      <c r="G104" s="57" t="s">
        <v>37</v>
      </c>
      <c r="H104" s="57" t="s">
        <v>37</v>
      </c>
      <c r="I104" s="57" t="s">
        <v>37</v>
      </c>
      <c r="J104" s="57"/>
      <c r="K104" s="57" t="s">
        <v>38</v>
      </c>
      <c r="L104" s="57" t="s">
        <v>38</v>
      </c>
      <c r="M104" s="57" t="s">
        <v>38</v>
      </c>
      <c r="N104" s="57" t="s">
        <v>38</v>
      </c>
      <c r="O104" s="57" t="s">
        <v>38</v>
      </c>
      <c r="P104" s="57" t="s">
        <v>38</v>
      </c>
      <c r="Q104" s="57" t="s">
        <v>506</v>
      </c>
      <c r="R104" s="57" t="s">
        <v>38</v>
      </c>
      <c r="S104" s="57" t="s">
        <v>38</v>
      </c>
      <c r="T104" s="57" t="s">
        <v>38</v>
      </c>
      <c r="U104" s="57" t="s">
        <v>38</v>
      </c>
      <c r="V104" s="57" t="s">
        <v>38</v>
      </c>
      <c r="W104" s="57" t="s">
        <v>38</v>
      </c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8">
        <v>10100403</v>
      </c>
      <c r="AK104" s="59">
        <v>12</v>
      </c>
      <c r="AL104" s="60">
        <f t="shared" si="59"/>
        <v>12</v>
      </c>
      <c r="AM104" s="61">
        <f t="shared" si="60"/>
        <v>5</v>
      </c>
      <c r="AN104" s="62">
        <f t="shared" si="82"/>
        <v>17</v>
      </c>
      <c r="AO104" s="62">
        <f t="shared" si="73"/>
        <v>0</v>
      </c>
      <c r="AP104" s="62">
        <f t="shared" si="74"/>
        <v>0</v>
      </c>
      <c r="AQ104" s="63">
        <f t="shared" si="75"/>
        <v>0</v>
      </c>
      <c r="AR104" s="62">
        <f t="shared" si="76"/>
        <v>0</v>
      </c>
      <c r="AS104" s="62">
        <f t="shared" si="77"/>
        <v>0</v>
      </c>
      <c r="AT104" s="64"/>
      <c r="AU104" s="64"/>
      <c r="AV104" s="65">
        <f t="shared" si="67"/>
        <v>12</v>
      </c>
      <c r="AW104" s="65">
        <f t="shared" si="68"/>
        <v>0</v>
      </c>
      <c r="AX104" s="64"/>
      <c r="AY104" s="64"/>
      <c r="AZ104" s="80"/>
      <c r="BA104" s="66">
        <f t="shared" si="69"/>
        <v>17</v>
      </c>
      <c r="BB104" s="67"/>
      <c r="BC104" s="68"/>
      <c r="BD104" s="69">
        <f>VLOOKUP($B104,[1]CN!$B$9:$DK$221,114,0)</f>
        <v>2</v>
      </c>
      <c r="BE104" s="70">
        <f t="shared" si="70"/>
        <v>27</v>
      </c>
      <c r="BF104" s="71" t="s">
        <v>39</v>
      </c>
      <c r="BG104" s="72" t="s">
        <v>34</v>
      </c>
      <c r="BH104" s="73" t="str">
        <f>VLOOKUP(B104,'[2]Bang luong_06'!$B$9:$C$333,2,0)</f>
        <v>Nguyễn Văn Lý Hùng</v>
      </c>
      <c r="BI104" s="74"/>
      <c r="BJ104" s="75" t="str">
        <f>VLOOKUP($B104,'[2]Bang luong_06'!$B$10:$C$333,2,0)</f>
        <v>Nguyễn Văn Lý Hùng</v>
      </c>
      <c r="BK104" s="76" t="b">
        <f t="shared" si="78"/>
        <v>1</v>
      </c>
      <c r="BM104" s="77" t="e">
        <f>+VLOOKUP(B104,'[2]Thưởng Lễ 2-9'!B79:G369,6,0)</f>
        <v>#N/A</v>
      </c>
      <c r="BN104" s="75">
        <f t="shared" si="79"/>
        <v>-13</v>
      </c>
      <c r="BO104" s="76" t="str">
        <f>+VLOOKUP(B104,'[2]Bang luong_06'!B90:D400,3,0)</f>
        <v>CNSX</v>
      </c>
      <c r="BP104" s="76" t="s">
        <v>40</v>
      </c>
      <c r="BQ104" s="76">
        <v>0</v>
      </c>
      <c r="BR104" s="76">
        <f t="shared" si="80"/>
        <v>12</v>
      </c>
    </row>
    <row r="105" spans="1:70" s="76" customFormat="1" ht="31.5" customHeight="1" x14ac:dyDescent="0.25">
      <c r="A105" s="33">
        <f t="shared" si="81"/>
        <v>88</v>
      </c>
      <c r="B105" s="88" t="s">
        <v>238</v>
      </c>
      <c r="C105" s="89" t="s">
        <v>239</v>
      </c>
      <c r="D105" s="90">
        <v>45951</v>
      </c>
      <c r="E105" s="57" t="s">
        <v>38</v>
      </c>
      <c r="F105" s="86" t="s">
        <v>38</v>
      </c>
      <c r="G105" s="57" t="s">
        <v>38</v>
      </c>
      <c r="H105" s="57" t="s">
        <v>38</v>
      </c>
      <c r="I105" s="57" t="s">
        <v>38</v>
      </c>
      <c r="J105" s="57" t="s">
        <v>506</v>
      </c>
      <c r="K105" s="57" t="s">
        <v>37</v>
      </c>
      <c r="L105" s="57" t="s">
        <v>37</v>
      </c>
      <c r="M105" s="57" t="s">
        <v>37</v>
      </c>
      <c r="N105" s="57" t="s">
        <v>37</v>
      </c>
      <c r="O105" s="57" t="s">
        <v>37</v>
      </c>
      <c r="P105" s="57" t="s">
        <v>240</v>
      </c>
      <c r="Q105" s="57"/>
      <c r="R105" s="57" t="s">
        <v>37</v>
      </c>
      <c r="S105" s="57" t="s">
        <v>37</v>
      </c>
      <c r="T105" s="57" t="s">
        <v>37</v>
      </c>
      <c r="U105" s="57" t="s">
        <v>37</v>
      </c>
      <c r="V105" s="57" t="s">
        <v>107</v>
      </c>
      <c r="W105" s="57" t="s">
        <v>37</v>
      </c>
      <c r="X105" s="57"/>
      <c r="Y105" s="57" t="s">
        <v>107</v>
      </c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8">
        <v>10100403</v>
      </c>
      <c r="AK105" s="59">
        <v>12</v>
      </c>
      <c r="AL105" s="60">
        <f t="shared" si="59"/>
        <v>5</v>
      </c>
      <c r="AM105" s="61">
        <f t="shared" si="60"/>
        <v>10.25</v>
      </c>
      <c r="AN105" s="62">
        <f t="shared" si="82"/>
        <v>15.25</v>
      </c>
      <c r="AO105" s="62">
        <f t="shared" si="73"/>
        <v>2</v>
      </c>
      <c r="AP105" s="62">
        <f t="shared" si="74"/>
        <v>0</v>
      </c>
      <c r="AQ105" s="63">
        <f t="shared" si="75"/>
        <v>0.75</v>
      </c>
      <c r="AR105" s="62">
        <f t="shared" si="76"/>
        <v>0</v>
      </c>
      <c r="AS105" s="62">
        <f t="shared" si="77"/>
        <v>0</v>
      </c>
      <c r="AT105" s="64"/>
      <c r="AU105" s="64"/>
      <c r="AV105" s="65">
        <f t="shared" si="67"/>
        <v>12</v>
      </c>
      <c r="AW105" s="65">
        <f t="shared" si="68"/>
        <v>0</v>
      </c>
      <c r="AX105" s="64"/>
      <c r="AY105" s="64"/>
      <c r="AZ105" s="80"/>
      <c r="BA105" s="66">
        <f t="shared" si="69"/>
        <v>17.25</v>
      </c>
      <c r="BB105" s="67"/>
      <c r="BC105" s="68"/>
      <c r="BD105" s="69">
        <f>VLOOKUP($B105,[1]CN!$B$9:$DK$221,114,0)</f>
        <v>4</v>
      </c>
      <c r="BE105" s="70">
        <f t="shared" si="70"/>
        <v>27</v>
      </c>
      <c r="BF105" s="71" t="s">
        <v>39</v>
      </c>
      <c r="BG105" s="72" t="s">
        <v>34</v>
      </c>
      <c r="BH105" s="73" t="str">
        <f>VLOOKUP(B105,'[2]Bang luong_06'!$B$9:$C$333,2,0)</f>
        <v>Chau Thi</v>
      </c>
      <c r="BI105" s="74"/>
      <c r="BJ105" s="75" t="str">
        <f>VLOOKUP($B105,'[2]Bang luong_06'!$B$10:$C$333,2,0)</f>
        <v>Chau Thi</v>
      </c>
      <c r="BK105" s="76" t="b">
        <f t="shared" si="78"/>
        <v>1</v>
      </c>
      <c r="BM105" s="77" t="e">
        <f>+VLOOKUP(B105,'[2]Thưởng Lễ 2-9'!B79:G369,6,0)</f>
        <v>#N/A</v>
      </c>
      <c r="BN105" s="75">
        <f t="shared" si="79"/>
        <v>-14</v>
      </c>
      <c r="BO105" s="76" t="str">
        <f>+VLOOKUP(B105,'[2]Bang luong_06'!B90:D400,3,0)</f>
        <v>CNSX</v>
      </c>
      <c r="BP105" s="76" t="s">
        <v>40</v>
      </c>
      <c r="BQ105" s="76">
        <v>0</v>
      </c>
      <c r="BR105" s="76">
        <f t="shared" si="80"/>
        <v>5</v>
      </c>
    </row>
    <row r="106" spans="1:70" s="76" customFormat="1" ht="31.5" customHeight="1" x14ac:dyDescent="0.25">
      <c r="A106" s="33">
        <f t="shared" si="81"/>
        <v>89</v>
      </c>
      <c r="B106" s="88" t="s">
        <v>241</v>
      </c>
      <c r="C106" s="89" t="s">
        <v>242</v>
      </c>
      <c r="D106" s="90">
        <v>45953</v>
      </c>
      <c r="E106" s="57" t="s">
        <v>38</v>
      </c>
      <c r="F106" s="57" t="s">
        <v>38</v>
      </c>
      <c r="G106" s="57" t="s">
        <v>38</v>
      </c>
      <c r="H106" s="57" t="s">
        <v>38</v>
      </c>
      <c r="I106" s="57" t="s">
        <v>38</v>
      </c>
      <c r="J106" s="57" t="s">
        <v>506</v>
      </c>
      <c r="K106" s="57" t="s">
        <v>37</v>
      </c>
      <c r="L106" s="57" t="s">
        <v>37</v>
      </c>
      <c r="M106" s="57" t="s">
        <v>37</v>
      </c>
      <c r="N106" s="57" t="s">
        <v>37</v>
      </c>
      <c r="O106" s="57" t="s">
        <v>37</v>
      </c>
      <c r="P106" s="57" t="s">
        <v>37</v>
      </c>
      <c r="Q106" s="57" t="s">
        <v>507</v>
      </c>
      <c r="R106" s="57" t="s">
        <v>37</v>
      </c>
      <c r="S106" s="57" t="s">
        <v>37</v>
      </c>
      <c r="T106" s="57" t="s">
        <v>37</v>
      </c>
      <c r="U106" s="57" t="s">
        <v>37</v>
      </c>
      <c r="V106" s="57" t="s">
        <v>37</v>
      </c>
      <c r="W106" s="57" t="s">
        <v>37</v>
      </c>
      <c r="X106" s="57"/>
      <c r="Y106" s="57" t="s">
        <v>38</v>
      </c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8">
        <v>10100403</v>
      </c>
      <c r="AK106" s="59">
        <v>12</v>
      </c>
      <c r="AL106" s="60">
        <f t="shared" si="59"/>
        <v>6</v>
      </c>
      <c r="AM106" s="61">
        <f t="shared" si="60"/>
        <v>12</v>
      </c>
      <c r="AN106" s="62">
        <f t="shared" si="82"/>
        <v>18</v>
      </c>
      <c r="AO106" s="62">
        <f t="shared" si="73"/>
        <v>0</v>
      </c>
      <c r="AP106" s="62">
        <f t="shared" si="74"/>
        <v>0</v>
      </c>
      <c r="AQ106" s="63">
        <f t="shared" si="75"/>
        <v>0</v>
      </c>
      <c r="AR106" s="62">
        <f t="shared" si="76"/>
        <v>0</v>
      </c>
      <c r="AS106" s="62">
        <f t="shared" si="77"/>
        <v>0</v>
      </c>
      <c r="AT106" s="64"/>
      <c r="AU106" s="64"/>
      <c r="AV106" s="65">
        <f t="shared" si="67"/>
        <v>12</v>
      </c>
      <c r="AW106" s="65">
        <f t="shared" si="68"/>
        <v>12</v>
      </c>
      <c r="AX106" s="64"/>
      <c r="AY106" s="64"/>
      <c r="AZ106" s="80"/>
      <c r="BA106" s="66">
        <f t="shared" si="69"/>
        <v>18</v>
      </c>
      <c r="BB106" s="67"/>
      <c r="BC106" s="68"/>
      <c r="BD106" s="69">
        <f>VLOOKUP($B106,[1]CN!$B$9:$DK$221,114,0)</f>
        <v>2</v>
      </c>
      <c r="BE106" s="70">
        <f t="shared" si="70"/>
        <v>27</v>
      </c>
      <c r="BF106" s="71" t="s">
        <v>39</v>
      </c>
      <c r="BG106" s="72" t="s">
        <v>34</v>
      </c>
      <c r="BH106" s="73" t="str">
        <f>VLOOKUP(B106,'[2]Bang luong_06'!$B$9:$C$333,2,0)</f>
        <v>Phạm Phú Cường</v>
      </c>
      <c r="BI106" s="74"/>
      <c r="BJ106" s="75" t="str">
        <f>VLOOKUP($B106,'[2]Bang luong_06'!$B$10:$C$333,2,0)</f>
        <v>Phạm Phú Cường</v>
      </c>
      <c r="BK106" s="76" t="b">
        <f t="shared" si="78"/>
        <v>1</v>
      </c>
      <c r="BM106" s="77" t="e">
        <f>+VLOOKUP(B106,'[2]Thưởng Lễ 2-9'!B79:G369,6,0)</f>
        <v>#N/A</v>
      </c>
      <c r="BN106" s="75">
        <f t="shared" si="79"/>
        <v>-14</v>
      </c>
      <c r="BO106" s="76" t="str">
        <f>+VLOOKUP(B106,'[2]Bang luong_06'!B90:D400,3,0)</f>
        <v>Tổ trưởng</v>
      </c>
      <c r="BP106" s="76" t="s">
        <v>40</v>
      </c>
      <c r="BQ106" s="76">
        <v>0</v>
      </c>
      <c r="BR106" s="76">
        <f t="shared" si="80"/>
        <v>6</v>
      </c>
    </row>
    <row r="107" spans="1:70" s="76" customFormat="1" ht="31.5" customHeight="1" x14ac:dyDescent="0.25">
      <c r="A107" s="33">
        <f t="shared" si="81"/>
        <v>90</v>
      </c>
      <c r="B107" s="88" t="s">
        <v>243</v>
      </c>
      <c r="C107" s="89" t="s">
        <v>244</v>
      </c>
      <c r="D107" s="90">
        <v>45961</v>
      </c>
      <c r="E107" s="57" t="s">
        <v>38</v>
      </c>
      <c r="F107" s="57" t="s">
        <v>38</v>
      </c>
      <c r="G107" s="57" t="s">
        <v>38</v>
      </c>
      <c r="H107" s="57" t="s">
        <v>38</v>
      </c>
      <c r="I107" s="57" t="s">
        <v>38</v>
      </c>
      <c r="J107" s="57"/>
      <c r="K107" s="57" t="s">
        <v>37</v>
      </c>
      <c r="L107" s="57" t="s">
        <v>37</v>
      </c>
      <c r="M107" s="57" t="s">
        <v>37</v>
      </c>
      <c r="N107" s="57" t="s">
        <v>37</v>
      </c>
      <c r="O107" s="57" t="s">
        <v>37</v>
      </c>
      <c r="P107" s="57" t="s">
        <v>37</v>
      </c>
      <c r="Q107" s="57" t="s">
        <v>507</v>
      </c>
      <c r="R107" s="57" t="s">
        <v>107</v>
      </c>
      <c r="S107" s="57" t="s">
        <v>107</v>
      </c>
      <c r="T107" s="57" t="s">
        <v>107</v>
      </c>
      <c r="U107" s="57" t="s">
        <v>107</v>
      </c>
      <c r="V107" s="57" t="s">
        <v>515</v>
      </c>
      <c r="W107" s="57" t="s">
        <v>515</v>
      </c>
      <c r="X107" s="57"/>
      <c r="Y107" s="57" t="s">
        <v>38</v>
      </c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8">
        <v>10100403</v>
      </c>
      <c r="AK107" s="59">
        <v>12</v>
      </c>
      <c r="AL107" s="60">
        <f t="shared" si="59"/>
        <v>6</v>
      </c>
      <c r="AM107" s="61">
        <f t="shared" si="60"/>
        <v>6</v>
      </c>
      <c r="AN107" s="62">
        <f t="shared" si="82"/>
        <v>12</v>
      </c>
      <c r="AO107" s="62">
        <f t="shared" si="73"/>
        <v>4</v>
      </c>
      <c r="AP107" s="62">
        <f t="shared" si="74"/>
        <v>0</v>
      </c>
      <c r="AQ107" s="63">
        <f t="shared" si="75"/>
        <v>2</v>
      </c>
      <c r="AR107" s="62">
        <f t="shared" si="76"/>
        <v>0</v>
      </c>
      <c r="AS107" s="62">
        <f t="shared" si="77"/>
        <v>0</v>
      </c>
      <c r="AT107" s="64"/>
      <c r="AU107" s="64"/>
      <c r="AV107" s="65">
        <f t="shared" si="67"/>
        <v>0</v>
      </c>
      <c r="AW107" s="65">
        <f t="shared" si="68"/>
        <v>12</v>
      </c>
      <c r="AX107" s="64"/>
      <c r="AY107" s="64"/>
      <c r="AZ107" s="80"/>
      <c r="BA107" s="66">
        <f t="shared" si="69"/>
        <v>16</v>
      </c>
      <c r="BB107" s="67"/>
      <c r="BC107" s="68"/>
      <c r="BD107" s="69">
        <f>VLOOKUP($B107,[1]CN!$B$9:$DK$221,114,0)</f>
        <v>3</v>
      </c>
      <c r="BE107" s="70">
        <f t="shared" si="70"/>
        <v>27</v>
      </c>
      <c r="BF107" s="71" t="s">
        <v>39</v>
      </c>
      <c r="BG107" s="72" t="s">
        <v>34</v>
      </c>
      <c r="BH107" s="73" t="str">
        <f>VLOOKUP(B107,'[2]Bang luong_06'!$B$9:$C$333,2,0)</f>
        <v>Lê Minh Chiến</v>
      </c>
      <c r="BI107" s="74"/>
      <c r="BJ107" s="75" t="str">
        <f>VLOOKUP($B107,'[2]Bang luong_06'!$B$10:$C$333,2,0)</f>
        <v>Lê Minh Chiến</v>
      </c>
      <c r="BK107" s="76" t="b">
        <f t="shared" si="78"/>
        <v>1</v>
      </c>
      <c r="BM107" s="77" t="e">
        <f>+VLOOKUP(B107,'[2]Thưởng Lễ 2-9'!B77:G367,6,0)</f>
        <v>#N/A</v>
      </c>
      <c r="BN107" s="75">
        <f t="shared" si="79"/>
        <v>-14</v>
      </c>
      <c r="BO107" s="76" t="str">
        <f>+VLOOKUP(B107,'[2]Bang luong_06'!B88:D398,3,0)</f>
        <v>CNSX</v>
      </c>
      <c r="BP107" s="76" t="s">
        <v>40</v>
      </c>
      <c r="BQ107" s="76">
        <v>0</v>
      </c>
      <c r="BR107" s="76">
        <f t="shared" si="80"/>
        <v>6</v>
      </c>
    </row>
    <row r="108" spans="1:70" s="76" customFormat="1" ht="31.5" customHeight="1" x14ac:dyDescent="0.25">
      <c r="A108" s="33">
        <f t="shared" si="81"/>
        <v>91</v>
      </c>
      <c r="B108" s="88" t="s">
        <v>245</v>
      </c>
      <c r="C108" s="89" t="s">
        <v>246</v>
      </c>
      <c r="D108" s="90">
        <v>45987</v>
      </c>
      <c r="E108" s="86" t="s">
        <v>37</v>
      </c>
      <c r="F108" s="86" t="s">
        <v>37</v>
      </c>
      <c r="G108" s="57" t="s">
        <v>37</v>
      </c>
      <c r="H108" s="57" t="s">
        <v>37</v>
      </c>
      <c r="I108" s="57" t="s">
        <v>37</v>
      </c>
      <c r="J108" s="57"/>
      <c r="K108" s="57" t="s">
        <v>38</v>
      </c>
      <c r="L108" s="57" t="s">
        <v>38</v>
      </c>
      <c r="M108" s="57" t="s">
        <v>38</v>
      </c>
      <c r="N108" s="57" t="s">
        <v>38</v>
      </c>
      <c r="O108" s="57" t="s">
        <v>38</v>
      </c>
      <c r="P108" s="57" t="s">
        <v>38</v>
      </c>
      <c r="Q108" s="57" t="s">
        <v>506</v>
      </c>
      <c r="R108" s="57" t="s">
        <v>38</v>
      </c>
      <c r="S108" s="57" t="s">
        <v>38</v>
      </c>
      <c r="T108" s="57" t="s">
        <v>38</v>
      </c>
      <c r="U108" s="57" t="s">
        <v>38</v>
      </c>
      <c r="V108" s="57" t="s">
        <v>38</v>
      </c>
      <c r="W108" s="57" t="s">
        <v>38</v>
      </c>
      <c r="X108" s="57" t="s">
        <v>506</v>
      </c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8">
        <v>10100403</v>
      </c>
      <c r="AK108" s="59">
        <v>12</v>
      </c>
      <c r="AL108" s="60">
        <f t="shared" si="59"/>
        <v>12</v>
      </c>
      <c r="AM108" s="61">
        <f t="shared" si="60"/>
        <v>5</v>
      </c>
      <c r="AN108" s="62">
        <f t="shared" si="82"/>
        <v>17</v>
      </c>
      <c r="AO108" s="62">
        <f t="shared" si="73"/>
        <v>0</v>
      </c>
      <c r="AP108" s="62">
        <f t="shared" si="74"/>
        <v>0</v>
      </c>
      <c r="AQ108" s="63">
        <f t="shared" si="75"/>
        <v>0</v>
      </c>
      <c r="AR108" s="62">
        <f t="shared" si="76"/>
        <v>0</v>
      </c>
      <c r="AS108" s="62">
        <f t="shared" si="77"/>
        <v>0</v>
      </c>
      <c r="AT108" s="64"/>
      <c r="AU108" s="64"/>
      <c r="AV108" s="65">
        <f t="shared" si="67"/>
        <v>24</v>
      </c>
      <c r="AW108" s="65">
        <f t="shared" si="68"/>
        <v>0</v>
      </c>
      <c r="AX108" s="64"/>
      <c r="AY108" s="64"/>
      <c r="AZ108" s="80"/>
      <c r="BA108" s="66">
        <f t="shared" si="69"/>
        <v>17</v>
      </c>
      <c r="BB108" s="67"/>
      <c r="BC108" s="68"/>
      <c r="BD108" s="69">
        <f>VLOOKUP($B108,[1]CN!$B$9:$DK$221,114,0)</f>
        <v>3</v>
      </c>
      <c r="BE108" s="70">
        <f t="shared" si="70"/>
        <v>27</v>
      </c>
      <c r="BF108" s="71" t="s">
        <v>39</v>
      </c>
      <c r="BG108" s="72" t="s">
        <v>34</v>
      </c>
      <c r="BH108" s="73" t="str">
        <f>VLOOKUP(B108,'[2]Bang luong_06'!$B$9:$C$333,2,0)</f>
        <v>Sơn Thanh Dũng</v>
      </c>
      <c r="BI108" s="74"/>
      <c r="BJ108" s="75" t="str">
        <f>VLOOKUP($B108,'[2]Bang luong_06'!$B$10:$C$333,2,0)</f>
        <v>Sơn Thanh Dũng</v>
      </c>
      <c r="BK108" s="76" t="b">
        <f t="shared" si="78"/>
        <v>1</v>
      </c>
      <c r="BM108" s="77" t="e">
        <f>+VLOOKUP(B108,'[2]Thưởng Lễ 2-9'!B79:G369,6,0)</f>
        <v>#N/A</v>
      </c>
      <c r="BN108" s="75">
        <f t="shared" si="79"/>
        <v>-15</v>
      </c>
      <c r="BO108" s="76" t="str">
        <f>+VLOOKUP(B108,'[2]Bang luong_06'!B90:D400,3,0)</f>
        <v>CNSX</v>
      </c>
      <c r="BP108" s="76" t="s">
        <v>40</v>
      </c>
      <c r="BQ108" s="76">
        <v>0</v>
      </c>
      <c r="BR108" s="76">
        <f t="shared" si="80"/>
        <v>12</v>
      </c>
    </row>
    <row r="109" spans="1:70" s="76" customFormat="1" ht="31.5" customHeight="1" x14ac:dyDescent="0.25">
      <c r="A109" s="33">
        <f t="shared" si="81"/>
        <v>92</v>
      </c>
      <c r="B109" s="88" t="s">
        <v>247</v>
      </c>
      <c r="C109" s="89" t="s">
        <v>248</v>
      </c>
      <c r="D109" s="90">
        <v>45996</v>
      </c>
      <c r="E109" s="57" t="s">
        <v>38</v>
      </c>
      <c r="F109" s="86" t="s">
        <v>38</v>
      </c>
      <c r="G109" s="57" t="s">
        <v>38</v>
      </c>
      <c r="H109" s="57" t="s">
        <v>38</v>
      </c>
      <c r="I109" s="57" t="s">
        <v>38</v>
      </c>
      <c r="J109" s="57" t="s">
        <v>506</v>
      </c>
      <c r="K109" s="57" t="s">
        <v>37</v>
      </c>
      <c r="L109" s="57" t="s">
        <v>37</v>
      </c>
      <c r="M109" s="57" t="s">
        <v>37</v>
      </c>
      <c r="N109" s="57" t="s">
        <v>37</v>
      </c>
      <c r="O109" s="57" t="s">
        <v>37</v>
      </c>
      <c r="P109" s="57" t="s">
        <v>37</v>
      </c>
      <c r="Q109" s="57" t="s">
        <v>507</v>
      </c>
      <c r="R109" s="57" t="s">
        <v>37</v>
      </c>
      <c r="S109" s="57" t="s">
        <v>37</v>
      </c>
      <c r="T109" s="57" t="s">
        <v>37</v>
      </c>
      <c r="U109" s="57" t="s">
        <v>37</v>
      </c>
      <c r="V109" s="57" t="s">
        <v>37</v>
      </c>
      <c r="W109" s="57" t="s">
        <v>37</v>
      </c>
      <c r="X109" s="57"/>
      <c r="Y109" s="57" t="s">
        <v>38</v>
      </c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8">
        <v>10100403</v>
      </c>
      <c r="AK109" s="59">
        <v>12</v>
      </c>
      <c r="AL109" s="60">
        <f t="shared" si="59"/>
        <v>6</v>
      </c>
      <c r="AM109" s="61">
        <f t="shared" si="60"/>
        <v>12</v>
      </c>
      <c r="AN109" s="62">
        <f t="shared" si="82"/>
        <v>18</v>
      </c>
      <c r="AO109" s="62">
        <f t="shared" si="73"/>
        <v>0</v>
      </c>
      <c r="AP109" s="62">
        <f t="shared" si="74"/>
        <v>0</v>
      </c>
      <c r="AQ109" s="63">
        <f t="shared" si="75"/>
        <v>0</v>
      </c>
      <c r="AR109" s="62">
        <f t="shared" si="76"/>
        <v>0</v>
      </c>
      <c r="AS109" s="62">
        <f t="shared" si="77"/>
        <v>0</v>
      </c>
      <c r="AT109" s="64"/>
      <c r="AU109" s="64"/>
      <c r="AV109" s="65">
        <f t="shared" si="67"/>
        <v>12</v>
      </c>
      <c r="AW109" s="65">
        <f t="shared" si="68"/>
        <v>12</v>
      </c>
      <c r="AX109" s="64"/>
      <c r="AY109" s="64"/>
      <c r="AZ109" s="80"/>
      <c r="BA109" s="66">
        <f t="shared" si="69"/>
        <v>18</v>
      </c>
      <c r="BB109" s="67"/>
      <c r="BC109" s="68"/>
      <c r="BD109" s="69">
        <f>VLOOKUP($B109,[1]CN!$B$9:$DK$221,114,0)</f>
        <v>3</v>
      </c>
      <c r="BE109" s="70">
        <f t="shared" si="70"/>
        <v>27</v>
      </c>
      <c r="BF109" s="71" t="s">
        <v>39</v>
      </c>
      <c r="BG109" s="72" t="s">
        <v>34</v>
      </c>
      <c r="BH109" s="73" t="str">
        <f>VLOOKUP(B109,'[2]Bang luong_06'!$B$9:$C$333,2,0)</f>
        <v>Trần Thị Ràng</v>
      </c>
      <c r="BI109" s="74"/>
      <c r="BJ109" s="75" t="str">
        <f>VLOOKUP($B109,'[2]Bang luong_06'!$B$10:$C$333,2,0)</f>
        <v>Trần Thị Ràng</v>
      </c>
      <c r="BK109" s="76" t="b">
        <f t="shared" si="78"/>
        <v>1</v>
      </c>
      <c r="BM109" s="77" t="e">
        <f>+VLOOKUP(B109,'[2]Thưởng Lễ 2-9'!B79:G369,6,0)</f>
        <v>#N/A</v>
      </c>
      <c r="BN109" s="75">
        <f t="shared" si="79"/>
        <v>-15</v>
      </c>
      <c r="BO109" s="76" t="str">
        <f>+VLOOKUP(B109,'[2]Bang luong_06'!B90:D400,3,0)</f>
        <v>CNSX</v>
      </c>
      <c r="BP109" s="76" t="s">
        <v>40</v>
      </c>
      <c r="BQ109" s="76">
        <v>0</v>
      </c>
      <c r="BR109" s="76">
        <f t="shared" si="80"/>
        <v>6</v>
      </c>
    </row>
    <row r="110" spans="1:70" s="76" customFormat="1" ht="31.5" customHeight="1" x14ac:dyDescent="0.25">
      <c r="A110" s="33">
        <f t="shared" si="81"/>
        <v>93</v>
      </c>
      <c r="B110" s="88" t="s">
        <v>249</v>
      </c>
      <c r="C110" s="89" t="s">
        <v>250</v>
      </c>
      <c r="D110" s="90">
        <v>46002</v>
      </c>
      <c r="E110" s="57" t="s">
        <v>38</v>
      </c>
      <c r="F110" s="57" t="s">
        <v>38</v>
      </c>
      <c r="G110" s="57" t="s">
        <v>38</v>
      </c>
      <c r="H110" s="57" t="s">
        <v>38</v>
      </c>
      <c r="I110" s="57" t="s">
        <v>38</v>
      </c>
      <c r="J110" s="57"/>
      <c r="K110" s="57" t="s">
        <v>37</v>
      </c>
      <c r="L110" s="57" t="s">
        <v>37</v>
      </c>
      <c r="M110" s="57" t="s">
        <v>37</v>
      </c>
      <c r="N110" s="57" t="s">
        <v>37</v>
      </c>
      <c r="O110" s="57" t="s">
        <v>37</v>
      </c>
      <c r="P110" s="57" t="s">
        <v>37</v>
      </c>
      <c r="Q110" s="57" t="s">
        <v>507</v>
      </c>
      <c r="R110" s="57" t="s">
        <v>107</v>
      </c>
      <c r="S110" s="57" t="s">
        <v>107</v>
      </c>
      <c r="T110" s="57" t="s">
        <v>37</v>
      </c>
      <c r="U110" s="57" t="s">
        <v>37</v>
      </c>
      <c r="V110" s="57" t="s">
        <v>37</v>
      </c>
      <c r="W110" s="57" t="s">
        <v>37</v>
      </c>
      <c r="X110" s="57"/>
      <c r="Y110" s="57" t="s">
        <v>38</v>
      </c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8">
        <v>10100403</v>
      </c>
      <c r="AK110" s="59">
        <v>12</v>
      </c>
      <c r="AL110" s="60">
        <f t="shared" si="59"/>
        <v>6</v>
      </c>
      <c r="AM110" s="61">
        <f t="shared" si="60"/>
        <v>10</v>
      </c>
      <c r="AN110" s="62">
        <f t="shared" si="82"/>
        <v>16</v>
      </c>
      <c r="AO110" s="62">
        <f t="shared" si="73"/>
        <v>2</v>
      </c>
      <c r="AP110" s="62">
        <f t="shared" si="74"/>
        <v>0</v>
      </c>
      <c r="AQ110" s="63">
        <f t="shared" si="75"/>
        <v>0</v>
      </c>
      <c r="AR110" s="62">
        <f t="shared" si="76"/>
        <v>0</v>
      </c>
      <c r="AS110" s="62">
        <f t="shared" si="77"/>
        <v>0</v>
      </c>
      <c r="AT110" s="64"/>
      <c r="AU110" s="64"/>
      <c r="AV110" s="65">
        <f t="shared" si="67"/>
        <v>0</v>
      </c>
      <c r="AW110" s="65">
        <f t="shared" si="68"/>
        <v>12</v>
      </c>
      <c r="AX110" s="64"/>
      <c r="AY110" s="64"/>
      <c r="AZ110" s="80"/>
      <c r="BA110" s="66">
        <f t="shared" si="69"/>
        <v>18</v>
      </c>
      <c r="BB110" s="67"/>
      <c r="BC110" s="68"/>
      <c r="BD110" s="69">
        <f>VLOOKUP($B110,[1]CN!$B$9:$DK$221,114,0)</f>
        <v>3</v>
      </c>
      <c r="BE110" s="70">
        <f t="shared" si="70"/>
        <v>27</v>
      </c>
      <c r="BF110" s="71" t="s">
        <v>39</v>
      </c>
      <c r="BG110" s="72" t="s">
        <v>34</v>
      </c>
      <c r="BH110" s="73" t="str">
        <f>VLOOKUP(B110,'[2]Bang luong_06'!$B$9:$C$333,2,0)</f>
        <v>Trần Ngọc Thắng</v>
      </c>
      <c r="BI110" s="74"/>
      <c r="BJ110" s="75" t="str">
        <f>VLOOKUP($B110,'[2]Bang luong_06'!$B$10:$C$333,2,0)</f>
        <v>Trần Ngọc Thắng</v>
      </c>
      <c r="BK110" s="76" t="b">
        <f t="shared" si="78"/>
        <v>1</v>
      </c>
      <c r="BM110" s="77" t="e">
        <f>+VLOOKUP(B110,'[2]Thưởng Lễ 2-9'!B77:G367,6,0)</f>
        <v>#N/A</v>
      </c>
      <c r="BN110" s="75">
        <f t="shared" si="79"/>
        <v>-16</v>
      </c>
      <c r="BO110" s="76" t="str">
        <f>+VLOOKUP(B110,'[2]Bang luong_06'!B88:D398,3,0)</f>
        <v>CNSX</v>
      </c>
      <c r="BP110" s="76" t="s">
        <v>40</v>
      </c>
      <c r="BQ110" s="76">
        <v>0</v>
      </c>
      <c r="BR110" s="76">
        <f t="shared" si="80"/>
        <v>6</v>
      </c>
    </row>
    <row r="111" spans="1:70" s="76" customFormat="1" ht="31.5" customHeight="1" x14ac:dyDescent="0.25">
      <c r="A111" s="33">
        <f t="shared" si="81"/>
        <v>94</v>
      </c>
      <c r="B111" s="88" t="s">
        <v>251</v>
      </c>
      <c r="C111" s="89" t="s">
        <v>252</v>
      </c>
      <c r="D111" s="90">
        <v>46077</v>
      </c>
      <c r="E111" s="57" t="s">
        <v>38</v>
      </c>
      <c r="F111" s="57" t="s">
        <v>38</v>
      </c>
      <c r="G111" s="57" t="s">
        <v>38</v>
      </c>
      <c r="H111" s="57" t="s">
        <v>38</v>
      </c>
      <c r="I111" s="57" t="s">
        <v>38</v>
      </c>
      <c r="J111" s="57" t="s">
        <v>506</v>
      </c>
      <c r="K111" s="57" t="s">
        <v>37</v>
      </c>
      <c r="L111" s="57" t="s">
        <v>37</v>
      </c>
      <c r="M111" s="57" t="s">
        <v>37</v>
      </c>
      <c r="N111" s="57" t="s">
        <v>37</v>
      </c>
      <c r="O111" s="57" t="s">
        <v>37</v>
      </c>
      <c r="P111" s="57" t="s">
        <v>213</v>
      </c>
      <c r="Q111" s="57" t="s">
        <v>507</v>
      </c>
      <c r="R111" s="57" t="s">
        <v>37</v>
      </c>
      <c r="S111" s="57" t="s">
        <v>37</v>
      </c>
      <c r="T111" s="57" t="s">
        <v>37</v>
      </c>
      <c r="U111" s="57" t="s">
        <v>37</v>
      </c>
      <c r="V111" s="57" t="s">
        <v>37</v>
      </c>
      <c r="W111" s="57" t="s">
        <v>37</v>
      </c>
      <c r="X111" s="57"/>
      <c r="Y111" s="57" t="s">
        <v>38</v>
      </c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8">
        <v>10100403</v>
      </c>
      <c r="AK111" s="59">
        <v>12</v>
      </c>
      <c r="AL111" s="60">
        <f t="shared" si="59"/>
        <v>6</v>
      </c>
      <c r="AM111" s="61">
        <f t="shared" si="60"/>
        <v>11</v>
      </c>
      <c r="AN111" s="62">
        <f t="shared" si="82"/>
        <v>17</v>
      </c>
      <c r="AO111" s="62">
        <f t="shared" si="73"/>
        <v>0</v>
      </c>
      <c r="AP111" s="62">
        <f t="shared" si="74"/>
        <v>0</v>
      </c>
      <c r="AQ111" s="63">
        <f t="shared" si="75"/>
        <v>1</v>
      </c>
      <c r="AR111" s="62">
        <f t="shared" si="76"/>
        <v>0</v>
      </c>
      <c r="AS111" s="62">
        <f t="shared" si="77"/>
        <v>0</v>
      </c>
      <c r="AT111" s="64"/>
      <c r="AU111" s="64"/>
      <c r="AV111" s="65">
        <f t="shared" si="67"/>
        <v>12</v>
      </c>
      <c r="AW111" s="65">
        <f t="shared" si="68"/>
        <v>12</v>
      </c>
      <c r="AX111" s="64"/>
      <c r="AY111" s="64"/>
      <c r="AZ111" s="80"/>
      <c r="BA111" s="66">
        <f t="shared" si="69"/>
        <v>17</v>
      </c>
      <c r="BB111" s="67"/>
      <c r="BC111" s="68"/>
      <c r="BD111" s="69">
        <f>VLOOKUP($B111,[1]CN!$B$9:$DK$221,114,0)</f>
        <v>2</v>
      </c>
      <c r="BE111" s="70">
        <f t="shared" si="70"/>
        <v>27</v>
      </c>
      <c r="BF111" s="71" t="s">
        <v>39</v>
      </c>
      <c r="BG111" s="72" t="s">
        <v>34</v>
      </c>
      <c r="BH111" s="73" t="str">
        <f>VLOOKUP(B111,'[2]Bang luong_06'!$B$9:$C$333,2,0)</f>
        <v>Hồ Thanh Tuấn</v>
      </c>
      <c r="BI111" s="74"/>
      <c r="BJ111" s="75" t="str">
        <f>VLOOKUP($B111,'[2]Bang luong_06'!$B$10:$C$333,2,0)</f>
        <v>Hồ Thanh Tuấn</v>
      </c>
      <c r="BK111" s="76" t="b">
        <f t="shared" si="78"/>
        <v>1</v>
      </c>
      <c r="BM111" s="77" t="e">
        <f>+VLOOKUP(B111,'[2]Thưởng Lễ 2-9'!B63:G353,6,0)</f>
        <v>#N/A</v>
      </c>
      <c r="BN111" s="75">
        <f t="shared" si="79"/>
        <v>-18</v>
      </c>
      <c r="BO111" s="76" t="str">
        <f>+VLOOKUP(B111,'[2]Bang luong_06'!B73:D384,3,0)</f>
        <v>CNSX</v>
      </c>
      <c r="BP111" s="76" t="s">
        <v>40</v>
      </c>
      <c r="BQ111" s="76">
        <v>0</v>
      </c>
      <c r="BR111" s="76">
        <f t="shared" si="80"/>
        <v>6</v>
      </c>
    </row>
    <row r="112" spans="1:70" s="76" customFormat="1" ht="31.5" customHeight="1" x14ac:dyDescent="0.25">
      <c r="A112" s="33">
        <f t="shared" si="81"/>
        <v>95</v>
      </c>
      <c r="B112" s="88" t="s">
        <v>253</v>
      </c>
      <c r="C112" s="89" t="s">
        <v>254</v>
      </c>
      <c r="D112" s="90">
        <v>46079</v>
      </c>
      <c r="E112" s="57" t="s">
        <v>38</v>
      </c>
      <c r="F112" s="57" t="s">
        <v>38</v>
      </c>
      <c r="G112" s="57" t="s">
        <v>38</v>
      </c>
      <c r="H112" s="57" t="s">
        <v>38</v>
      </c>
      <c r="I112" s="57" t="s">
        <v>38</v>
      </c>
      <c r="J112" s="57"/>
      <c r="K112" s="57" t="s">
        <v>37</v>
      </c>
      <c r="L112" s="57" t="s">
        <v>37</v>
      </c>
      <c r="M112" s="57" t="s">
        <v>37</v>
      </c>
      <c r="N112" s="57" t="s">
        <v>37</v>
      </c>
      <c r="O112" s="57" t="s">
        <v>37</v>
      </c>
      <c r="P112" s="57" t="s">
        <v>37</v>
      </c>
      <c r="Q112" s="57" t="s">
        <v>514</v>
      </c>
      <c r="R112" s="57" t="s">
        <v>37</v>
      </c>
      <c r="S112" s="57" t="s">
        <v>37</v>
      </c>
      <c r="T112" s="57" t="s">
        <v>37</v>
      </c>
      <c r="U112" s="57" t="s">
        <v>37</v>
      </c>
      <c r="V112" s="57" t="s">
        <v>37</v>
      </c>
      <c r="W112" s="57" t="s">
        <v>37</v>
      </c>
      <c r="X112" s="57"/>
      <c r="Y112" s="57" t="s">
        <v>38</v>
      </c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8">
        <v>10100403</v>
      </c>
      <c r="AK112" s="59">
        <v>12</v>
      </c>
      <c r="AL112" s="60">
        <f t="shared" si="59"/>
        <v>6</v>
      </c>
      <c r="AM112" s="61">
        <f t="shared" si="60"/>
        <v>12</v>
      </c>
      <c r="AN112" s="62">
        <f t="shared" si="82"/>
        <v>18</v>
      </c>
      <c r="AO112" s="62">
        <f t="shared" si="73"/>
        <v>0</v>
      </c>
      <c r="AP112" s="62">
        <f t="shared" si="74"/>
        <v>0</v>
      </c>
      <c r="AQ112" s="63">
        <f t="shared" si="75"/>
        <v>0</v>
      </c>
      <c r="AR112" s="62">
        <f t="shared" si="76"/>
        <v>0</v>
      </c>
      <c r="AS112" s="62">
        <f t="shared" si="77"/>
        <v>0</v>
      </c>
      <c r="AT112" s="64"/>
      <c r="AU112" s="64"/>
      <c r="AV112" s="65">
        <f t="shared" si="67"/>
        <v>0</v>
      </c>
      <c r="AW112" s="65">
        <f t="shared" si="68"/>
        <v>0</v>
      </c>
      <c r="AX112" s="64"/>
      <c r="AY112" s="64"/>
      <c r="AZ112" s="80"/>
      <c r="BA112" s="66">
        <f t="shared" si="69"/>
        <v>18</v>
      </c>
      <c r="BB112" s="67"/>
      <c r="BC112" s="68"/>
      <c r="BD112" s="69">
        <f>VLOOKUP($B112,[1]CN!$B$9:$DK$221,114,0)</f>
        <v>2</v>
      </c>
      <c r="BE112" s="70">
        <f t="shared" si="70"/>
        <v>27</v>
      </c>
      <c r="BF112" s="71" t="s">
        <v>39</v>
      </c>
      <c r="BG112" s="72" t="s">
        <v>34</v>
      </c>
      <c r="BH112" s="73" t="str">
        <f>VLOOKUP(B112,'[2]Bang luong_06'!$B$9:$C$333,2,0)</f>
        <v>Phan Minh Trung</v>
      </c>
      <c r="BI112" s="74"/>
      <c r="BJ112" s="75" t="str">
        <f>VLOOKUP($B112,'[2]Bang luong_06'!$B$10:$C$333,2,0)</f>
        <v>Phan Minh Trung</v>
      </c>
      <c r="BK112" s="76" t="b">
        <f t="shared" si="78"/>
        <v>1</v>
      </c>
      <c r="BM112" s="77" t="e">
        <f>+VLOOKUP(B112,'[2]Thưởng Lễ 2-9'!B64:G354,6,0)</f>
        <v>#N/A</v>
      </c>
      <c r="BN112" s="75">
        <f t="shared" si="79"/>
        <v>-18</v>
      </c>
      <c r="BO112" s="76" t="str">
        <f>+VLOOKUP(B112,'[2]Bang luong_06'!B74:D385,3,0)</f>
        <v>CNSX</v>
      </c>
      <c r="BP112" s="76" t="s">
        <v>40</v>
      </c>
      <c r="BQ112" s="76">
        <v>0</v>
      </c>
      <c r="BR112" s="76">
        <f t="shared" si="80"/>
        <v>6</v>
      </c>
    </row>
    <row r="113" spans="1:70" s="76" customFormat="1" ht="31.5" customHeight="1" x14ac:dyDescent="0.25">
      <c r="A113" s="33">
        <f t="shared" si="81"/>
        <v>96</v>
      </c>
      <c r="B113" s="88" t="s">
        <v>255</v>
      </c>
      <c r="C113" s="89" t="s">
        <v>256</v>
      </c>
      <c r="D113" s="90">
        <v>46080</v>
      </c>
      <c r="E113" s="57" t="s">
        <v>38</v>
      </c>
      <c r="F113" s="57" t="s">
        <v>38</v>
      </c>
      <c r="G113" s="57" t="s">
        <v>38</v>
      </c>
      <c r="H113" s="57" t="s">
        <v>38</v>
      </c>
      <c r="I113" s="57" t="s">
        <v>38</v>
      </c>
      <c r="J113" s="57" t="s">
        <v>506</v>
      </c>
      <c r="K113" s="57" t="s">
        <v>37</v>
      </c>
      <c r="L113" s="57" t="s">
        <v>37</v>
      </c>
      <c r="M113" s="57" t="s">
        <v>37</v>
      </c>
      <c r="N113" s="57" t="s">
        <v>37</v>
      </c>
      <c r="O113" s="57" t="s">
        <v>37</v>
      </c>
      <c r="P113" s="57" t="s">
        <v>37</v>
      </c>
      <c r="Q113" s="57"/>
      <c r="R113" s="57" t="s">
        <v>37</v>
      </c>
      <c r="S113" s="57" t="s">
        <v>37</v>
      </c>
      <c r="T113" s="57" t="s">
        <v>37</v>
      </c>
      <c r="U113" s="57" t="s">
        <v>37</v>
      </c>
      <c r="V113" s="57" t="s">
        <v>37</v>
      </c>
      <c r="W113" s="57" t="s">
        <v>37</v>
      </c>
      <c r="X113" s="57"/>
      <c r="Y113" s="57" t="s">
        <v>38</v>
      </c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8">
        <v>10100403</v>
      </c>
      <c r="AK113" s="59">
        <v>12</v>
      </c>
      <c r="AL113" s="60">
        <f t="shared" si="59"/>
        <v>6</v>
      </c>
      <c r="AM113" s="61">
        <f t="shared" si="60"/>
        <v>12</v>
      </c>
      <c r="AN113" s="62">
        <f t="shared" si="82"/>
        <v>18</v>
      </c>
      <c r="AO113" s="62">
        <f t="shared" si="73"/>
        <v>0</v>
      </c>
      <c r="AP113" s="62">
        <f t="shared" si="74"/>
        <v>0</v>
      </c>
      <c r="AQ113" s="63">
        <f t="shared" si="75"/>
        <v>0</v>
      </c>
      <c r="AR113" s="62">
        <f t="shared" si="76"/>
        <v>0</v>
      </c>
      <c r="AS113" s="62">
        <f t="shared" si="77"/>
        <v>0</v>
      </c>
      <c r="AT113" s="64"/>
      <c r="AU113" s="64"/>
      <c r="AV113" s="65">
        <f t="shared" si="67"/>
        <v>12</v>
      </c>
      <c r="AW113" s="65">
        <f t="shared" si="68"/>
        <v>0</v>
      </c>
      <c r="AX113" s="64"/>
      <c r="AY113" s="64"/>
      <c r="AZ113" s="80"/>
      <c r="BA113" s="66">
        <f t="shared" si="69"/>
        <v>18</v>
      </c>
      <c r="BB113" s="67"/>
      <c r="BC113" s="68"/>
      <c r="BD113" s="69">
        <f>VLOOKUP($B113,[1]CN!$B$9:$DK$221,114,0)</f>
        <v>1</v>
      </c>
      <c r="BE113" s="70">
        <f t="shared" si="70"/>
        <v>27</v>
      </c>
      <c r="BF113" s="71" t="s">
        <v>39</v>
      </c>
      <c r="BG113" s="72" t="s">
        <v>34</v>
      </c>
      <c r="BH113" s="73" t="str">
        <f>VLOOKUP(B113,'[2]Bang luong_06'!$B$9:$C$333,2,0)</f>
        <v>Mã Quốc Huy</v>
      </c>
      <c r="BI113" s="74"/>
      <c r="BJ113" s="75" t="str">
        <f>VLOOKUP($B113,'[2]Bang luong_06'!$B$10:$C$333,2,0)</f>
        <v>Mã Quốc Huy</v>
      </c>
      <c r="BK113" s="76" t="b">
        <f t="shared" si="78"/>
        <v>1</v>
      </c>
      <c r="BM113" s="77" t="e">
        <f>+VLOOKUP(B113,'[2]Thưởng Lễ 2-9'!B69:G359,6,0)</f>
        <v>#N/A</v>
      </c>
      <c r="BN113" s="75">
        <f t="shared" si="79"/>
        <v>-18</v>
      </c>
      <c r="BO113" s="76" t="str">
        <f>+VLOOKUP(B113,'[2]Bang luong_06'!B79:D390,3,0)</f>
        <v>CNSX</v>
      </c>
      <c r="BP113" s="76" t="s">
        <v>40</v>
      </c>
      <c r="BQ113" s="76">
        <v>0</v>
      </c>
      <c r="BR113" s="76">
        <f t="shared" si="80"/>
        <v>6</v>
      </c>
    </row>
    <row r="114" spans="1:70" s="76" customFormat="1" ht="31.5" customHeight="1" x14ac:dyDescent="0.25">
      <c r="A114" s="33">
        <f t="shared" si="81"/>
        <v>97</v>
      </c>
      <c r="B114" s="88" t="s">
        <v>257</v>
      </c>
      <c r="C114" s="89" t="s">
        <v>258</v>
      </c>
      <c r="D114" s="90">
        <v>46080</v>
      </c>
      <c r="E114" s="57" t="s">
        <v>38</v>
      </c>
      <c r="F114" s="57" t="s">
        <v>38</v>
      </c>
      <c r="G114" s="57" t="s">
        <v>38</v>
      </c>
      <c r="H114" s="57" t="s">
        <v>38</v>
      </c>
      <c r="I114" s="57" t="s">
        <v>38</v>
      </c>
      <c r="J114" s="57"/>
      <c r="K114" s="57" t="s">
        <v>37</v>
      </c>
      <c r="L114" s="57" t="s">
        <v>37</v>
      </c>
      <c r="M114" s="57" t="s">
        <v>37</v>
      </c>
      <c r="N114" s="57" t="s">
        <v>37</v>
      </c>
      <c r="O114" s="57" t="s">
        <v>37</v>
      </c>
      <c r="P114" s="57" t="s">
        <v>37</v>
      </c>
      <c r="Q114" s="57" t="s">
        <v>507</v>
      </c>
      <c r="R114" s="57" t="s">
        <v>37</v>
      </c>
      <c r="S114" s="57" t="s">
        <v>37</v>
      </c>
      <c r="T114" s="57" t="s">
        <v>37</v>
      </c>
      <c r="U114" s="57" t="s">
        <v>37</v>
      </c>
      <c r="V114" s="57" t="s">
        <v>37</v>
      </c>
      <c r="W114" s="57" t="s">
        <v>107</v>
      </c>
      <c r="X114" s="57"/>
      <c r="Y114" s="57" t="s">
        <v>38</v>
      </c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8">
        <v>10100403</v>
      </c>
      <c r="AK114" s="59">
        <v>12</v>
      </c>
      <c r="AL114" s="60">
        <f t="shared" ref="AL114:AL127" si="83">COUNTIF(D114:AI114,"N")+COUNTIF(D114:AI114,"N1")*1/AK114+COUNTIF(D114:AI114,"N2")*2/AK114+COUNTIF(D114:AI114,"N3")*3/AK114+COUNTIF(D114:AI114,"N4")*4/AK114+COUNTIF(D114:AI114,"N5")*5/AK114+COUNTIF(D114:AI114,"N6")*6/AK114+COUNTIF(D114:AI114,"N7")*7/AK114+COUNTIF(D114:AI114,"N8")*8/AK114+COUNTIF(D114:AI114,"N9")*9/AK114+COUNTIF(D114:AI114,"N10")*10/AK114+COUNTIF(D114:AI114,"N11")*11/AK114+COUNTIF(D114:AI114,"N12")*12/AK114+COUNTIF(D114:AI114,"Ro1")*1/AK114+COUNTIF(D114:AI114,"Ro2")*2/AK114+COUNTIF(D114:AI114,"Ro3")*3/AK114+COUNTIF(D114:AI114,"Ro3.0")*3/AK114+COUNTIF(D114:AI114,"Ro4")*4/AK114+COUNTIF(D114:AI114,"Ro4.0")*4/AK114+COUNTIF(D114:AI114,"Ro4.5")*4.5/AK114+COUNTIF(D114:AI114,"Ro5")*5/AK114+COUNTIF(D114:AI114,"Ro5.0")*5/AK114+COUNTIF(D114:AI114,"Ro5.5")*5.5/AK114+COUNTIF(D114:AI114,"Ro6")*6/AK114+COUNTIF(D114:AI114,"Ro7")*7/AK114+COUNTIF(D114:AI114,"Ro8")*8/AK114+COUNTIF(D114:AI114,"Ro8.0")*8/AK114+COUNTIF(D114:AI114,"Ro8.3")*8.3/AK114+COUNTIF(D114:AI114,"Ro8.5")*8.5/AK114+COUNTIF(D114:AI114,"Ro9")*9/AK114+COUNTIF(D114:AI114,"Ro9.5")*9.5/AK114+COUNTIF(D114:AI114,"Ro10")*10/AK114+COUNTIF(D114:AI114,"Ro10.0")*10/AK114+COUNTIF(D114:AI114,"Ro10.5")*10.5/AK114+COUNTIF(D114:AI114,"Ro11")*11/AK114+COUNTIF(D114:AI114,"Ro11.0")*11/AK114+COUNTIF(D114:AI114,"Ro11.5")*11.5/AK114+COUNTIF(D114:AI114,"Bu1")+COUNTIF(D114:AI114,"Bu2")+COUNTIF(D114:AI114,"Bu3")+COUNTIF(D114:AI114,"Bu4")+COUNTIF(D114:AI114,"Bu5")+COUNTIF(D114:AI114,"Bu6")+COUNTIF(D114:AI114,"Bu7")+COUNTIF(D114:AI114,"Bu8")+COUNTIF(D114:AI114,"Bu9")+COUNTIF(D114:AI114,"Bu10")+COUNTIF(D114:AI114,"Bu11")+COUNTIF(D114:AI114,"Bu")+COUNTIF(D114:AI114,"P2")*0.5</f>
        <v>6</v>
      </c>
      <c r="AM114" s="61">
        <f t="shared" ref="AM114:AM127" si="84">COUNTIF(E114:AI114,"D")+COUNTIF(E114:AI114,"D1")*1/AK114+COUNTIF(E114:AI114,"D2")*2/AK114+COUNTIF(E114:AI114,"D3")*3/AK114+COUNTIF(E114:AI114,"D4")*4/AK114+COUNTIF(E114:AI114,"D5")*5/AK114+COUNTIF(E114:AI114,"D6")*6/AK114+COUNTIF(E114:AI114,"D7")*7/AK114+COUNTIF(E114:AI114,"D8")*8/AK114+COUNTIF(E114:AI114,"D9")*9/AK114+COUNTIF(E114:AI114,"D10")*10/AK114+COUNTIF(E114:AI114,"D11")*11/AK114+COUNTIF(E114:AI114,"D12")*12/AK114</f>
        <v>11</v>
      </c>
      <c r="AN114" s="62">
        <f t="shared" si="82"/>
        <v>17</v>
      </c>
      <c r="AO114" s="62">
        <f t="shared" si="73"/>
        <v>1</v>
      </c>
      <c r="AP114" s="62">
        <f t="shared" si="74"/>
        <v>0</v>
      </c>
      <c r="AQ114" s="63">
        <f t="shared" si="75"/>
        <v>0</v>
      </c>
      <c r="AR114" s="62">
        <f t="shared" si="76"/>
        <v>0</v>
      </c>
      <c r="AS114" s="62">
        <f t="shared" si="77"/>
        <v>0</v>
      </c>
      <c r="AT114" s="64"/>
      <c r="AU114" s="64"/>
      <c r="AV114" s="65">
        <f t="shared" ref="AV114:AV139" si="85">COUNTIF(E114:AI114,"12N")*12</f>
        <v>0</v>
      </c>
      <c r="AW114" s="65">
        <f t="shared" ref="AW114:AW139" si="86">COUNTIF(F114:AI114,"12D")*12</f>
        <v>12</v>
      </c>
      <c r="AX114" s="64"/>
      <c r="AY114" s="64"/>
      <c r="AZ114" s="80"/>
      <c r="BA114" s="66">
        <f t="shared" ref="BA114:BA132" si="87">+AN114+AR114+AS114+AO114</f>
        <v>18</v>
      </c>
      <c r="BB114" s="67"/>
      <c r="BC114" s="68"/>
      <c r="BD114" s="69">
        <f>VLOOKUP($B114,[1]CN!$B$9:$DK$221,114,0)</f>
        <v>2</v>
      </c>
      <c r="BE114" s="70">
        <f t="shared" ref="BE114:BE139" si="88">+$AI$8-$E$8+1-INT(($AI$8-$E$8-WEEKDAY($AI$8)+8)/7)</f>
        <v>27</v>
      </c>
      <c r="BF114" s="71" t="s">
        <v>39</v>
      </c>
      <c r="BG114" s="72" t="s">
        <v>34</v>
      </c>
      <c r="BH114" s="73" t="str">
        <f>VLOOKUP(B114,'[2]Bang luong_06'!$B$9:$C$333,2,0)</f>
        <v>Nguyễn Thái Học</v>
      </c>
      <c r="BI114" s="74"/>
      <c r="BJ114" s="75" t="str">
        <f>VLOOKUP($B114,'[2]Bang luong_06'!$B$10:$C$333,2,0)</f>
        <v>Nguyễn Thái Học</v>
      </c>
      <c r="BK114" s="76" t="b">
        <f t="shared" si="78"/>
        <v>1</v>
      </c>
      <c r="BM114" s="77" t="e">
        <f>+VLOOKUP(B114,'[2]Thưởng Lễ 2-9'!B70:G360,6,0)</f>
        <v>#N/A</v>
      </c>
      <c r="BN114" s="75">
        <f t="shared" si="79"/>
        <v>-18</v>
      </c>
      <c r="BO114" s="76" t="str">
        <f>+VLOOKUP(B114,'[2]Bang luong_06'!B80:D391,3,0)</f>
        <v>CNSX</v>
      </c>
      <c r="BP114" s="76" t="s">
        <v>40</v>
      </c>
      <c r="BQ114" s="76">
        <v>0</v>
      </c>
      <c r="BR114" s="76">
        <f t="shared" si="80"/>
        <v>6</v>
      </c>
    </row>
    <row r="115" spans="1:70" s="76" customFormat="1" ht="31.5" customHeight="1" x14ac:dyDescent="0.25">
      <c r="A115" s="33">
        <f t="shared" si="81"/>
        <v>98</v>
      </c>
      <c r="B115" s="88" t="s">
        <v>259</v>
      </c>
      <c r="C115" s="89" t="s">
        <v>260</v>
      </c>
      <c r="D115" s="90">
        <v>46087</v>
      </c>
      <c r="E115" s="57" t="s">
        <v>38</v>
      </c>
      <c r="F115" s="57" t="s">
        <v>38</v>
      </c>
      <c r="G115" s="57" t="s">
        <v>38</v>
      </c>
      <c r="H115" s="57" t="s">
        <v>38</v>
      </c>
      <c r="I115" s="57" t="s">
        <v>38</v>
      </c>
      <c r="J115" s="57" t="s">
        <v>506</v>
      </c>
      <c r="K115" s="57" t="s">
        <v>37</v>
      </c>
      <c r="L115" s="57" t="s">
        <v>37</v>
      </c>
      <c r="M115" s="57" t="s">
        <v>37</v>
      </c>
      <c r="N115" s="57" t="s">
        <v>37</v>
      </c>
      <c r="O115" s="57" t="s">
        <v>37</v>
      </c>
      <c r="P115" s="57" t="s">
        <v>37</v>
      </c>
      <c r="Q115" s="57" t="s">
        <v>507</v>
      </c>
      <c r="R115" s="57" t="s">
        <v>37</v>
      </c>
      <c r="S115" s="57" t="s">
        <v>37</v>
      </c>
      <c r="T115" s="57" t="s">
        <v>37</v>
      </c>
      <c r="U115" s="57" t="s">
        <v>37</v>
      </c>
      <c r="V115" s="57" t="s">
        <v>37</v>
      </c>
      <c r="W115" s="57" t="s">
        <v>37</v>
      </c>
      <c r="X115" s="57"/>
      <c r="Y115" s="57" t="s">
        <v>38</v>
      </c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8">
        <v>10100403</v>
      </c>
      <c r="AK115" s="59">
        <v>12</v>
      </c>
      <c r="AL115" s="60">
        <f t="shared" si="83"/>
        <v>6</v>
      </c>
      <c r="AM115" s="61">
        <f t="shared" si="84"/>
        <v>12</v>
      </c>
      <c r="AN115" s="62">
        <f t="shared" si="82"/>
        <v>18</v>
      </c>
      <c r="AO115" s="62">
        <f t="shared" si="73"/>
        <v>0</v>
      </c>
      <c r="AP115" s="62">
        <f t="shared" si="74"/>
        <v>0</v>
      </c>
      <c r="AQ115" s="63">
        <f t="shared" si="75"/>
        <v>0</v>
      </c>
      <c r="AR115" s="62">
        <f t="shared" si="76"/>
        <v>0</v>
      </c>
      <c r="AS115" s="62">
        <f t="shared" si="77"/>
        <v>0</v>
      </c>
      <c r="AT115" s="64"/>
      <c r="AU115" s="64"/>
      <c r="AV115" s="65">
        <f t="shared" si="85"/>
        <v>12</v>
      </c>
      <c r="AW115" s="65">
        <f t="shared" si="86"/>
        <v>12</v>
      </c>
      <c r="AX115" s="64"/>
      <c r="AY115" s="64"/>
      <c r="AZ115" s="80"/>
      <c r="BA115" s="66">
        <f t="shared" si="87"/>
        <v>18</v>
      </c>
      <c r="BB115" s="67"/>
      <c r="BC115" s="68"/>
      <c r="BD115" s="69">
        <f>VLOOKUP($B115,[1]CN!$B$9:$DK$221,114,0)</f>
        <v>1</v>
      </c>
      <c r="BE115" s="70">
        <f t="shared" si="88"/>
        <v>27</v>
      </c>
      <c r="BF115" s="71" t="s">
        <v>39</v>
      </c>
      <c r="BG115" s="72" t="s">
        <v>34</v>
      </c>
      <c r="BH115" s="73" t="str">
        <f>VLOOKUP(B115,'[2]Bang luong_06'!$B$9:$C$333,2,0)</f>
        <v>Châu Minh Liêm</v>
      </c>
      <c r="BI115" s="74"/>
      <c r="BJ115" s="75" t="str">
        <f>VLOOKUP($B115,'[2]Bang luong_06'!$B$10:$C$333,2,0)</f>
        <v>Châu Minh Liêm</v>
      </c>
      <c r="BK115" s="76" t="b">
        <f t="shared" si="78"/>
        <v>1</v>
      </c>
      <c r="BM115" s="77">
        <f>+VLOOKUP(B115,'[2]Thưởng Lễ 2-9'!B72:G362,6,0)</f>
        <v>0</v>
      </c>
      <c r="BN115" s="75">
        <f t="shared" si="79"/>
        <v>-18</v>
      </c>
      <c r="BO115" s="76" t="str">
        <f>+VLOOKUP(B115,'[2]Bang luong_06'!B82:D393,3,0)</f>
        <v>CNSX</v>
      </c>
      <c r="BP115" s="76" t="s">
        <v>40</v>
      </c>
      <c r="BQ115" s="76">
        <v>0</v>
      </c>
      <c r="BR115" s="76">
        <f t="shared" si="80"/>
        <v>6</v>
      </c>
    </row>
    <row r="116" spans="1:70" s="76" customFormat="1" ht="31.5" customHeight="1" x14ac:dyDescent="0.25">
      <c r="A116" s="33">
        <f t="shared" si="81"/>
        <v>99</v>
      </c>
      <c r="B116" s="88" t="s">
        <v>261</v>
      </c>
      <c r="C116" s="89" t="s">
        <v>262</v>
      </c>
      <c r="D116" s="90">
        <v>46087</v>
      </c>
      <c r="E116" s="57" t="s">
        <v>37</v>
      </c>
      <c r="F116" s="57" t="s">
        <v>37</v>
      </c>
      <c r="G116" s="57" t="s">
        <v>37</v>
      </c>
      <c r="H116" s="57" t="s">
        <v>37</v>
      </c>
      <c r="I116" s="57" t="s">
        <v>37</v>
      </c>
      <c r="J116" s="57"/>
      <c r="K116" s="57" t="s">
        <v>38</v>
      </c>
      <c r="L116" s="57" t="s">
        <v>38</v>
      </c>
      <c r="M116" s="57" t="s">
        <v>38</v>
      </c>
      <c r="N116" s="57" t="s">
        <v>38</v>
      </c>
      <c r="O116" s="57" t="s">
        <v>38</v>
      </c>
      <c r="P116" s="57" t="s">
        <v>38</v>
      </c>
      <c r="Q116" s="57"/>
      <c r="R116" s="57" t="s">
        <v>38</v>
      </c>
      <c r="S116" s="57" t="s">
        <v>38</v>
      </c>
      <c r="T116" s="57" t="s">
        <v>38</v>
      </c>
      <c r="U116" s="57" t="s">
        <v>38</v>
      </c>
      <c r="V116" s="57" t="s">
        <v>38</v>
      </c>
      <c r="W116" s="57" t="s">
        <v>38</v>
      </c>
      <c r="X116" s="57" t="s">
        <v>506</v>
      </c>
      <c r="Y116" s="57" t="s">
        <v>37</v>
      </c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8">
        <v>10100403</v>
      </c>
      <c r="AK116" s="59">
        <v>12</v>
      </c>
      <c r="AL116" s="60">
        <f t="shared" si="83"/>
        <v>12</v>
      </c>
      <c r="AM116" s="61">
        <f t="shared" si="84"/>
        <v>6</v>
      </c>
      <c r="AN116" s="62">
        <f t="shared" si="82"/>
        <v>18</v>
      </c>
      <c r="AO116" s="62">
        <f t="shared" si="73"/>
        <v>0</v>
      </c>
      <c r="AP116" s="62">
        <f t="shared" si="74"/>
        <v>0</v>
      </c>
      <c r="AQ116" s="63">
        <f t="shared" si="75"/>
        <v>0</v>
      </c>
      <c r="AR116" s="62">
        <f t="shared" si="76"/>
        <v>0</v>
      </c>
      <c r="AS116" s="62">
        <f t="shared" si="77"/>
        <v>0</v>
      </c>
      <c r="AT116" s="64"/>
      <c r="AU116" s="64"/>
      <c r="AV116" s="65">
        <f t="shared" si="85"/>
        <v>12</v>
      </c>
      <c r="AW116" s="65">
        <f t="shared" si="86"/>
        <v>0</v>
      </c>
      <c r="AX116" s="64"/>
      <c r="AY116" s="64"/>
      <c r="AZ116" s="80"/>
      <c r="BA116" s="66">
        <f t="shared" si="87"/>
        <v>18</v>
      </c>
      <c r="BB116" s="67"/>
      <c r="BC116" s="68"/>
      <c r="BD116" s="69">
        <f>VLOOKUP($B116,[1]CN!$B$9:$DK$221,114,0)</f>
        <v>1</v>
      </c>
      <c r="BE116" s="70">
        <f t="shared" si="88"/>
        <v>27</v>
      </c>
      <c r="BF116" s="71" t="s">
        <v>39</v>
      </c>
      <c r="BG116" s="72" t="s">
        <v>34</v>
      </c>
      <c r="BH116" s="73" t="str">
        <f>VLOOKUP(B116,'[2]Bang luong_06'!$B$9:$C$333,2,0)</f>
        <v>Nguyễn Văn Thanh Phong</v>
      </c>
      <c r="BI116" s="74"/>
      <c r="BJ116" s="75" t="str">
        <f>VLOOKUP($B116,'[2]Bang luong_06'!$B$10:$C$333,2,0)</f>
        <v>Nguyễn Văn Thanh Phong</v>
      </c>
      <c r="BK116" s="76" t="b">
        <f t="shared" si="78"/>
        <v>1</v>
      </c>
      <c r="BM116" s="77" t="e">
        <f>+VLOOKUP(B116,'[2]Thưởng Lễ 2-9'!B73:G363,6,0)</f>
        <v>#N/A</v>
      </c>
      <c r="BN116" s="75">
        <f t="shared" si="79"/>
        <v>-18</v>
      </c>
      <c r="BO116" s="76" t="str">
        <f>+VLOOKUP(B116,'[2]Bang luong_06'!B83:D394,3,0)</f>
        <v>CNSX</v>
      </c>
      <c r="BP116" s="76" t="s">
        <v>40</v>
      </c>
      <c r="BQ116" s="76">
        <v>0</v>
      </c>
      <c r="BR116" s="76">
        <f t="shared" si="80"/>
        <v>12</v>
      </c>
    </row>
    <row r="117" spans="1:70" s="76" customFormat="1" ht="31.5" customHeight="1" x14ac:dyDescent="0.25">
      <c r="A117" s="33">
        <f t="shared" si="81"/>
        <v>100</v>
      </c>
      <c r="B117" s="88" t="s">
        <v>263</v>
      </c>
      <c r="C117" s="89" t="s">
        <v>264</v>
      </c>
      <c r="D117" s="90">
        <v>46087</v>
      </c>
      <c r="E117" s="57" t="s">
        <v>38</v>
      </c>
      <c r="F117" s="57" t="s">
        <v>38</v>
      </c>
      <c r="G117" s="57" t="s">
        <v>38</v>
      </c>
      <c r="H117" s="57" t="s">
        <v>38</v>
      </c>
      <c r="I117" s="57" t="s">
        <v>38</v>
      </c>
      <c r="J117" s="57"/>
      <c r="K117" s="57" t="s">
        <v>37</v>
      </c>
      <c r="L117" s="57" t="s">
        <v>37</v>
      </c>
      <c r="M117" s="57" t="s">
        <v>37</v>
      </c>
      <c r="N117" s="57" t="s">
        <v>37</v>
      </c>
      <c r="O117" s="57" t="s">
        <v>37</v>
      </c>
      <c r="P117" s="57" t="s">
        <v>37</v>
      </c>
      <c r="Q117" s="57"/>
      <c r="R117" s="57" t="s">
        <v>37</v>
      </c>
      <c r="S117" s="57" t="s">
        <v>37</v>
      </c>
      <c r="T117" s="57" t="s">
        <v>37</v>
      </c>
      <c r="U117" s="57" t="s">
        <v>37</v>
      </c>
      <c r="V117" s="57" t="s">
        <v>37</v>
      </c>
      <c r="W117" s="57" t="s">
        <v>37</v>
      </c>
      <c r="X117" s="57"/>
      <c r="Y117" s="57" t="s">
        <v>38</v>
      </c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8">
        <v>10100403</v>
      </c>
      <c r="AK117" s="59">
        <v>12</v>
      </c>
      <c r="AL117" s="60">
        <f t="shared" si="83"/>
        <v>6</v>
      </c>
      <c r="AM117" s="61">
        <f t="shared" si="84"/>
        <v>12</v>
      </c>
      <c r="AN117" s="62">
        <f t="shared" si="82"/>
        <v>18</v>
      </c>
      <c r="AO117" s="62">
        <f t="shared" si="73"/>
        <v>0</v>
      </c>
      <c r="AP117" s="62">
        <f t="shared" si="74"/>
        <v>0</v>
      </c>
      <c r="AQ117" s="63">
        <f t="shared" si="75"/>
        <v>0</v>
      </c>
      <c r="AR117" s="62">
        <f t="shared" si="76"/>
        <v>0</v>
      </c>
      <c r="AS117" s="62">
        <f t="shared" si="77"/>
        <v>0</v>
      </c>
      <c r="AT117" s="64"/>
      <c r="AU117" s="64"/>
      <c r="AV117" s="65">
        <f t="shared" si="85"/>
        <v>0</v>
      </c>
      <c r="AW117" s="65">
        <f t="shared" si="86"/>
        <v>0</v>
      </c>
      <c r="AX117" s="64"/>
      <c r="AY117" s="64"/>
      <c r="AZ117" s="80"/>
      <c r="BA117" s="66">
        <f t="shared" si="87"/>
        <v>18</v>
      </c>
      <c r="BB117" s="67"/>
      <c r="BC117" s="68"/>
      <c r="BD117" s="69">
        <f>VLOOKUP($B117,[1]CN!$B$9:$DK$221,114,0)</f>
        <v>2</v>
      </c>
      <c r="BE117" s="70">
        <f t="shared" si="88"/>
        <v>27</v>
      </c>
      <c r="BF117" s="71" t="s">
        <v>39</v>
      </c>
      <c r="BG117" s="72" t="s">
        <v>34</v>
      </c>
      <c r="BH117" s="73" t="str">
        <f>VLOOKUP(B117,'[2]Bang luong_06'!$B$9:$C$333,2,0)</f>
        <v>Lê Vũ Phương</v>
      </c>
      <c r="BI117" s="74"/>
      <c r="BJ117" s="75" t="str">
        <f>VLOOKUP($B117,'[2]Bang luong_06'!$B$10:$C$333,2,0)</f>
        <v>Lê Vũ Phương</v>
      </c>
      <c r="BK117" s="76" t="b">
        <f t="shared" si="78"/>
        <v>1</v>
      </c>
      <c r="BM117" s="77" t="e">
        <f>+VLOOKUP(B117,'[2]Thưởng Lễ 2-9'!B74:G364,6,0)</f>
        <v>#N/A</v>
      </c>
      <c r="BN117" s="75">
        <f t="shared" si="79"/>
        <v>-18</v>
      </c>
      <c r="BO117" s="76" t="str">
        <f>+VLOOKUP(B117,'[2]Bang luong_06'!B84:D395,3,0)</f>
        <v>CNSX</v>
      </c>
      <c r="BP117" s="76" t="s">
        <v>40</v>
      </c>
      <c r="BQ117" s="76">
        <v>0</v>
      </c>
      <c r="BR117" s="76">
        <f t="shared" si="80"/>
        <v>6</v>
      </c>
    </row>
    <row r="118" spans="1:70" s="76" customFormat="1" ht="31.5" customHeight="1" x14ac:dyDescent="0.25">
      <c r="A118" s="33">
        <f t="shared" si="81"/>
        <v>101</v>
      </c>
      <c r="B118" s="88" t="s">
        <v>265</v>
      </c>
      <c r="C118" s="89" t="s">
        <v>266</v>
      </c>
      <c r="D118" s="90">
        <v>46091</v>
      </c>
      <c r="E118" s="57" t="s">
        <v>37</v>
      </c>
      <c r="F118" s="57" t="s">
        <v>37</v>
      </c>
      <c r="G118" s="57" t="s">
        <v>37</v>
      </c>
      <c r="H118" s="57" t="s">
        <v>37</v>
      </c>
      <c r="I118" s="57" t="s">
        <v>37</v>
      </c>
      <c r="J118" s="57"/>
      <c r="K118" s="57" t="s">
        <v>38</v>
      </c>
      <c r="L118" s="57" t="s">
        <v>38</v>
      </c>
      <c r="M118" s="57" t="s">
        <v>38</v>
      </c>
      <c r="N118" s="57" t="s">
        <v>38</v>
      </c>
      <c r="O118" s="57" t="s">
        <v>38</v>
      </c>
      <c r="P118" s="57" t="s">
        <v>38</v>
      </c>
      <c r="Q118" s="57" t="s">
        <v>506</v>
      </c>
      <c r="R118" s="57" t="s">
        <v>38</v>
      </c>
      <c r="S118" s="57" t="s">
        <v>38</v>
      </c>
      <c r="T118" s="57" t="s">
        <v>38</v>
      </c>
      <c r="U118" s="57" t="s">
        <v>38</v>
      </c>
      <c r="V118" s="57" t="s">
        <v>38</v>
      </c>
      <c r="W118" s="57" t="s">
        <v>38</v>
      </c>
      <c r="X118" s="57"/>
      <c r="Y118" s="57" t="s">
        <v>37</v>
      </c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8">
        <v>10100403</v>
      </c>
      <c r="AK118" s="59">
        <v>12</v>
      </c>
      <c r="AL118" s="60">
        <f t="shared" si="83"/>
        <v>12</v>
      </c>
      <c r="AM118" s="61">
        <f t="shared" si="84"/>
        <v>6</v>
      </c>
      <c r="AN118" s="62">
        <f t="shared" si="82"/>
        <v>18</v>
      </c>
      <c r="AO118" s="62">
        <f t="shared" si="73"/>
        <v>0</v>
      </c>
      <c r="AP118" s="62">
        <f t="shared" si="74"/>
        <v>0</v>
      </c>
      <c r="AQ118" s="63">
        <f t="shared" si="75"/>
        <v>0</v>
      </c>
      <c r="AR118" s="62">
        <f t="shared" si="76"/>
        <v>0</v>
      </c>
      <c r="AS118" s="62">
        <f t="shared" si="77"/>
        <v>0</v>
      </c>
      <c r="AT118" s="64"/>
      <c r="AU118" s="64"/>
      <c r="AV118" s="65">
        <f t="shared" si="85"/>
        <v>12</v>
      </c>
      <c r="AW118" s="65">
        <f t="shared" si="86"/>
        <v>0</v>
      </c>
      <c r="AX118" s="64"/>
      <c r="AY118" s="64"/>
      <c r="AZ118" s="80"/>
      <c r="BA118" s="66">
        <f t="shared" si="87"/>
        <v>18</v>
      </c>
      <c r="BB118" s="67"/>
      <c r="BC118" s="68"/>
      <c r="BD118" s="69">
        <f>VLOOKUP($B118,[1]CN!$B$9:$DK$221,114,0)</f>
        <v>2</v>
      </c>
      <c r="BE118" s="70">
        <f t="shared" si="88"/>
        <v>27</v>
      </c>
      <c r="BF118" s="71" t="s">
        <v>39</v>
      </c>
      <c r="BG118" s="72" t="s">
        <v>34</v>
      </c>
      <c r="BH118" s="73" t="str">
        <f>VLOOKUP(B118,'[2]Bang luong_06'!$B$9:$C$333,2,0)</f>
        <v>Thạch Chan Bô Rinh</v>
      </c>
      <c r="BI118" s="74"/>
      <c r="BJ118" s="75" t="str">
        <f>VLOOKUP($B118,'[2]Bang luong_06'!$B$10:$C$333,2,0)</f>
        <v>Thạch Chan Bô Rinh</v>
      </c>
      <c r="BK118" s="76" t="b">
        <f t="shared" si="78"/>
        <v>1</v>
      </c>
      <c r="BM118" s="77" t="e">
        <f>+VLOOKUP(B118,'[2]Thưởng Lễ 2-9'!B77:G367,6,0)</f>
        <v>#N/A</v>
      </c>
      <c r="BN118" s="75">
        <f t="shared" si="79"/>
        <v>-19</v>
      </c>
      <c r="BO118" s="76" t="str">
        <f>+VLOOKUP(B118,'[2]Bang luong_06'!B88:D398,3,0)</f>
        <v>CNSX</v>
      </c>
      <c r="BP118" s="76" t="s">
        <v>40</v>
      </c>
      <c r="BQ118" s="76">
        <v>0</v>
      </c>
      <c r="BR118" s="76">
        <f t="shared" si="80"/>
        <v>12</v>
      </c>
    </row>
    <row r="119" spans="1:70" s="76" customFormat="1" ht="31.5" customHeight="1" x14ac:dyDescent="0.25">
      <c r="A119" s="33">
        <f t="shared" si="81"/>
        <v>102</v>
      </c>
      <c r="B119" s="88" t="s">
        <v>267</v>
      </c>
      <c r="C119" s="89" t="s">
        <v>268</v>
      </c>
      <c r="D119" s="90">
        <v>46093</v>
      </c>
      <c r="E119" s="57" t="s">
        <v>37</v>
      </c>
      <c r="F119" s="57" t="s">
        <v>37</v>
      </c>
      <c r="G119" s="57" t="s">
        <v>37</v>
      </c>
      <c r="H119" s="57" t="s">
        <v>37</v>
      </c>
      <c r="I119" s="57" t="s">
        <v>37</v>
      </c>
      <c r="J119" s="57"/>
      <c r="K119" s="57" t="s">
        <v>38</v>
      </c>
      <c r="L119" s="57" t="s">
        <v>38</v>
      </c>
      <c r="M119" s="57" t="s">
        <v>38</v>
      </c>
      <c r="N119" s="57" t="s">
        <v>38</v>
      </c>
      <c r="O119" s="57" t="s">
        <v>38</v>
      </c>
      <c r="P119" s="57" t="s">
        <v>38</v>
      </c>
      <c r="Q119" s="57" t="s">
        <v>506</v>
      </c>
      <c r="R119" s="57" t="s">
        <v>38</v>
      </c>
      <c r="S119" s="57" t="s">
        <v>38</v>
      </c>
      <c r="T119" s="57" t="s">
        <v>38</v>
      </c>
      <c r="U119" s="57" t="s">
        <v>38</v>
      </c>
      <c r="V119" s="57" t="s">
        <v>38</v>
      </c>
      <c r="W119" s="57" t="s">
        <v>38</v>
      </c>
      <c r="X119" s="57" t="s">
        <v>506</v>
      </c>
      <c r="Y119" s="57" t="s">
        <v>37</v>
      </c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8">
        <v>10100403</v>
      </c>
      <c r="AK119" s="59">
        <v>12</v>
      </c>
      <c r="AL119" s="60">
        <f t="shared" si="83"/>
        <v>12</v>
      </c>
      <c r="AM119" s="61">
        <f t="shared" si="84"/>
        <v>6</v>
      </c>
      <c r="AN119" s="62">
        <f t="shared" si="82"/>
        <v>18</v>
      </c>
      <c r="AO119" s="62">
        <f t="shared" si="73"/>
        <v>0</v>
      </c>
      <c r="AP119" s="62">
        <f t="shared" si="74"/>
        <v>0</v>
      </c>
      <c r="AQ119" s="63">
        <f t="shared" si="75"/>
        <v>0</v>
      </c>
      <c r="AR119" s="62">
        <f t="shared" si="76"/>
        <v>0</v>
      </c>
      <c r="AS119" s="62">
        <f t="shared" si="77"/>
        <v>0</v>
      </c>
      <c r="AT119" s="64"/>
      <c r="AU119" s="64"/>
      <c r="AV119" s="65">
        <f t="shared" si="85"/>
        <v>24</v>
      </c>
      <c r="AW119" s="65">
        <f t="shared" si="86"/>
        <v>0</v>
      </c>
      <c r="AX119" s="64"/>
      <c r="AY119" s="64"/>
      <c r="AZ119" s="80"/>
      <c r="BA119" s="66">
        <f t="shared" si="87"/>
        <v>18</v>
      </c>
      <c r="BB119" s="67"/>
      <c r="BC119" s="68"/>
      <c r="BD119" s="69">
        <f>VLOOKUP($B119,[1]CN!$B$9:$DK$221,114,0)</f>
        <v>2</v>
      </c>
      <c r="BE119" s="70">
        <f t="shared" si="88"/>
        <v>27</v>
      </c>
      <c r="BF119" s="71" t="s">
        <v>39</v>
      </c>
      <c r="BG119" s="72" t="s">
        <v>34</v>
      </c>
      <c r="BH119" s="73" t="str">
        <f>VLOOKUP(B119,'[2]Bang luong_06'!$B$9:$C$333,2,0)</f>
        <v>Nguyễn Quốc Thắng</v>
      </c>
      <c r="BI119" s="74"/>
      <c r="BJ119" s="75" t="str">
        <f>VLOOKUP($B119,'[2]Bang luong_06'!$B$10:$C$333,2,0)</f>
        <v>Nguyễn Quốc Thắng</v>
      </c>
      <c r="BK119" s="76" t="b">
        <f t="shared" si="78"/>
        <v>1</v>
      </c>
      <c r="BM119" s="77" t="e">
        <f>+VLOOKUP(B119,'[2]Thưởng Lễ 2-9'!B76:G366,6,0)</f>
        <v>#N/A</v>
      </c>
      <c r="BN119" s="75">
        <f t="shared" si="79"/>
        <v>-19</v>
      </c>
      <c r="BO119" s="76" t="str">
        <f>+VLOOKUP(B119,'[2]Bang luong_06'!B87:D397,3,0)</f>
        <v>CNSX</v>
      </c>
      <c r="BP119" s="76" t="s">
        <v>40</v>
      </c>
      <c r="BQ119" s="76">
        <v>0</v>
      </c>
      <c r="BR119" s="76">
        <f t="shared" si="80"/>
        <v>12</v>
      </c>
    </row>
    <row r="120" spans="1:70" s="76" customFormat="1" ht="31.5" customHeight="1" x14ac:dyDescent="0.25">
      <c r="A120" s="33">
        <f>IF(B120="","",MAX(A119:A119)+1)</f>
        <v>103</v>
      </c>
      <c r="B120" s="88" t="s">
        <v>269</v>
      </c>
      <c r="C120" s="89" t="s">
        <v>270</v>
      </c>
      <c r="D120" s="90">
        <v>46098</v>
      </c>
      <c r="E120" s="57" t="s">
        <v>38</v>
      </c>
      <c r="F120" s="57" t="s">
        <v>38</v>
      </c>
      <c r="G120" s="57" t="s">
        <v>38</v>
      </c>
      <c r="H120" s="57" t="s">
        <v>38</v>
      </c>
      <c r="I120" s="57" t="s">
        <v>271</v>
      </c>
      <c r="J120" s="57"/>
      <c r="K120" s="57" t="s">
        <v>271</v>
      </c>
      <c r="L120" s="57" t="s">
        <v>271</v>
      </c>
      <c r="M120" s="57" t="s">
        <v>143</v>
      </c>
      <c r="N120" s="57" t="s">
        <v>143</v>
      </c>
      <c r="O120" s="57" t="s">
        <v>143</v>
      </c>
      <c r="P120" s="57" t="s">
        <v>143</v>
      </c>
      <c r="Q120" s="57"/>
      <c r="R120" s="57" t="s">
        <v>143</v>
      </c>
      <c r="S120" s="57" t="s">
        <v>143</v>
      </c>
      <c r="T120" s="57" t="s">
        <v>143</v>
      </c>
      <c r="U120" s="57" t="s">
        <v>143</v>
      </c>
      <c r="V120" s="57" t="s">
        <v>143</v>
      </c>
      <c r="W120" s="57" t="s">
        <v>143</v>
      </c>
      <c r="X120" s="57"/>
      <c r="Y120" s="57" t="s">
        <v>143</v>
      </c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8">
        <v>10100403</v>
      </c>
      <c r="AK120" s="59">
        <v>12</v>
      </c>
      <c r="AL120" s="60">
        <f>COUNTIF(D120:AI120,"N")+COUNTIF(D120:AI120,"N1")*1/AK120+COUNTIF(D120:AI120,"N2")*2/AK120+COUNTIF(D120:AI120,"N3")*3/AK120+COUNTIF(D120:AI120,"N4")*4/AK120+COUNTIF(D120:AI120,"N5")*5/AK120+COUNTIF(D120:AI120,"N6")*6/AK120+COUNTIF(D120:AI120,"N7")*7/AK120+COUNTIF(D120:AI120,"N8")*8/AK120+COUNTIF(D120:AI120,"N9")*9/AK120+COUNTIF(D120:AI120,"N10")*10/AK120+COUNTIF(D120:AI120,"N11")*11/AK120+COUNTIF(D120:AI120,"N12")*12/AK120+COUNTIF(D120:AI120,"Ro1")*1/AK120+COUNTIF(D120:AI120,"Ro2")*2/AK120+COUNTIF(D120:AI120,"Ro3")*3/AK120+COUNTIF(D120:AI120,"Ro3.0")*3/AK120+COUNTIF(D120:AI120,"Ro4")*4/AK120+COUNTIF(D120:AI120,"Ro4.0")*4/AK120+COUNTIF(D120:AI120,"Ro4.5")*4.5/AK120+COUNTIF(D120:AI120,"Ro5")*5/AK120+COUNTIF(D120:AI120,"Ro5.0")*5/AK120+COUNTIF(D120:AI120,"Ro5.5")*5.5/AK120+COUNTIF(D120:AI120,"Ro6")*6/AK120+COUNTIF(D120:AI120,"Ro7")*7/AK120+COUNTIF(D120:AI120,"Ro8")*8/AK120+COUNTIF(D120:AI120,"Ro8.0")*8/AK120+COUNTIF(D120:AI120,"Ro8.3")*8.3/AK120+COUNTIF(D120:AI120,"Ro8.5")*8.5/AK120+COUNTIF(D120:AI120,"Ro9")*9/AK120+COUNTIF(D120:AI120,"Ro9.5")*9.5/AK120+COUNTIF(D120:AI120,"Ro10")*10/AK120+COUNTIF(D120:AI120,"Ro10.0")*10/AK120+COUNTIF(D120:AI120,"Ro10.5")*10.5/AK120+COUNTIF(D120:AI120,"Ro11")*11/AK120+COUNTIF(D120:AI120,"Ro11.0")*11/AK120+COUNTIF(D120:AI120,"Ro11.5")*11.5/AK120+COUNTIF(D120:AI120,"Bu1")+COUNTIF(D120:AI120,"Bu2")+COUNTIF(D120:AI120,"Bu3")+COUNTIF(D120:AI120,"Bu4")+COUNTIF(D120:AI120,"Bu5")+COUNTIF(D120:AI120,"Bu6")+COUNTIF(D120:AI120,"Bu7")+COUNTIF(D120:AI120,"Bu8")+COUNTIF(D120:AI120,"Bu9")+COUNTIF(D120:AI120,"Bu10")+COUNTIF(D120:AI120,"Bu11")+COUNTIF(D120:AI120,"Bu")+COUNTIF(D120:AI120,"P2")*0.5</f>
        <v>4</v>
      </c>
      <c r="AM120" s="61">
        <f>COUNTIF(E120:AI120,"D")+COUNTIF(E120:AI120,"D1")*1/AK120+COUNTIF(E120:AI120,"D2")*2/AK120+COUNTIF(E120:AI120,"D3")*3/AK120+COUNTIF(E120:AI120,"D4")*4/AK120+COUNTIF(E120:AI120,"D5")*5/AK120+COUNTIF(E120:AI120,"D6")*6/AK120+COUNTIF(E120:AI120,"D7")*7/AK120+COUNTIF(E120:AI120,"D8")*8/AK120+COUNTIF(E120:AI120,"D9")*9/AK120+COUNTIF(E120:AI120,"D10")*10/AK120+COUNTIF(E120:AI120,"D11")*11/AK120+COUNTIF(E120:AI120,"D12")*12/AK120</f>
        <v>0</v>
      </c>
      <c r="AN120" s="62">
        <f>+AL120+AM120</f>
        <v>4</v>
      </c>
      <c r="AO120" s="62">
        <f>COUNTIF(E120:AI120,"p")+COUNTIF(E120:AI120,"p1")/2+COUNTIF(E120:AI120,"p2")/2</f>
        <v>0</v>
      </c>
      <c r="AP120" s="62">
        <f>COUNTIF(E120:AI120,"K")</f>
        <v>3</v>
      </c>
      <c r="AQ120" s="63">
        <f>COUNTIF(E120:AI120,"Ro")+COUNTIF(E120:AI120,"Ro1")*11/AK120+COUNTIF(E120:AI120,"Ro2")*10/AK120+COUNTIF(E120:AI120,"Ro3")*9/AK120+COUNTIF(E120:AI120,"Ro3.0")*9/AK120+COUNTIF(E120:AI120,"Ro4")*8/AK120+COUNTIF(E120:AI120,"Ro4.0")*8/AK120+COUNTIF(E120:AI120,"Ro4.5")*7.5/AK120+COUNTIF(E120:AI120,"Ro5")*7/AK120+COUNTIF(E120:AI120,"Ro5.0")*7/AK120+COUNTIF(E120:AI120,"Ro5.5")*6.5/AK120+COUNTIF(E120:AI120,"Ro6")*6/AK120+COUNTIF(E120:AI120,"Ro7")*5/AK120+COUNTIF(E120:AI120,"Ro8")*4/AK120+COUNTIF(E120:AI120,"Ro8.0")*4/AK120+COUNTIF(E120:AI120,"Ro8.3")*3.7/AK120+COUNTIF(E120:AI120,"Ro8.5")*3.5/AK120+COUNTIF(E120:AI120,"Ro9")*3/AK120+COUNTIF(E120:AI120,"Ro10")*2/AK120+COUNTIF(E120:AI120,"Ro10.0")*2/AK120+COUNTIF(E120:AI120,"Ro10.5")*1.5/AK120+COUNTIF(E120:AI120,"Ro11.0")*1/AK120+COUNTIF(E120:AI120,"Ro11")*1/AK120+COUNTIF(E120:AI120,"Ro11.5")*0.5/AK120+COUNTIF(E120:AI120,"N1")*11/AK120+COUNTIF(E120:AI120,"N2")*10/AK120+COUNTIF(E120:AI120,"N3")*9/AK120+COUNTIF(E120:AI120,"N4")*8/AK120+COUNTIF(E120:AI120,"N5")*7/AK120+COUNTIF(E120:AI120,"N6")*6/AK120+COUNTIF(E120:AI120,"N7")*5/AK120+COUNTIF(E120:AI120,"N8")*4/AK120+COUNTIF(E120:AI120,"N9")*3/AK120+COUNTIF(E120:AI120,"N10")*2/AK120+COUNTIF(E120:AI120,"N11")*1/AK120+COUNTIF(E120:AI120,"D1")*11/AK120+COUNTIF(E120:AI120,"D2")*10/AK120+COUNTIF(E120:AI120,"D3")*9/AK120+COUNTIF(E120:AI120,"D4")*8/AK120+COUNTIF(E120:AI120,"D5")*7/AK120+COUNTIF(E120:AI120,"D6")*6/AK120+COUNTIF(E120:AI120,"D7")*5/AK120+COUNTIF(E120:AI120,"D8")*4/AK120+COUNTIF(E120:AI120,"D9")*3/AK120+COUNTIF(E120:AI120,"D10")*2/AK120+COUNTIF(E120:AI120,"D11")*1/AK120+COUNTIF(E120:AI120,"P1")*0.5</f>
        <v>0</v>
      </c>
      <c r="AR120" s="62">
        <f>COUNTIF(E120:AI120,"R")</f>
        <v>0</v>
      </c>
      <c r="AS120" s="62">
        <f>COUNTIF(E120:AI120,"L")</f>
        <v>0</v>
      </c>
      <c r="AT120" s="64"/>
      <c r="AU120" s="64"/>
      <c r="AV120" s="65">
        <f t="shared" si="85"/>
        <v>0</v>
      </c>
      <c r="AW120" s="65">
        <f t="shared" si="86"/>
        <v>0</v>
      </c>
      <c r="AX120" s="64"/>
      <c r="AY120" s="64"/>
      <c r="AZ120" s="80"/>
      <c r="BA120" s="66">
        <f>+AN120+AR120+AS120+AO120</f>
        <v>4</v>
      </c>
      <c r="BB120" s="67"/>
      <c r="BC120" s="68"/>
      <c r="BD120" s="69">
        <f>VLOOKUP($B120,[1]CN!$B$9:$DK$221,114,0)</f>
        <v>1</v>
      </c>
      <c r="BE120" s="70">
        <f t="shared" si="88"/>
        <v>27</v>
      </c>
      <c r="BF120" s="71" t="s">
        <v>39</v>
      </c>
      <c r="BG120" s="72" t="s">
        <v>34</v>
      </c>
      <c r="BH120" s="73" t="str">
        <f>VLOOKUP(B120,'[2]Bang luong_06'!$B$9:$C$333,2,0)</f>
        <v>Chau Sam Nan</v>
      </c>
      <c r="BI120" s="74"/>
      <c r="BJ120" s="75" t="str">
        <f>VLOOKUP($B120,'[2]Bang luong_06'!$B$10:$C$333,2,0)</f>
        <v>Chau Sam Nan</v>
      </c>
      <c r="BK120" s="76" t="b">
        <f>BJ120=C120</f>
        <v>1</v>
      </c>
      <c r="BM120" s="77" t="e">
        <f>+VLOOKUP(B120,'[2]Thưởng Lễ 2-9'!B77:G367,6,0)</f>
        <v>#N/A</v>
      </c>
      <c r="BN120" s="75">
        <f>ROUND(($BN$12-D120)/30,0)</f>
        <v>-19</v>
      </c>
      <c r="BO120" s="76" t="str">
        <f>+VLOOKUP(B120,'[2]Bang luong_06'!B88:D398,3,0)</f>
        <v>CNSX</v>
      </c>
      <c r="BP120" s="76" t="s">
        <v>40</v>
      </c>
      <c r="BQ120" s="76">
        <v>0</v>
      </c>
      <c r="BR120" s="76">
        <f t="shared" si="80"/>
        <v>4</v>
      </c>
    </row>
    <row r="121" spans="1:70" s="76" customFormat="1" ht="31.5" customHeight="1" x14ac:dyDescent="0.25">
      <c r="A121" s="33">
        <f>IF(B121="","",MAX(A120:A120)+1)</f>
        <v>104</v>
      </c>
      <c r="B121" s="88" t="s">
        <v>272</v>
      </c>
      <c r="C121" s="89" t="s">
        <v>273</v>
      </c>
      <c r="D121" s="90">
        <v>46112</v>
      </c>
      <c r="E121" s="57" t="s">
        <v>38</v>
      </c>
      <c r="F121" s="57" t="s">
        <v>38</v>
      </c>
      <c r="G121" s="57" t="s">
        <v>38</v>
      </c>
      <c r="H121" s="57" t="s">
        <v>38</v>
      </c>
      <c r="I121" s="57" t="s">
        <v>38</v>
      </c>
      <c r="J121" s="57"/>
      <c r="K121" s="57" t="s">
        <v>37</v>
      </c>
      <c r="L121" s="57" t="s">
        <v>37</v>
      </c>
      <c r="M121" s="57" t="s">
        <v>37</v>
      </c>
      <c r="N121" s="57" t="s">
        <v>37</v>
      </c>
      <c r="O121" s="57" t="s">
        <v>37</v>
      </c>
      <c r="P121" s="57" t="s">
        <v>37</v>
      </c>
      <c r="Q121" s="57" t="s">
        <v>507</v>
      </c>
      <c r="R121" s="57" t="s">
        <v>37</v>
      </c>
      <c r="S121" s="57" t="s">
        <v>37</v>
      </c>
      <c r="T121" s="57" t="s">
        <v>37</v>
      </c>
      <c r="U121" s="57" t="s">
        <v>37</v>
      </c>
      <c r="V121" s="57" t="s">
        <v>37</v>
      </c>
      <c r="W121" s="57" t="s">
        <v>37</v>
      </c>
      <c r="X121" s="57"/>
      <c r="Y121" s="57" t="s">
        <v>38</v>
      </c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8">
        <v>10100403</v>
      </c>
      <c r="AK121" s="59">
        <v>12</v>
      </c>
      <c r="AL121" s="60">
        <f t="shared" ref="AL121:AL127" si="89">COUNTIF(D121:AI121,"N")+COUNTIF(D121:AI121,"N1")*1/AK121+COUNTIF(D121:AI121,"N2")*2/AK121+COUNTIF(D121:AI121,"N3")*3/AK121+COUNTIF(D121:AI121,"N4")*4/AK121+COUNTIF(D121:AI121,"N5")*5/AK121+COUNTIF(D121:AI121,"N6")*6/AK121+COUNTIF(D121:AI121,"N7")*7/AK121+COUNTIF(D121:AI121,"N8")*8/AK121+COUNTIF(D121:AI121,"N9")*9/AK121+COUNTIF(D121:AI121,"N10")*10/AK121+COUNTIF(D121:AI121,"N11")*11/AK121+COUNTIF(D121:AI121,"N12")*12/AK121+COUNTIF(D121:AI121,"Ro1")*1/AK121+COUNTIF(D121:AI121,"Ro2")*2/AK121+COUNTIF(D121:AI121,"Ro3")*3/AK121+COUNTIF(D121:AI121,"Ro3.0")*3/AK121+COUNTIF(D121:AI121,"Ro4")*4/AK121+COUNTIF(D121:AI121,"Ro4.0")*4/AK121+COUNTIF(D121:AI121,"Ro4.5")*4.5/AK121+COUNTIF(D121:AI121,"Ro5")*5/AK121+COUNTIF(D121:AI121,"Ro5.0")*5/AK121+COUNTIF(D121:AI121,"Ro5.5")*5.5/AK121+COUNTIF(D121:AI121,"Ro6")*6/AK121+COUNTIF(D121:AI121,"Ro7")*7/AK121+COUNTIF(D121:AI121,"Ro8")*8/AK121+COUNTIF(D121:AI121,"Ro8.0")*8/AK121+COUNTIF(D121:AI121,"Ro8.3")*8.3/AK121+COUNTIF(D121:AI121,"Ro8.5")*8.5/AK121+COUNTIF(D121:AI121,"Ro9")*9/AK121+COUNTIF(D121:AI121,"Ro9.5")*9.5/AK121+COUNTIF(D121:AI121,"Ro10")*10/AK121+COUNTIF(D121:AI121,"Ro10.0")*10/AK121+COUNTIF(D121:AI121,"Ro10.5")*10.5/AK121+COUNTIF(D121:AI121,"Ro11")*11/AK121+COUNTIF(D121:AI121,"Ro11.0")*11/AK121+COUNTIF(D121:AI121,"Ro11.5")*11.5/AK121+COUNTIF(D121:AI121,"Bu1")+COUNTIF(D121:AI121,"Bu2")+COUNTIF(D121:AI121,"Bu3")+COUNTIF(D121:AI121,"Bu4")+COUNTIF(D121:AI121,"Bu5")+COUNTIF(D121:AI121,"Bu6")+COUNTIF(D121:AI121,"Bu7")+COUNTIF(D121:AI121,"Bu8")+COUNTIF(D121:AI121,"Bu9")+COUNTIF(D121:AI121,"Bu10")+COUNTIF(D121:AI121,"Bu11")+COUNTIF(D121:AI121,"Bu")+COUNTIF(D121:AI121,"P2")*0.5</f>
        <v>6</v>
      </c>
      <c r="AM121" s="61">
        <f t="shared" ref="AM121:AM127" si="90">COUNTIF(E121:AI121,"D")+COUNTIF(E121:AI121,"D1")*1/AK121+COUNTIF(E121:AI121,"D2")*2/AK121+COUNTIF(E121:AI121,"D3")*3/AK121+COUNTIF(E121:AI121,"D4")*4/AK121+COUNTIF(E121:AI121,"D5")*5/AK121+COUNTIF(E121:AI121,"D6")*6/AK121+COUNTIF(E121:AI121,"D7")*7/AK121+COUNTIF(E121:AI121,"D8")*8/AK121+COUNTIF(E121:AI121,"D9")*9/AK121+COUNTIF(E121:AI121,"D10")*10/AK121+COUNTIF(E121:AI121,"D11")*11/AK121+COUNTIF(E121:AI121,"D12")*12/AK121</f>
        <v>12</v>
      </c>
      <c r="AN121" s="62">
        <f t="shared" ref="AN121:AN127" si="91">+AL121+AM121</f>
        <v>18</v>
      </c>
      <c r="AO121" s="62">
        <f t="shared" ref="AO121:AO127" si="92">COUNTIF(E121:AI121,"p")+COUNTIF(E121:AI121,"p1")/2+COUNTIF(E121:AI121,"p2")/2</f>
        <v>0</v>
      </c>
      <c r="AP121" s="62">
        <f t="shared" ref="AP121:AP127" si="93">COUNTIF(E121:AI121,"K")</f>
        <v>0</v>
      </c>
      <c r="AQ121" s="63">
        <f t="shared" ref="AQ121:AQ127" si="94">COUNTIF(E121:AI121,"Ro")+COUNTIF(E121:AI121,"Ro1")*11/AK121+COUNTIF(E121:AI121,"Ro2")*10/AK121+COUNTIF(E121:AI121,"Ro3")*9/AK121+COUNTIF(E121:AI121,"Ro3.0")*9/AK121+COUNTIF(E121:AI121,"Ro4")*8/AK121+COUNTIF(E121:AI121,"Ro4.0")*8/AK121+COUNTIF(E121:AI121,"Ro4.5")*7.5/AK121+COUNTIF(E121:AI121,"Ro5")*7/AK121+COUNTIF(E121:AI121,"Ro5.0")*7/AK121+COUNTIF(E121:AI121,"Ro5.5")*6.5/AK121+COUNTIF(E121:AI121,"Ro6")*6/AK121+COUNTIF(E121:AI121,"Ro7")*5/AK121+COUNTIF(E121:AI121,"Ro8")*4/AK121+COUNTIF(E121:AI121,"Ro8.0")*4/AK121+COUNTIF(E121:AI121,"Ro8.3")*3.7/AK121+COUNTIF(E121:AI121,"Ro8.5")*3.5/AK121+COUNTIF(E121:AI121,"Ro9")*3/AK121+COUNTIF(E121:AI121,"Ro10")*2/AK121+COUNTIF(E121:AI121,"Ro10.0")*2/AK121+COUNTIF(E121:AI121,"Ro10.5")*1.5/AK121+COUNTIF(E121:AI121,"Ro11.0")*1/AK121+COUNTIF(E121:AI121,"Ro11")*1/AK121+COUNTIF(E121:AI121,"Ro11.5")*0.5/AK121+COUNTIF(E121:AI121,"N1")*11/AK121+COUNTIF(E121:AI121,"N2")*10/AK121+COUNTIF(E121:AI121,"N3")*9/AK121+COUNTIF(E121:AI121,"N4")*8/AK121+COUNTIF(E121:AI121,"N5")*7/AK121+COUNTIF(E121:AI121,"N6")*6/AK121+COUNTIF(E121:AI121,"N7")*5/AK121+COUNTIF(E121:AI121,"N8")*4/AK121+COUNTIF(E121:AI121,"N9")*3/AK121+COUNTIF(E121:AI121,"N10")*2/AK121+COUNTIF(E121:AI121,"N11")*1/AK121+COUNTIF(E121:AI121,"D1")*11/AK121+COUNTIF(E121:AI121,"D2")*10/AK121+COUNTIF(E121:AI121,"D3")*9/AK121+COUNTIF(E121:AI121,"D4")*8/AK121+COUNTIF(E121:AI121,"D5")*7/AK121+COUNTIF(E121:AI121,"D6")*6/AK121+COUNTIF(E121:AI121,"D7")*5/AK121+COUNTIF(E121:AI121,"D8")*4/AK121+COUNTIF(E121:AI121,"D9")*3/AK121+COUNTIF(E121:AI121,"D10")*2/AK121+COUNTIF(E121:AI121,"D11")*1/AK121+COUNTIF(E121:AI121,"P1")*0.5</f>
        <v>0</v>
      </c>
      <c r="AR121" s="62">
        <f t="shared" ref="AR121:AR127" si="95">COUNTIF(E121:AI121,"R")</f>
        <v>0</v>
      </c>
      <c r="AS121" s="62">
        <f t="shared" ref="AS121:AS127" si="96">COUNTIF(E121:AI121,"L")</f>
        <v>0</v>
      </c>
      <c r="AT121" s="64"/>
      <c r="AU121" s="64"/>
      <c r="AV121" s="65">
        <f t="shared" si="85"/>
        <v>0</v>
      </c>
      <c r="AW121" s="65">
        <f t="shared" si="86"/>
        <v>12</v>
      </c>
      <c r="AX121" s="64"/>
      <c r="AY121" s="64"/>
      <c r="AZ121" s="80"/>
      <c r="BA121" s="66">
        <f t="shared" ref="BA121:BA127" si="97">+AN121+AR121+AS121+AO121</f>
        <v>18</v>
      </c>
      <c r="BB121" s="67"/>
      <c r="BC121" s="68"/>
      <c r="BD121" s="69">
        <f>VLOOKUP($B121,[1]CN!$B$9:$DK$221,114,0)</f>
        <v>0</v>
      </c>
      <c r="BE121" s="70">
        <f t="shared" si="88"/>
        <v>27</v>
      </c>
      <c r="BF121" s="71" t="s">
        <v>39</v>
      </c>
      <c r="BG121" s="72" t="s">
        <v>34</v>
      </c>
      <c r="BH121" s="73" t="str">
        <f>VLOOKUP(B121,'[2]Bang luong_06'!$B$9:$C$333,2,0)</f>
        <v>Hồ Văn Còn</v>
      </c>
      <c r="BI121" s="74"/>
      <c r="BJ121" s="75" t="str">
        <f>VLOOKUP($B121,'[2]Bang luong_06'!$B$10:$C$333,2,0)</f>
        <v>Hồ Văn Còn</v>
      </c>
      <c r="BK121" s="76" t="b">
        <f t="shared" ref="BK121:BK127" si="98">BJ121=C121</f>
        <v>1</v>
      </c>
      <c r="BM121" s="77" t="e">
        <f>+VLOOKUP(B121,'[2]Thưởng Lễ 2-9'!B73:G363,6,0)</f>
        <v>#N/A</v>
      </c>
      <c r="BN121" s="75">
        <f t="shared" ref="BN121:BN127" si="99">ROUND(($BN$12-D121)/30,0)</f>
        <v>-19</v>
      </c>
      <c r="BO121" s="76" t="str">
        <f>+VLOOKUP(B121,'[2]Bang luong_06'!B84:D394,3,0)</f>
        <v>CNSX</v>
      </c>
      <c r="BP121" s="76" t="s">
        <v>40</v>
      </c>
      <c r="BQ121" s="76">
        <v>0</v>
      </c>
      <c r="BR121" s="76">
        <f t="shared" si="80"/>
        <v>6</v>
      </c>
    </row>
    <row r="122" spans="1:70" s="76" customFormat="1" ht="31.5" customHeight="1" x14ac:dyDescent="0.25">
      <c r="A122" s="33">
        <f t="shared" si="81"/>
        <v>105</v>
      </c>
      <c r="B122" s="88" t="s">
        <v>274</v>
      </c>
      <c r="C122" s="89" t="s">
        <v>275</v>
      </c>
      <c r="D122" s="90">
        <v>46115</v>
      </c>
      <c r="E122" s="57" t="s">
        <v>38</v>
      </c>
      <c r="F122" s="57" t="s">
        <v>38</v>
      </c>
      <c r="G122" s="57" t="s">
        <v>38</v>
      </c>
      <c r="H122" s="57" t="s">
        <v>38</v>
      </c>
      <c r="I122" s="57" t="s">
        <v>38</v>
      </c>
      <c r="J122" s="57"/>
      <c r="K122" s="57" t="s">
        <v>37</v>
      </c>
      <c r="L122" s="57" t="s">
        <v>37</v>
      </c>
      <c r="M122" s="57" t="s">
        <v>37</v>
      </c>
      <c r="N122" s="57" t="s">
        <v>37</v>
      </c>
      <c r="O122" s="57" t="s">
        <v>37</v>
      </c>
      <c r="P122" s="57" t="s">
        <v>107</v>
      </c>
      <c r="Q122" s="57" t="s">
        <v>507</v>
      </c>
      <c r="R122" s="57" t="s">
        <v>37</v>
      </c>
      <c r="S122" s="57" t="s">
        <v>37</v>
      </c>
      <c r="T122" s="57" t="s">
        <v>37</v>
      </c>
      <c r="U122" s="57" t="s">
        <v>37</v>
      </c>
      <c r="V122" s="57" t="s">
        <v>37</v>
      </c>
      <c r="W122" s="57" t="s">
        <v>37</v>
      </c>
      <c r="X122" s="57"/>
      <c r="Y122" s="57" t="s">
        <v>38</v>
      </c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8">
        <v>10100403</v>
      </c>
      <c r="AK122" s="59">
        <v>12</v>
      </c>
      <c r="AL122" s="60">
        <f t="shared" si="89"/>
        <v>6</v>
      </c>
      <c r="AM122" s="61">
        <f t="shared" si="90"/>
        <v>11</v>
      </c>
      <c r="AN122" s="62">
        <f t="shared" si="91"/>
        <v>17</v>
      </c>
      <c r="AO122" s="62">
        <f t="shared" si="92"/>
        <v>1</v>
      </c>
      <c r="AP122" s="62">
        <f t="shared" si="93"/>
        <v>0</v>
      </c>
      <c r="AQ122" s="63">
        <f t="shared" si="94"/>
        <v>0</v>
      </c>
      <c r="AR122" s="62">
        <f t="shared" si="95"/>
        <v>0</v>
      </c>
      <c r="AS122" s="62">
        <f t="shared" si="96"/>
        <v>0</v>
      </c>
      <c r="AT122" s="64"/>
      <c r="AU122" s="64"/>
      <c r="AV122" s="65">
        <f t="shared" si="85"/>
        <v>0</v>
      </c>
      <c r="AW122" s="65">
        <f t="shared" si="86"/>
        <v>12</v>
      </c>
      <c r="AX122" s="64"/>
      <c r="AY122" s="64"/>
      <c r="AZ122" s="80"/>
      <c r="BA122" s="66">
        <f t="shared" si="97"/>
        <v>18</v>
      </c>
      <c r="BB122" s="67"/>
      <c r="BC122" s="68"/>
      <c r="BD122" s="69">
        <f>VLOOKUP($B122,[1]CN!$B$9:$DK$221,114,0)</f>
        <v>0</v>
      </c>
      <c r="BE122" s="70">
        <f t="shared" si="88"/>
        <v>27</v>
      </c>
      <c r="BF122" s="71" t="s">
        <v>39</v>
      </c>
      <c r="BG122" s="72" t="s">
        <v>34</v>
      </c>
      <c r="BH122" s="73" t="str">
        <f>VLOOKUP(B122,'[2]Bang luong_06'!$B$9:$C$333,2,0)</f>
        <v>Nguyễn Thành Khoa</v>
      </c>
      <c r="BI122" s="74"/>
      <c r="BJ122" s="75" t="str">
        <f>VLOOKUP($B122,'[2]Bang luong_06'!$B$10:$C$333,2,0)</f>
        <v>Nguyễn Thành Khoa</v>
      </c>
      <c r="BK122" s="76" t="b">
        <f t="shared" si="98"/>
        <v>1</v>
      </c>
      <c r="BM122" s="77" t="e">
        <f>+VLOOKUP(B122,'[2]Thưởng Lễ 2-9'!B74:G364,6,0)</f>
        <v>#N/A</v>
      </c>
      <c r="BN122" s="75">
        <f t="shared" si="99"/>
        <v>-19</v>
      </c>
      <c r="BO122" s="76" t="str">
        <f>+VLOOKUP(B122,'[2]Bang luong_06'!B85:D395,3,0)</f>
        <v>CNSX</v>
      </c>
      <c r="BP122" s="76" t="s">
        <v>40</v>
      </c>
      <c r="BQ122" s="76">
        <v>0</v>
      </c>
      <c r="BR122" s="76">
        <f t="shared" si="80"/>
        <v>6</v>
      </c>
    </row>
    <row r="123" spans="1:70" s="76" customFormat="1" ht="31.5" customHeight="1" x14ac:dyDescent="0.25">
      <c r="A123" s="33">
        <f t="shared" si="81"/>
        <v>106</v>
      </c>
      <c r="B123" s="88" t="s">
        <v>276</v>
      </c>
      <c r="C123" s="89" t="s">
        <v>277</v>
      </c>
      <c r="D123" s="90">
        <v>46121</v>
      </c>
      <c r="E123" s="57" t="s">
        <v>38</v>
      </c>
      <c r="F123" s="57" t="s">
        <v>38</v>
      </c>
      <c r="G123" s="57" t="s">
        <v>38</v>
      </c>
      <c r="H123" s="57" t="s">
        <v>38</v>
      </c>
      <c r="I123" s="57" t="s">
        <v>38</v>
      </c>
      <c r="J123" s="57" t="s">
        <v>506</v>
      </c>
      <c r="K123" s="57" t="s">
        <v>37</v>
      </c>
      <c r="L123" s="57" t="s">
        <v>37</v>
      </c>
      <c r="M123" s="57" t="s">
        <v>37</v>
      </c>
      <c r="N123" s="57" t="s">
        <v>37</v>
      </c>
      <c r="O123" s="57" t="s">
        <v>37</v>
      </c>
      <c r="P123" s="57" t="s">
        <v>37</v>
      </c>
      <c r="Q123" s="57" t="s">
        <v>507</v>
      </c>
      <c r="R123" s="57" t="s">
        <v>37</v>
      </c>
      <c r="S123" s="57" t="s">
        <v>37</v>
      </c>
      <c r="T123" s="57" t="s">
        <v>37</v>
      </c>
      <c r="U123" s="57" t="s">
        <v>37</v>
      </c>
      <c r="V123" s="57" t="s">
        <v>37</v>
      </c>
      <c r="W123" s="57" t="s">
        <v>37</v>
      </c>
      <c r="X123" s="57"/>
      <c r="Y123" s="57" t="s">
        <v>38</v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8">
        <v>10100403</v>
      </c>
      <c r="AK123" s="59">
        <v>12</v>
      </c>
      <c r="AL123" s="60">
        <f t="shared" si="89"/>
        <v>6</v>
      </c>
      <c r="AM123" s="61">
        <f t="shared" si="90"/>
        <v>12</v>
      </c>
      <c r="AN123" s="62">
        <f t="shared" si="91"/>
        <v>18</v>
      </c>
      <c r="AO123" s="62">
        <f t="shared" si="92"/>
        <v>0</v>
      </c>
      <c r="AP123" s="62">
        <f t="shared" si="93"/>
        <v>0</v>
      </c>
      <c r="AQ123" s="63">
        <f t="shared" si="94"/>
        <v>0</v>
      </c>
      <c r="AR123" s="62">
        <f t="shared" si="95"/>
        <v>0</v>
      </c>
      <c r="AS123" s="62">
        <f t="shared" si="96"/>
        <v>0</v>
      </c>
      <c r="AT123" s="64"/>
      <c r="AU123" s="64"/>
      <c r="AV123" s="65">
        <f t="shared" si="85"/>
        <v>12</v>
      </c>
      <c r="AW123" s="65">
        <f t="shared" si="86"/>
        <v>12</v>
      </c>
      <c r="AX123" s="64"/>
      <c r="AY123" s="64"/>
      <c r="AZ123" s="80"/>
      <c r="BA123" s="66">
        <f t="shared" si="97"/>
        <v>18</v>
      </c>
      <c r="BB123" s="67"/>
      <c r="BC123" s="68"/>
      <c r="BD123" s="69">
        <f>VLOOKUP($B123,[1]CN!$B$9:$DK$221,114,0)</f>
        <v>0</v>
      </c>
      <c r="BE123" s="70">
        <f t="shared" si="88"/>
        <v>27</v>
      </c>
      <c r="BF123" s="71" t="s">
        <v>39</v>
      </c>
      <c r="BG123" s="72" t="s">
        <v>34</v>
      </c>
      <c r="BH123" s="73" t="str">
        <f>VLOOKUP(B123,'[2]Bang luong_06'!$B$9:$C$333,2,0)</f>
        <v>Lê Chí Thắng</v>
      </c>
      <c r="BI123" s="74"/>
      <c r="BJ123" s="75" t="str">
        <f>VLOOKUP($B123,'[2]Bang luong_06'!$B$10:$C$333,2,0)</f>
        <v>Lê Chí Thắng</v>
      </c>
      <c r="BK123" s="76" t="b">
        <f t="shared" si="98"/>
        <v>1</v>
      </c>
      <c r="BM123" s="77" t="e">
        <f>+VLOOKUP(B123,'[2]Thưởng Lễ 2-9'!B75:G365,6,0)</f>
        <v>#N/A</v>
      </c>
      <c r="BN123" s="75">
        <f t="shared" si="99"/>
        <v>-20</v>
      </c>
      <c r="BO123" s="76" t="str">
        <f>+VLOOKUP(B123,'[2]Bang luong_06'!B86:D396,3,0)</f>
        <v>CNSX</v>
      </c>
      <c r="BP123" s="76" t="s">
        <v>40</v>
      </c>
      <c r="BQ123" s="76">
        <v>0</v>
      </c>
      <c r="BR123" s="76">
        <f t="shared" si="80"/>
        <v>6</v>
      </c>
    </row>
    <row r="124" spans="1:70" s="76" customFormat="1" ht="31.5" customHeight="1" x14ac:dyDescent="0.25">
      <c r="A124" s="33">
        <f t="shared" si="81"/>
        <v>107</v>
      </c>
      <c r="B124" s="88" t="s">
        <v>278</v>
      </c>
      <c r="C124" s="89" t="s">
        <v>279</v>
      </c>
      <c r="D124" s="90">
        <v>46121</v>
      </c>
      <c r="E124" s="57" t="s">
        <v>38</v>
      </c>
      <c r="F124" s="57" t="s">
        <v>38</v>
      </c>
      <c r="G124" s="57" t="s">
        <v>38</v>
      </c>
      <c r="H124" s="57" t="s">
        <v>38</v>
      </c>
      <c r="I124" s="57" t="s">
        <v>38</v>
      </c>
      <c r="J124" s="57" t="s">
        <v>506</v>
      </c>
      <c r="K124" s="57" t="s">
        <v>37</v>
      </c>
      <c r="L124" s="57" t="s">
        <v>37</v>
      </c>
      <c r="M124" s="57" t="s">
        <v>37</v>
      </c>
      <c r="N124" s="57" t="s">
        <v>37</v>
      </c>
      <c r="O124" s="57" t="s">
        <v>37</v>
      </c>
      <c r="P124" s="57" t="s">
        <v>37</v>
      </c>
      <c r="Q124" s="57" t="s">
        <v>507</v>
      </c>
      <c r="R124" s="57" t="s">
        <v>37</v>
      </c>
      <c r="S124" s="57" t="s">
        <v>37</v>
      </c>
      <c r="T124" s="57" t="s">
        <v>37</v>
      </c>
      <c r="U124" s="57" t="s">
        <v>37</v>
      </c>
      <c r="V124" s="57" t="s">
        <v>37</v>
      </c>
      <c r="W124" s="57" t="s">
        <v>37</v>
      </c>
      <c r="X124" s="57"/>
      <c r="Y124" s="57" t="s">
        <v>38</v>
      </c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8">
        <v>10100403</v>
      </c>
      <c r="AK124" s="59">
        <v>12</v>
      </c>
      <c r="AL124" s="60">
        <f t="shared" si="89"/>
        <v>6</v>
      </c>
      <c r="AM124" s="61">
        <f t="shared" si="90"/>
        <v>12</v>
      </c>
      <c r="AN124" s="62">
        <f t="shared" si="91"/>
        <v>18</v>
      </c>
      <c r="AO124" s="62">
        <f t="shared" si="92"/>
        <v>0</v>
      </c>
      <c r="AP124" s="62">
        <f t="shared" si="93"/>
        <v>0</v>
      </c>
      <c r="AQ124" s="63">
        <f t="shared" si="94"/>
        <v>0</v>
      </c>
      <c r="AR124" s="62">
        <f t="shared" si="95"/>
        <v>0</v>
      </c>
      <c r="AS124" s="62">
        <f t="shared" si="96"/>
        <v>0</v>
      </c>
      <c r="AT124" s="64"/>
      <c r="AU124" s="64"/>
      <c r="AV124" s="65">
        <f t="shared" si="85"/>
        <v>12</v>
      </c>
      <c r="AW124" s="65">
        <f t="shared" si="86"/>
        <v>12</v>
      </c>
      <c r="AX124" s="64"/>
      <c r="AY124" s="64"/>
      <c r="AZ124" s="80"/>
      <c r="BA124" s="66">
        <f t="shared" si="97"/>
        <v>18</v>
      </c>
      <c r="BB124" s="67"/>
      <c r="BC124" s="68"/>
      <c r="BD124" s="69">
        <f>VLOOKUP($B124,[1]CN!$B$9:$DK$221,114,0)</f>
        <v>0</v>
      </c>
      <c r="BE124" s="70">
        <f t="shared" si="88"/>
        <v>27</v>
      </c>
      <c r="BF124" s="71" t="s">
        <v>39</v>
      </c>
      <c r="BG124" s="72" t="s">
        <v>34</v>
      </c>
      <c r="BH124" s="73" t="str">
        <f>VLOOKUP(B124,'[2]Bang luong_06'!$B$9:$C$333,2,0)</f>
        <v>Sơn Nghĩa</v>
      </c>
      <c r="BI124" s="74"/>
      <c r="BJ124" s="75" t="str">
        <f>VLOOKUP($B124,'[2]Bang luong_06'!$B$10:$C$333,2,0)</f>
        <v>Sơn Nghĩa</v>
      </c>
      <c r="BK124" s="76" t="b">
        <f t="shared" si="98"/>
        <v>1</v>
      </c>
      <c r="BM124" s="77" t="e">
        <f>+VLOOKUP(B124,'[2]Thưởng Lễ 2-9'!B76:G366,6,0)</f>
        <v>#N/A</v>
      </c>
      <c r="BN124" s="75">
        <f t="shared" si="99"/>
        <v>-20</v>
      </c>
      <c r="BO124" s="76" t="str">
        <f>+VLOOKUP(B124,'[2]Bang luong_06'!B87:D397,3,0)</f>
        <v>CNSX</v>
      </c>
      <c r="BP124" s="76" t="s">
        <v>40</v>
      </c>
      <c r="BQ124" s="76">
        <v>0</v>
      </c>
      <c r="BR124" s="76">
        <f t="shared" si="80"/>
        <v>6</v>
      </c>
    </row>
    <row r="125" spans="1:70" s="76" customFormat="1" ht="31.5" customHeight="1" x14ac:dyDescent="0.25">
      <c r="A125" s="33">
        <f t="shared" si="81"/>
        <v>108</v>
      </c>
      <c r="B125" s="88" t="s">
        <v>280</v>
      </c>
      <c r="C125" s="89" t="s">
        <v>281</v>
      </c>
      <c r="D125" s="90">
        <v>46121</v>
      </c>
      <c r="E125" s="57" t="s">
        <v>37</v>
      </c>
      <c r="F125" s="57" t="s">
        <v>37</v>
      </c>
      <c r="G125" s="57" t="s">
        <v>37</v>
      </c>
      <c r="H125" s="57" t="s">
        <v>37</v>
      </c>
      <c r="I125" s="57" t="s">
        <v>37</v>
      </c>
      <c r="J125" s="57" t="s">
        <v>507</v>
      </c>
      <c r="K125" s="57" t="s">
        <v>107</v>
      </c>
      <c r="L125" s="57" t="s">
        <v>38</v>
      </c>
      <c r="M125" s="57" t="s">
        <v>38</v>
      </c>
      <c r="N125" s="57" t="s">
        <v>38</v>
      </c>
      <c r="O125" s="57" t="s">
        <v>38</v>
      </c>
      <c r="P125" s="57" t="s">
        <v>38</v>
      </c>
      <c r="Q125" s="57"/>
      <c r="R125" s="57" t="s">
        <v>38</v>
      </c>
      <c r="S125" s="57" t="s">
        <v>38</v>
      </c>
      <c r="T125" s="57" t="s">
        <v>282</v>
      </c>
      <c r="U125" s="57" t="s">
        <v>38</v>
      </c>
      <c r="V125" s="57" t="s">
        <v>38</v>
      </c>
      <c r="W125" s="57" t="s">
        <v>38</v>
      </c>
      <c r="X125" s="57" t="s">
        <v>506</v>
      </c>
      <c r="Y125" s="57" t="s">
        <v>37</v>
      </c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8">
        <v>10100403</v>
      </c>
      <c r="AK125" s="59">
        <v>12</v>
      </c>
      <c r="AL125" s="60">
        <f t="shared" si="89"/>
        <v>10.5</v>
      </c>
      <c r="AM125" s="61">
        <f t="shared" si="90"/>
        <v>6</v>
      </c>
      <c r="AN125" s="62">
        <f t="shared" si="91"/>
        <v>16.5</v>
      </c>
      <c r="AO125" s="62">
        <f t="shared" si="92"/>
        <v>1</v>
      </c>
      <c r="AP125" s="62">
        <f t="shared" si="93"/>
        <v>0</v>
      </c>
      <c r="AQ125" s="63">
        <f t="shared" si="94"/>
        <v>0.5</v>
      </c>
      <c r="AR125" s="62">
        <f t="shared" si="95"/>
        <v>0</v>
      </c>
      <c r="AS125" s="62">
        <f t="shared" si="96"/>
        <v>0</v>
      </c>
      <c r="AT125" s="64"/>
      <c r="AU125" s="64"/>
      <c r="AV125" s="65">
        <f t="shared" si="85"/>
        <v>12</v>
      </c>
      <c r="AW125" s="65">
        <f t="shared" si="86"/>
        <v>12</v>
      </c>
      <c r="AX125" s="64"/>
      <c r="AY125" s="64"/>
      <c r="AZ125" s="80"/>
      <c r="BA125" s="66">
        <f t="shared" si="97"/>
        <v>17.5</v>
      </c>
      <c r="BB125" s="67"/>
      <c r="BC125" s="68"/>
      <c r="BD125" s="69">
        <f>VLOOKUP($B125,[1]CN!$B$9:$DK$221,114,0)</f>
        <v>0</v>
      </c>
      <c r="BE125" s="70">
        <f t="shared" si="88"/>
        <v>27</v>
      </c>
      <c r="BF125" s="71" t="s">
        <v>39</v>
      </c>
      <c r="BG125" s="72" t="s">
        <v>34</v>
      </c>
      <c r="BH125" s="73" t="str">
        <f>VLOOKUP(B125,'[2]Bang luong_06'!$B$9:$C$333,2,0)</f>
        <v>Bùi Văn Dương</v>
      </c>
      <c r="BI125" s="74"/>
      <c r="BJ125" s="75" t="str">
        <f>VLOOKUP($B125,'[2]Bang luong_06'!$B$10:$C$333,2,0)</f>
        <v>Bùi Văn Dương</v>
      </c>
      <c r="BK125" s="76" t="b">
        <f t="shared" si="98"/>
        <v>1</v>
      </c>
      <c r="BM125" s="77" t="e">
        <f>+VLOOKUP(B125,'[2]Thưởng Lễ 2-9'!B77:G367,6,0)</f>
        <v>#N/A</v>
      </c>
      <c r="BN125" s="75">
        <f t="shared" si="99"/>
        <v>-20</v>
      </c>
      <c r="BO125" s="76" t="str">
        <f>+VLOOKUP(B125,'[2]Bang luong_06'!B88:D398,3,0)</f>
        <v>CNSX</v>
      </c>
      <c r="BP125" s="76" t="s">
        <v>40</v>
      </c>
      <c r="BQ125" s="76">
        <v>0</v>
      </c>
      <c r="BR125" s="76">
        <f t="shared" si="80"/>
        <v>10.5</v>
      </c>
    </row>
    <row r="126" spans="1:70" s="76" customFormat="1" ht="31.5" customHeight="1" x14ac:dyDescent="0.25">
      <c r="A126" s="33">
        <f t="shared" si="81"/>
        <v>109</v>
      </c>
      <c r="B126" s="88" t="s">
        <v>283</v>
      </c>
      <c r="C126" s="89" t="s">
        <v>284</v>
      </c>
      <c r="D126" s="90">
        <v>46121</v>
      </c>
      <c r="E126" s="57" t="s">
        <v>37</v>
      </c>
      <c r="F126" s="57" t="s">
        <v>37</v>
      </c>
      <c r="G126" s="57" t="s">
        <v>37</v>
      </c>
      <c r="H126" s="57" t="s">
        <v>37</v>
      </c>
      <c r="I126" s="57" t="s">
        <v>37</v>
      </c>
      <c r="J126" s="57"/>
      <c r="K126" s="57" t="s">
        <v>38</v>
      </c>
      <c r="L126" s="57" t="s">
        <v>38</v>
      </c>
      <c r="M126" s="57" t="s">
        <v>38</v>
      </c>
      <c r="N126" s="57" t="s">
        <v>38</v>
      </c>
      <c r="O126" s="57" t="s">
        <v>38</v>
      </c>
      <c r="P126" s="57" t="s">
        <v>38</v>
      </c>
      <c r="Q126" s="57"/>
      <c r="R126" s="57" t="s">
        <v>38</v>
      </c>
      <c r="S126" s="57" t="s">
        <v>38</v>
      </c>
      <c r="T126" s="57" t="s">
        <v>38</v>
      </c>
      <c r="U126" s="57" t="s">
        <v>38</v>
      </c>
      <c r="V126" s="57" t="s">
        <v>38</v>
      </c>
      <c r="W126" s="57" t="s">
        <v>38</v>
      </c>
      <c r="X126" s="57"/>
      <c r="Y126" s="57" t="s">
        <v>37</v>
      </c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8">
        <v>10100403</v>
      </c>
      <c r="AK126" s="59">
        <v>12</v>
      </c>
      <c r="AL126" s="60">
        <f t="shared" si="89"/>
        <v>12</v>
      </c>
      <c r="AM126" s="61">
        <f t="shared" si="90"/>
        <v>6</v>
      </c>
      <c r="AN126" s="62">
        <f t="shared" si="91"/>
        <v>18</v>
      </c>
      <c r="AO126" s="62">
        <f t="shared" si="92"/>
        <v>0</v>
      </c>
      <c r="AP126" s="62">
        <f t="shared" si="93"/>
        <v>0</v>
      </c>
      <c r="AQ126" s="63">
        <f t="shared" si="94"/>
        <v>0</v>
      </c>
      <c r="AR126" s="62">
        <f t="shared" si="95"/>
        <v>0</v>
      </c>
      <c r="AS126" s="62">
        <f t="shared" si="96"/>
        <v>0</v>
      </c>
      <c r="AT126" s="64"/>
      <c r="AU126" s="64"/>
      <c r="AV126" s="65">
        <f t="shared" si="85"/>
        <v>0</v>
      </c>
      <c r="AW126" s="65">
        <f t="shared" si="86"/>
        <v>0</v>
      </c>
      <c r="AX126" s="64"/>
      <c r="AY126" s="64"/>
      <c r="AZ126" s="80"/>
      <c r="BA126" s="66">
        <f t="shared" si="97"/>
        <v>18</v>
      </c>
      <c r="BB126" s="67"/>
      <c r="BC126" s="68"/>
      <c r="BD126" s="69">
        <f>VLOOKUP($B126,[1]CN!$B$9:$DK$221,114,0)</f>
        <v>0</v>
      </c>
      <c r="BE126" s="70">
        <f t="shared" si="88"/>
        <v>27</v>
      </c>
      <c r="BF126" s="71" t="s">
        <v>39</v>
      </c>
      <c r="BG126" s="72" t="s">
        <v>34</v>
      </c>
      <c r="BH126" s="73" t="str">
        <f>VLOOKUP(B126,'[2]Bang luong_06'!$B$9:$C$333,2,0)</f>
        <v>Nguyễn Hoàng Giang</v>
      </c>
      <c r="BI126" s="74"/>
      <c r="BJ126" s="75" t="str">
        <f>VLOOKUP($B126,'[2]Bang luong_06'!$B$10:$C$333,2,0)</f>
        <v>Nguyễn Hoàng Giang</v>
      </c>
      <c r="BK126" s="76" t="b">
        <f t="shared" si="98"/>
        <v>1</v>
      </c>
      <c r="BM126" s="77" t="e">
        <f>+VLOOKUP(B126,'[2]Thưởng Lễ 2-9'!B76:G366,6,0)</f>
        <v>#N/A</v>
      </c>
      <c r="BN126" s="75">
        <f t="shared" si="99"/>
        <v>-20</v>
      </c>
      <c r="BO126" s="76" t="str">
        <f>+VLOOKUP(B126,'[2]Bang luong_06'!B87:D397,3,0)</f>
        <v>CNSX</v>
      </c>
      <c r="BP126" s="76" t="s">
        <v>40</v>
      </c>
      <c r="BQ126" s="76">
        <v>0</v>
      </c>
      <c r="BR126" s="76">
        <f t="shared" si="80"/>
        <v>12</v>
      </c>
    </row>
    <row r="127" spans="1:70" s="76" customFormat="1" ht="31.5" customHeight="1" x14ac:dyDescent="0.25">
      <c r="A127" s="33">
        <f t="shared" si="81"/>
        <v>110</v>
      </c>
      <c r="B127" s="88" t="s">
        <v>285</v>
      </c>
      <c r="C127" s="89" t="s">
        <v>286</v>
      </c>
      <c r="D127" s="90">
        <v>46121</v>
      </c>
      <c r="E127" s="57" t="s">
        <v>37</v>
      </c>
      <c r="F127" s="57" t="s">
        <v>37</v>
      </c>
      <c r="G127" s="57" t="s">
        <v>37</v>
      </c>
      <c r="H127" s="57" t="s">
        <v>37</v>
      </c>
      <c r="I127" s="57" t="s">
        <v>37</v>
      </c>
      <c r="J127" s="57" t="s">
        <v>507</v>
      </c>
      <c r="K127" s="57" t="s">
        <v>107</v>
      </c>
      <c r="L127" s="57" t="s">
        <v>38</v>
      </c>
      <c r="M127" s="57" t="s">
        <v>38</v>
      </c>
      <c r="N127" s="57" t="s">
        <v>38</v>
      </c>
      <c r="O127" s="57" t="s">
        <v>38</v>
      </c>
      <c r="P127" s="57" t="s">
        <v>38</v>
      </c>
      <c r="Q127" s="57" t="s">
        <v>506</v>
      </c>
      <c r="R127" s="57" t="s">
        <v>38</v>
      </c>
      <c r="S127" s="57" t="s">
        <v>38</v>
      </c>
      <c r="T127" s="57" t="s">
        <v>38</v>
      </c>
      <c r="U127" s="57" t="s">
        <v>38</v>
      </c>
      <c r="V127" s="57" t="s">
        <v>38</v>
      </c>
      <c r="W127" s="57" t="s">
        <v>38</v>
      </c>
      <c r="X127" s="57" t="s">
        <v>506</v>
      </c>
      <c r="Y127" s="57" t="s">
        <v>37</v>
      </c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8">
        <v>10100403</v>
      </c>
      <c r="AK127" s="59">
        <v>12</v>
      </c>
      <c r="AL127" s="60">
        <f t="shared" si="89"/>
        <v>11</v>
      </c>
      <c r="AM127" s="61">
        <f t="shared" si="90"/>
        <v>6</v>
      </c>
      <c r="AN127" s="62">
        <f t="shared" si="91"/>
        <v>17</v>
      </c>
      <c r="AO127" s="62">
        <f t="shared" si="92"/>
        <v>1</v>
      </c>
      <c r="AP127" s="62">
        <f t="shared" si="93"/>
        <v>0</v>
      </c>
      <c r="AQ127" s="63">
        <f t="shared" si="94"/>
        <v>0</v>
      </c>
      <c r="AR127" s="62">
        <f t="shared" si="95"/>
        <v>0</v>
      </c>
      <c r="AS127" s="62">
        <f t="shared" si="96"/>
        <v>0</v>
      </c>
      <c r="AT127" s="64"/>
      <c r="AU127" s="64"/>
      <c r="AV127" s="65">
        <f t="shared" si="85"/>
        <v>24</v>
      </c>
      <c r="AW127" s="65">
        <f t="shared" si="86"/>
        <v>12</v>
      </c>
      <c r="AX127" s="64"/>
      <c r="AY127" s="64"/>
      <c r="AZ127" s="80"/>
      <c r="BA127" s="66">
        <f t="shared" si="97"/>
        <v>18</v>
      </c>
      <c r="BB127" s="67"/>
      <c r="BC127" s="68"/>
      <c r="BD127" s="69">
        <f>VLOOKUP($B127,[1]CN!$B$9:$DK$221,114,0)</f>
        <v>0</v>
      </c>
      <c r="BE127" s="70">
        <f t="shared" si="88"/>
        <v>27</v>
      </c>
      <c r="BF127" s="71" t="s">
        <v>39</v>
      </c>
      <c r="BG127" s="72" t="s">
        <v>34</v>
      </c>
      <c r="BH127" s="73" t="str">
        <f>VLOOKUP(B127,'[2]Bang luong_06'!$B$9:$C$333,2,0)</f>
        <v>Lâm Phi</v>
      </c>
      <c r="BI127" s="74"/>
      <c r="BJ127" s="75" t="str">
        <f>VLOOKUP($B127,'[2]Bang luong_06'!$B$10:$C$333,2,0)</f>
        <v>Lâm Phi</v>
      </c>
      <c r="BK127" s="76" t="b">
        <f t="shared" si="98"/>
        <v>1</v>
      </c>
      <c r="BM127" s="77" t="e">
        <f>+VLOOKUP(B127,'[2]Thưởng Lễ 2-9'!B77:G367,6,0)</f>
        <v>#N/A</v>
      </c>
      <c r="BN127" s="75">
        <f t="shared" si="99"/>
        <v>-20</v>
      </c>
      <c r="BO127" s="76" t="str">
        <f>+VLOOKUP(B127,'[2]Bang luong_06'!B88:D398,3,0)</f>
        <v>CNSX</v>
      </c>
      <c r="BP127" s="76" t="s">
        <v>40</v>
      </c>
      <c r="BQ127" s="76">
        <v>0</v>
      </c>
      <c r="BR127" s="76">
        <f t="shared" si="80"/>
        <v>11</v>
      </c>
    </row>
    <row r="128" spans="1:70" s="76" customFormat="1" ht="31.5" customHeight="1" x14ac:dyDescent="0.25">
      <c r="A128" s="33">
        <f t="shared" si="81"/>
        <v>111</v>
      </c>
      <c r="B128" s="88" t="s">
        <v>287</v>
      </c>
      <c r="C128" s="89" t="s">
        <v>288</v>
      </c>
      <c r="D128" s="90">
        <v>46130</v>
      </c>
      <c r="E128" s="57" t="s">
        <v>37</v>
      </c>
      <c r="F128" s="57" t="s">
        <v>37</v>
      </c>
      <c r="G128" s="57" t="s">
        <v>37</v>
      </c>
      <c r="H128" s="57" t="s">
        <v>37</v>
      </c>
      <c r="I128" s="57" t="s">
        <v>37</v>
      </c>
      <c r="J128" s="57"/>
      <c r="K128" s="57" t="s">
        <v>38</v>
      </c>
      <c r="L128" s="57" t="s">
        <v>38</v>
      </c>
      <c r="M128" s="57" t="s">
        <v>38</v>
      </c>
      <c r="N128" s="57" t="s">
        <v>38</v>
      </c>
      <c r="O128" s="57" t="s">
        <v>38</v>
      </c>
      <c r="P128" s="57" t="s">
        <v>38</v>
      </c>
      <c r="Q128" s="57"/>
      <c r="R128" s="57" t="s">
        <v>38</v>
      </c>
      <c r="S128" s="57" t="s">
        <v>38</v>
      </c>
      <c r="T128" s="57" t="s">
        <v>38</v>
      </c>
      <c r="U128" s="57" t="s">
        <v>38</v>
      </c>
      <c r="V128" s="57" t="s">
        <v>38</v>
      </c>
      <c r="W128" s="57" t="s">
        <v>38</v>
      </c>
      <c r="X128" s="57"/>
      <c r="Y128" s="57" t="s">
        <v>37</v>
      </c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8">
        <v>10100403</v>
      </c>
      <c r="AK128" s="59">
        <v>12</v>
      </c>
      <c r="AL128" s="60">
        <f>COUNTIF(D128:AI128,"N")+COUNTIF(D128:AI128,"N1")*1/AK128+COUNTIF(D128:AI128,"N2")*2/AK128+COUNTIF(D128:AI128,"N3")*3/AK128+COUNTIF(D128:AI128,"N4")*4/AK128+COUNTIF(D128:AI128,"N5")*5/AK128+COUNTIF(D128:AI128,"N6")*6/AK128+COUNTIF(D128:AI128,"N7")*7/AK128+COUNTIF(D128:AI128,"N8")*8/AK128+COUNTIF(D128:AI128,"N9")*9/AK128+COUNTIF(D128:AI128,"N10")*10/AK128+COUNTIF(D128:AI128,"N11")*11/AK128+COUNTIF(D128:AI128,"N12")*12/AK128+COUNTIF(D128:AI128,"Ro1")*1/AK128+COUNTIF(D128:AI128,"Ro2")*2/AK128+COUNTIF(D128:AI128,"Ro3")*3/AK128+COUNTIF(D128:AI128,"Ro3.0")*3/AK128+COUNTIF(D128:AI128,"Ro4")*4/AK128+COUNTIF(D128:AI128,"Ro4.0")*4/AK128+COUNTIF(D128:AI128,"Ro4.5")*4.5/AK128+COUNTIF(D128:AI128,"Ro5")*5/AK128+COUNTIF(D128:AI128,"Ro5.0")*5/AK128+COUNTIF(D128:AI128,"Ro5.5")*5.5/AK128+COUNTIF(D128:AI128,"Ro6")*6/AK128+COUNTIF(D128:AI128,"Ro7")*7/AK128+COUNTIF(D128:AI128,"Ro8")*8/AK128+COUNTIF(D128:AI128,"Ro8.0")*8/AK128+COUNTIF(D128:AI128,"Ro8.3")*8.3/AK128+COUNTIF(D128:AI128,"Ro8.5")*8.5/AK128+COUNTIF(D128:AI128,"Ro9")*9/AK128+COUNTIF(D128:AI128,"Ro9.5")*9.5/AK128+COUNTIF(D128:AI128,"Ro10")*10/AK128+COUNTIF(D128:AI128,"Ro10.0")*10/AK128+COUNTIF(D128:AI128,"Ro10.5")*10.5/AK128+COUNTIF(D128:AI128,"Ro11")*11/AK128+COUNTIF(D128:AI128,"Ro11.0")*11/AK128+COUNTIF(D128:AI128,"Ro11.5")*11.5/AK128+COUNTIF(D128:AI128,"Bu1")+COUNTIF(D128:AI128,"Bu2")+COUNTIF(D128:AI128,"Bu3")+COUNTIF(D128:AI128,"Bu4")+COUNTIF(D128:AI128,"Bu5")+COUNTIF(D128:AI128,"Bu6")+COUNTIF(D128:AI128,"Bu7")+COUNTIF(D128:AI128,"Bu8")+COUNTIF(D128:AI128,"Bu9")+COUNTIF(D128:AI128,"Bu10")+COUNTIF(D128:AI128,"Bu11")+COUNTIF(D128:AI128,"Bu")+COUNTIF(D128:AI128,"P2")*0.5</f>
        <v>12</v>
      </c>
      <c r="AM128" s="61">
        <f>COUNTIF(E128:AI128,"D")+COUNTIF(E128:AI128,"D1")*1/AK128+COUNTIF(E128:AI128,"D2")*2/AK128+COUNTIF(E128:AI128,"D3")*3/AK128+COUNTIF(E128:AI128,"D4")*4/AK128+COUNTIF(E128:AI128,"D5")*5/AK128+COUNTIF(E128:AI128,"D6")*6/AK128+COUNTIF(E128:AI128,"D7")*7/AK128+COUNTIF(E128:AI128,"D8")*8/AK128+COUNTIF(E128:AI128,"D9")*9/AK128+COUNTIF(E128:AI128,"D10")*10/AK128+COUNTIF(E128:AI128,"D11")*11/AK128+COUNTIF(E128:AI128,"D12")*12/AK128</f>
        <v>6</v>
      </c>
      <c r="AN128" s="62">
        <f>+AL128+AM128</f>
        <v>18</v>
      </c>
      <c r="AO128" s="62">
        <f>COUNTIF(E128:AI128,"p")+COUNTIF(E128:AI128,"p1")/2+COUNTIF(E128:AI128,"p2")/2</f>
        <v>0</v>
      </c>
      <c r="AP128" s="62">
        <f>COUNTIF(E128:AI128,"K")</f>
        <v>0</v>
      </c>
      <c r="AQ128" s="63">
        <f>COUNTIF(E128:AI128,"Ro")+COUNTIF(E128:AI128,"Ro1")*11/AK128+COUNTIF(E128:AI128,"Ro2")*10/AK128+COUNTIF(E128:AI128,"Ro3")*9/AK128+COUNTIF(E128:AI128,"Ro3.0")*9/AK128+COUNTIF(E128:AI128,"Ro4")*8/AK128+COUNTIF(E128:AI128,"Ro4.0")*8/AK128+COUNTIF(E128:AI128,"Ro4.5")*7.5/AK128+COUNTIF(E128:AI128,"Ro5")*7/AK128+COUNTIF(E128:AI128,"Ro5.0")*7/AK128+COUNTIF(E128:AI128,"Ro5.5")*6.5/AK128+COUNTIF(E128:AI128,"Ro6")*6/AK128+COUNTIF(E128:AI128,"Ro7")*5/AK128+COUNTIF(E128:AI128,"Ro8")*4/AK128+COUNTIF(E128:AI128,"Ro8.0")*4/AK128+COUNTIF(E128:AI128,"Ro8.3")*3.7/AK128+COUNTIF(E128:AI128,"Ro8.5")*3.5/AK128+COUNTIF(E128:AI128,"Ro9")*3/AK128+COUNTIF(E128:AI128,"Ro10")*2/AK128+COUNTIF(E128:AI128,"Ro10.0")*2/AK128+COUNTIF(E128:AI128,"Ro10.5")*1.5/AK128+COUNTIF(E128:AI128,"Ro11.0")*1/AK128+COUNTIF(E128:AI128,"Ro11")*1/AK128+COUNTIF(E128:AI128,"Ro11.5")*0.5/AK128+COUNTIF(E128:AI128,"N1")*11/AK128+COUNTIF(E128:AI128,"N2")*10/AK128+COUNTIF(E128:AI128,"N3")*9/AK128+COUNTIF(E128:AI128,"N4")*8/AK128+COUNTIF(E128:AI128,"N5")*7/AK128+COUNTIF(E128:AI128,"N6")*6/AK128+COUNTIF(E128:AI128,"N7")*5/AK128+COUNTIF(E128:AI128,"N8")*4/AK128+COUNTIF(E128:AI128,"N9")*3/AK128+COUNTIF(E128:AI128,"N10")*2/AK128+COUNTIF(E128:AI128,"N11")*1/AK128+COUNTIF(E128:AI128,"D1")*11/AK128+COUNTIF(E128:AI128,"D2")*10/AK128+COUNTIF(E128:AI128,"D3")*9/AK128+COUNTIF(E128:AI128,"D4")*8/AK128+COUNTIF(E128:AI128,"D5")*7/AK128+COUNTIF(E128:AI128,"D6")*6/AK128+COUNTIF(E128:AI128,"D7")*5/AK128+COUNTIF(E128:AI128,"D8")*4/AK128+COUNTIF(E128:AI128,"D9")*3/AK128+COUNTIF(E128:AI128,"D10")*2/AK128+COUNTIF(E128:AI128,"D11")*1/AK128+COUNTIF(E128:AI128,"P1")*0.5</f>
        <v>0</v>
      </c>
      <c r="AR128" s="62">
        <f>COUNTIF(E128:AI128,"R")</f>
        <v>0</v>
      </c>
      <c r="AS128" s="62">
        <f>COUNTIF(E128:AI128,"L")</f>
        <v>0</v>
      </c>
      <c r="AT128" s="64"/>
      <c r="AU128" s="64"/>
      <c r="AV128" s="65">
        <f t="shared" si="85"/>
        <v>0</v>
      </c>
      <c r="AW128" s="65">
        <f t="shared" si="86"/>
        <v>0</v>
      </c>
      <c r="AX128" s="64"/>
      <c r="AY128" s="64"/>
      <c r="AZ128" s="80"/>
      <c r="BA128" s="66">
        <f>+AN128+AR128+AS128+AO128</f>
        <v>18</v>
      </c>
      <c r="BB128" s="67"/>
      <c r="BC128" s="68"/>
      <c r="BD128" s="69">
        <f>VLOOKUP($B128,[1]CN!$B$9:$DK$221,114,0)</f>
        <v>0</v>
      </c>
      <c r="BE128" s="70">
        <f t="shared" si="88"/>
        <v>27</v>
      </c>
      <c r="BF128" s="71" t="s">
        <v>39</v>
      </c>
      <c r="BG128" s="72" t="s">
        <v>34</v>
      </c>
      <c r="BH128" s="73" t="str">
        <f>VLOOKUP(B128,'[2]Bang luong_06'!$B$9:$C$333,2,0)</f>
        <v>Phạm Hữu Du Đô</v>
      </c>
      <c r="BI128" s="74"/>
      <c r="BJ128" s="75" t="str">
        <f>VLOOKUP($B128,'[2]Bang luong_06'!$B$10:$C$333,2,0)</f>
        <v>Phạm Hữu Du Đô</v>
      </c>
      <c r="BK128" s="76" t="b">
        <f>BJ128=C128</f>
        <v>1</v>
      </c>
      <c r="BM128" s="77" t="e">
        <f>+VLOOKUP(B128,'[2]Thưởng Lễ 2-9'!B72:G362,6,0)</f>
        <v>#N/A</v>
      </c>
      <c r="BN128" s="75">
        <f>ROUND(($BN$12-D128)/30,0)</f>
        <v>-20</v>
      </c>
      <c r="BO128" s="76" t="str">
        <f>+VLOOKUP(B128,'[2]Bang luong_06'!B83:D393,3,0)</f>
        <v>CNSX</v>
      </c>
      <c r="BP128" s="76" t="s">
        <v>40</v>
      </c>
      <c r="BQ128" s="76">
        <v>0</v>
      </c>
      <c r="BR128" s="76">
        <f t="shared" si="80"/>
        <v>12</v>
      </c>
    </row>
    <row r="129" spans="1:70" s="76" customFormat="1" ht="31.5" customHeight="1" x14ac:dyDescent="0.25">
      <c r="A129" s="33">
        <f t="shared" si="81"/>
        <v>112</v>
      </c>
      <c r="B129" s="88" t="s">
        <v>289</v>
      </c>
      <c r="C129" s="89" t="s">
        <v>290</v>
      </c>
      <c r="D129" s="90">
        <v>46136</v>
      </c>
      <c r="E129" s="57" t="s">
        <v>37</v>
      </c>
      <c r="F129" s="57" t="s">
        <v>37</v>
      </c>
      <c r="G129" s="57" t="s">
        <v>37</v>
      </c>
      <c r="H129" s="57" t="s">
        <v>37</v>
      </c>
      <c r="I129" s="57" t="s">
        <v>37</v>
      </c>
      <c r="J129" s="57"/>
      <c r="K129" s="57" t="s">
        <v>38</v>
      </c>
      <c r="L129" s="57" t="s">
        <v>38</v>
      </c>
      <c r="M129" s="57" t="s">
        <v>38</v>
      </c>
      <c r="N129" s="57" t="s">
        <v>38</v>
      </c>
      <c r="O129" s="57" t="s">
        <v>38</v>
      </c>
      <c r="P129" s="57" t="s">
        <v>38</v>
      </c>
      <c r="Q129" s="57"/>
      <c r="R129" s="57" t="s">
        <v>38</v>
      </c>
      <c r="S129" s="57" t="s">
        <v>38</v>
      </c>
      <c r="T129" s="57" t="s">
        <v>38</v>
      </c>
      <c r="U129" s="57" t="s">
        <v>38</v>
      </c>
      <c r="V129" s="57" t="s">
        <v>38</v>
      </c>
      <c r="W129" s="57" t="s">
        <v>38</v>
      </c>
      <c r="X129" s="57"/>
      <c r="Y129" s="57" t="s">
        <v>37</v>
      </c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8">
        <v>10100403</v>
      </c>
      <c r="AK129" s="59">
        <v>12</v>
      </c>
      <c r="AL129" s="60">
        <f t="shared" ref="AL129:AL134" si="100">COUNTIF(D129:AI129,"N")+COUNTIF(D129:AI129,"N1")*1/AK129+COUNTIF(D129:AI129,"N2")*2/AK129+COUNTIF(D129:AI129,"N3")*3/AK129+COUNTIF(D129:AI129,"N4")*4/AK129+COUNTIF(D129:AI129,"N5")*5/AK129+COUNTIF(D129:AI129,"N6")*6/AK129+COUNTIF(D129:AI129,"N7")*7/AK129+COUNTIF(D129:AI129,"N8")*8/AK129+COUNTIF(D129:AI129,"N9")*9/AK129+COUNTIF(D129:AI129,"N10")*10/AK129+COUNTIF(D129:AI129,"N11")*11/AK129+COUNTIF(D129:AI129,"N12")*12/AK129+COUNTIF(D129:AI129,"Ro1")*1/AK129+COUNTIF(D129:AI129,"Ro2")*2/AK129+COUNTIF(D129:AI129,"Ro3")*3/AK129+COUNTIF(D129:AI129,"Ro3.0")*3/AK129+COUNTIF(D129:AI129,"Ro4")*4/AK129+COUNTIF(D129:AI129,"Ro4.0")*4/AK129+COUNTIF(D129:AI129,"Ro4.5")*4.5/AK129+COUNTIF(D129:AI129,"Ro5")*5/AK129+COUNTIF(D129:AI129,"Ro5.0")*5/AK129+COUNTIF(D129:AI129,"Ro5.5")*5.5/AK129+COUNTIF(D129:AI129,"Ro6")*6/AK129+COUNTIF(D129:AI129,"Ro7")*7/AK129+COUNTIF(D129:AI129,"Ro8")*8/AK129+COUNTIF(D129:AI129,"Ro8.0")*8/AK129+COUNTIF(D129:AI129,"Ro8.3")*8.3/AK129+COUNTIF(D129:AI129,"Ro8.5")*8.5/AK129+COUNTIF(D129:AI129,"Ro9")*9/AK129+COUNTIF(D129:AI129,"Ro9.5")*9.5/AK129+COUNTIF(D129:AI129,"Ro10")*10/AK129+COUNTIF(D129:AI129,"Ro10.0")*10/AK129+COUNTIF(D129:AI129,"Ro10.5")*10.5/AK129+COUNTIF(D129:AI129,"Ro11")*11/AK129+COUNTIF(D129:AI129,"Ro11.0")*11/AK129+COUNTIF(D129:AI129,"Ro11.5")*11.5/AK129+COUNTIF(D129:AI129,"Bu1")+COUNTIF(D129:AI129,"Bu2")+COUNTIF(D129:AI129,"Bu3")+COUNTIF(D129:AI129,"Bu4")+COUNTIF(D129:AI129,"Bu5")+COUNTIF(D129:AI129,"Bu6")+COUNTIF(D129:AI129,"Bu7")+COUNTIF(D129:AI129,"Bu8")+COUNTIF(D129:AI129,"Bu9")+COUNTIF(D129:AI129,"Bu10")+COUNTIF(D129:AI129,"Bu11")+COUNTIF(D129:AI129,"Bu")+COUNTIF(D129:AI129,"P2")*0.5</f>
        <v>12</v>
      </c>
      <c r="AM129" s="61">
        <f t="shared" ref="AM129:AM134" si="101">COUNTIF(E129:AI129,"D")+COUNTIF(E129:AI129,"D1")*1/AK129+COUNTIF(E129:AI129,"D2")*2/AK129+COUNTIF(E129:AI129,"D3")*3/AK129+COUNTIF(E129:AI129,"D4")*4/AK129+COUNTIF(E129:AI129,"D5")*5/AK129+COUNTIF(E129:AI129,"D6")*6/AK129+COUNTIF(E129:AI129,"D7")*7/AK129+COUNTIF(E129:AI129,"D8")*8/AK129+COUNTIF(E129:AI129,"D9")*9/AK129+COUNTIF(E129:AI129,"D10")*10/AK129+COUNTIF(E129:AI129,"D11")*11/AK129+COUNTIF(E129:AI129,"D12")*12/AK129</f>
        <v>6</v>
      </c>
      <c r="AN129" s="62">
        <f t="shared" ref="AN129:AN134" si="102">+AL129+AM129</f>
        <v>18</v>
      </c>
      <c r="AO129" s="62">
        <f t="shared" ref="AO129:AO134" si="103">COUNTIF(E129:AI129,"p")+COUNTIF(E129:AI129,"p1")/2+COUNTIF(E129:AI129,"p2")/2</f>
        <v>0</v>
      </c>
      <c r="AP129" s="62">
        <f t="shared" ref="AP129:AP134" si="104">COUNTIF(E129:AI129,"K")</f>
        <v>0</v>
      </c>
      <c r="AQ129" s="63">
        <f t="shared" ref="AQ129:AQ134" si="105">COUNTIF(E129:AI129,"Ro")+COUNTIF(E129:AI129,"Ro1")*11/AK129+COUNTIF(E129:AI129,"Ro2")*10/AK129+COUNTIF(E129:AI129,"Ro3")*9/AK129+COUNTIF(E129:AI129,"Ro3.0")*9/AK129+COUNTIF(E129:AI129,"Ro4")*8/AK129+COUNTIF(E129:AI129,"Ro4.0")*8/AK129+COUNTIF(E129:AI129,"Ro4.5")*7.5/AK129+COUNTIF(E129:AI129,"Ro5")*7/AK129+COUNTIF(E129:AI129,"Ro5.0")*7/AK129+COUNTIF(E129:AI129,"Ro5.5")*6.5/AK129+COUNTIF(E129:AI129,"Ro6")*6/AK129+COUNTIF(E129:AI129,"Ro7")*5/AK129+COUNTIF(E129:AI129,"Ro8")*4/AK129+COUNTIF(E129:AI129,"Ro8.0")*4/AK129+COUNTIF(E129:AI129,"Ro8.3")*3.7/AK129+COUNTIF(E129:AI129,"Ro8.5")*3.5/AK129+COUNTIF(E129:AI129,"Ro9")*3/AK129+COUNTIF(E129:AI129,"Ro10")*2/AK129+COUNTIF(E129:AI129,"Ro10.0")*2/AK129+COUNTIF(E129:AI129,"Ro10.5")*1.5/AK129+COUNTIF(E129:AI129,"Ro11.0")*1/AK129+COUNTIF(E129:AI129,"Ro11")*1/AK129+COUNTIF(E129:AI129,"Ro11.5")*0.5/AK129+COUNTIF(E129:AI129,"N1")*11/AK129+COUNTIF(E129:AI129,"N2")*10/AK129+COUNTIF(E129:AI129,"N3")*9/AK129+COUNTIF(E129:AI129,"N4")*8/AK129+COUNTIF(E129:AI129,"N5")*7/AK129+COUNTIF(E129:AI129,"N6")*6/AK129+COUNTIF(E129:AI129,"N7")*5/AK129+COUNTIF(E129:AI129,"N8")*4/AK129+COUNTIF(E129:AI129,"N9")*3/AK129+COUNTIF(E129:AI129,"N10")*2/AK129+COUNTIF(E129:AI129,"N11")*1/AK129+COUNTIF(E129:AI129,"D1")*11/AK129+COUNTIF(E129:AI129,"D2")*10/AK129+COUNTIF(E129:AI129,"D3")*9/AK129+COUNTIF(E129:AI129,"D4")*8/AK129+COUNTIF(E129:AI129,"D5")*7/AK129+COUNTIF(E129:AI129,"D6")*6/AK129+COUNTIF(E129:AI129,"D7")*5/AK129+COUNTIF(E129:AI129,"D8")*4/AK129+COUNTIF(E129:AI129,"D9")*3/AK129+COUNTIF(E129:AI129,"D10")*2/AK129+COUNTIF(E129:AI129,"D11")*1/AK129+COUNTIF(E129:AI129,"P1")*0.5</f>
        <v>0</v>
      </c>
      <c r="AR129" s="62">
        <f t="shared" ref="AR129:AR134" si="106">COUNTIF(E129:AI129,"R")</f>
        <v>0</v>
      </c>
      <c r="AS129" s="62">
        <f t="shared" ref="AS129:AS134" si="107">COUNTIF(E129:AI129,"L")</f>
        <v>0</v>
      </c>
      <c r="AT129" s="64"/>
      <c r="AU129" s="64"/>
      <c r="AV129" s="65">
        <f t="shared" si="85"/>
        <v>0</v>
      </c>
      <c r="AW129" s="65">
        <f t="shared" si="86"/>
        <v>0</v>
      </c>
      <c r="AX129" s="64"/>
      <c r="AY129" s="64"/>
      <c r="AZ129" s="80"/>
      <c r="BA129" s="66">
        <f t="shared" ref="BA129:BA134" si="108">+AN129+AR129+AS129+AO129</f>
        <v>18</v>
      </c>
      <c r="BB129" s="67"/>
      <c r="BC129" s="68"/>
      <c r="BD129" s="69">
        <f>VLOOKUP($B129,[1]CN!$B$9:$DK$221,114,0)</f>
        <v>0</v>
      </c>
      <c r="BE129" s="70">
        <f t="shared" si="88"/>
        <v>27</v>
      </c>
      <c r="BF129" s="71" t="s">
        <v>39</v>
      </c>
      <c r="BG129" s="72" t="s">
        <v>34</v>
      </c>
      <c r="BH129" s="73" t="str">
        <f>VLOOKUP(B129,'[2]Bang luong_06'!$B$9:$C$333,2,0)</f>
        <v>Trương Văn Đào</v>
      </c>
      <c r="BI129" s="74"/>
      <c r="BJ129" s="75" t="str">
        <f>VLOOKUP($B129,'[2]Bang luong_06'!$B$10:$C$333,2,0)</f>
        <v>Trương Văn Đào</v>
      </c>
      <c r="BK129" s="76" t="b">
        <f t="shared" ref="BK129:BK134" si="109">BJ129=C129</f>
        <v>1</v>
      </c>
      <c r="BM129" s="77" t="e">
        <f>+VLOOKUP(B129,'[2]Thưởng Lễ 2-9'!B73:G363,6,0)</f>
        <v>#N/A</v>
      </c>
      <c r="BN129" s="75">
        <f t="shared" ref="BN129:BN134" si="110">ROUND(($BN$12-D129)/30,0)</f>
        <v>-20</v>
      </c>
      <c r="BO129" s="76" t="str">
        <f>+VLOOKUP(B129,'[2]Bang luong_06'!B84:D394,3,0)</f>
        <v>CNSX</v>
      </c>
      <c r="BP129" s="76" t="s">
        <v>40</v>
      </c>
      <c r="BQ129" s="76">
        <v>0</v>
      </c>
      <c r="BR129" s="76">
        <f t="shared" si="80"/>
        <v>12</v>
      </c>
    </row>
    <row r="130" spans="1:70" s="76" customFormat="1" ht="31.5" customHeight="1" x14ac:dyDescent="0.25">
      <c r="A130" s="33">
        <f t="shared" si="81"/>
        <v>113</v>
      </c>
      <c r="B130" s="88" t="s">
        <v>291</v>
      </c>
      <c r="C130" s="89" t="s">
        <v>292</v>
      </c>
      <c r="D130" s="90">
        <v>46140</v>
      </c>
      <c r="E130" s="57" t="s">
        <v>37</v>
      </c>
      <c r="F130" s="57" t="s">
        <v>37</v>
      </c>
      <c r="G130" s="57" t="s">
        <v>37</v>
      </c>
      <c r="H130" s="57" t="s">
        <v>37</v>
      </c>
      <c r="I130" s="57" t="s">
        <v>37</v>
      </c>
      <c r="J130" s="57"/>
      <c r="K130" s="57" t="s">
        <v>38</v>
      </c>
      <c r="L130" s="57" t="s">
        <v>38</v>
      </c>
      <c r="M130" s="57" t="s">
        <v>38</v>
      </c>
      <c r="N130" s="57" t="s">
        <v>38</v>
      </c>
      <c r="O130" s="57" t="s">
        <v>38</v>
      </c>
      <c r="P130" s="57" t="s">
        <v>38</v>
      </c>
      <c r="Q130" s="57"/>
      <c r="R130" s="57" t="s">
        <v>38</v>
      </c>
      <c r="S130" s="57" t="s">
        <v>38</v>
      </c>
      <c r="T130" s="57" t="s">
        <v>213</v>
      </c>
      <c r="U130" s="57" t="s">
        <v>38</v>
      </c>
      <c r="V130" s="57" t="s">
        <v>38</v>
      </c>
      <c r="W130" s="57" t="s">
        <v>38</v>
      </c>
      <c r="X130" s="57"/>
      <c r="Y130" s="57" t="s">
        <v>38</v>
      </c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8">
        <v>10100403</v>
      </c>
      <c r="AK130" s="59">
        <v>12</v>
      </c>
      <c r="AL130" s="60">
        <f t="shared" si="100"/>
        <v>12</v>
      </c>
      <c r="AM130" s="61">
        <f t="shared" si="101"/>
        <v>5</v>
      </c>
      <c r="AN130" s="62">
        <f t="shared" si="102"/>
        <v>17</v>
      </c>
      <c r="AO130" s="62">
        <f t="shared" si="103"/>
        <v>0</v>
      </c>
      <c r="AP130" s="62">
        <f t="shared" si="104"/>
        <v>0</v>
      </c>
      <c r="AQ130" s="63">
        <f t="shared" si="105"/>
        <v>1</v>
      </c>
      <c r="AR130" s="62">
        <f t="shared" si="106"/>
        <v>0</v>
      </c>
      <c r="AS130" s="62">
        <f t="shared" si="107"/>
        <v>0</v>
      </c>
      <c r="AT130" s="64"/>
      <c r="AU130" s="64"/>
      <c r="AV130" s="65">
        <f t="shared" si="85"/>
        <v>0</v>
      </c>
      <c r="AW130" s="65">
        <f t="shared" si="86"/>
        <v>0</v>
      </c>
      <c r="AX130" s="64"/>
      <c r="AY130" s="64"/>
      <c r="AZ130" s="80"/>
      <c r="BA130" s="66">
        <f t="shared" si="108"/>
        <v>17</v>
      </c>
      <c r="BB130" s="67"/>
      <c r="BC130" s="68"/>
      <c r="BD130" s="69">
        <f>VLOOKUP($B130,[1]CN!$B$9:$DK$221,114,0)</f>
        <v>0</v>
      </c>
      <c r="BE130" s="70">
        <f t="shared" si="88"/>
        <v>27</v>
      </c>
      <c r="BF130" s="71" t="s">
        <v>39</v>
      </c>
      <c r="BG130" s="72" t="s">
        <v>34</v>
      </c>
      <c r="BH130" s="73" t="str">
        <f>VLOOKUP(B130,'[2]Bang luong_06'!$B$9:$C$333,2,0)</f>
        <v>Trịnh Đà Ra</v>
      </c>
      <c r="BI130" s="74"/>
      <c r="BJ130" s="75" t="str">
        <f>VLOOKUP($B130,'[2]Bang luong_06'!$B$10:$C$333,2,0)</f>
        <v>Trịnh Đà Ra</v>
      </c>
      <c r="BK130" s="76" t="b">
        <f t="shared" si="109"/>
        <v>1</v>
      </c>
      <c r="BM130" s="77" t="e">
        <f>+VLOOKUP(B130,'[2]Thưởng Lễ 2-9'!B74:G364,6,0)</f>
        <v>#N/A</v>
      </c>
      <c r="BN130" s="75">
        <f t="shared" si="110"/>
        <v>-20</v>
      </c>
      <c r="BO130" s="76" t="str">
        <f>+VLOOKUP(B130,'[2]Bang luong_06'!B85:D395,3,0)</f>
        <v>CNSX</v>
      </c>
      <c r="BP130" s="76" t="s">
        <v>40</v>
      </c>
      <c r="BQ130" s="76">
        <v>0</v>
      </c>
      <c r="BR130" s="76">
        <f t="shared" si="80"/>
        <v>12</v>
      </c>
    </row>
    <row r="131" spans="1:70" s="76" customFormat="1" ht="31.5" customHeight="1" x14ac:dyDescent="0.25">
      <c r="A131" s="33">
        <f t="shared" si="81"/>
        <v>114</v>
      </c>
      <c r="B131" s="88" t="s">
        <v>293</v>
      </c>
      <c r="C131" s="89" t="s">
        <v>119</v>
      </c>
      <c r="D131" s="90">
        <v>46148</v>
      </c>
      <c r="E131" s="57" t="s">
        <v>37</v>
      </c>
      <c r="F131" s="57" t="s">
        <v>37</v>
      </c>
      <c r="G131" s="57" t="s">
        <v>37</v>
      </c>
      <c r="H131" s="57" t="s">
        <v>37</v>
      </c>
      <c r="I131" s="57" t="s">
        <v>37</v>
      </c>
      <c r="J131" s="57"/>
      <c r="K131" s="57" t="s">
        <v>38</v>
      </c>
      <c r="L131" s="57" t="s">
        <v>38</v>
      </c>
      <c r="M131" s="57" t="s">
        <v>38</v>
      </c>
      <c r="N131" s="57" t="s">
        <v>38</v>
      </c>
      <c r="O131" s="57" t="s">
        <v>38</v>
      </c>
      <c r="P131" s="57" t="s">
        <v>38</v>
      </c>
      <c r="Q131" s="57"/>
      <c r="R131" s="57" t="s">
        <v>38</v>
      </c>
      <c r="S131" s="57" t="s">
        <v>38</v>
      </c>
      <c r="T131" s="57" t="s">
        <v>38</v>
      </c>
      <c r="U131" s="57" t="s">
        <v>38</v>
      </c>
      <c r="V131" s="57" t="s">
        <v>38</v>
      </c>
      <c r="W131" s="57" t="s">
        <v>38</v>
      </c>
      <c r="X131" s="57"/>
      <c r="Y131" s="57" t="s">
        <v>213</v>
      </c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8">
        <v>10100403</v>
      </c>
      <c r="AK131" s="59">
        <v>12</v>
      </c>
      <c r="AL131" s="60">
        <f t="shared" si="100"/>
        <v>12</v>
      </c>
      <c r="AM131" s="61">
        <f t="shared" si="101"/>
        <v>5</v>
      </c>
      <c r="AN131" s="62">
        <f t="shared" si="102"/>
        <v>17</v>
      </c>
      <c r="AO131" s="62">
        <f t="shared" si="103"/>
        <v>0</v>
      </c>
      <c r="AP131" s="62">
        <f t="shared" si="104"/>
        <v>0</v>
      </c>
      <c r="AQ131" s="63">
        <f t="shared" si="105"/>
        <v>1</v>
      </c>
      <c r="AR131" s="62">
        <f t="shared" si="106"/>
        <v>0</v>
      </c>
      <c r="AS131" s="62">
        <f t="shared" si="107"/>
        <v>0</v>
      </c>
      <c r="AT131" s="64"/>
      <c r="AU131" s="64"/>
      <c r="AV131" s="65">
        <f t="shared" si="85"/>
        <v>0</v>
      </c>
      <c r="AW131" s="65">
        <f t="shared" si="86"/>
        <v>0</v>
      </c>
      <c r="AX131" s="64"/>
      <c r="AY131" s="64"/>
      <c r="AZ131" s="80"/>
      <c r="BA131" s="66">
        <f t="shared" si="108"/>
        <v>17</v>
      </c>
      <c r="BB131" s="67"/>
      <c r="BC131" s="68"/>
      <c r="BD131" s="69">
        <f>VLOOKUP($B131,[1]CN!$B$9:$DK$221,114,0)</f>
        <v>0</v>
      </c>
      <c r="BE131" s="70">
        <f t="shared" si="88"/>
        <v>27</v>
      </c>
      <c r="BF131" s="71" t="s">
        <v>39</v>
      </c>
      <c r="BG131" s="72" t="s">
        <v>34</v>
      </c>
      <c r="BH131" s="73" t="str">
        <f>VLOOKUP(B131,'[2]Bang luong_06'!$B$9:$C$333,2,0)</f>
        <v>Trần Thanh Tùng</v>
      </c>
      <c r="BI131" s="74"/>
      <c r="BJ131" s="75" t="str">
        <f>VLOOKUP($B131,'[2]Bang luong_06'!$B$10:$C$333,2,0)</f>
        <v>Trần Thanh Tùng</v>
      </c>
      <c r="BK131" s="76" t="b">
        <f t="shared" si="109"/>
        <v>1</v>
      </c>
      <c r="BM131" s="77" t="e">
        <f>+VLOOKUP(B131,'[2]Thưởng Lễ 2-9'!B75:G365,6,0)</f>
        <v>#N/A</v>
      </c>
      <c r="BN131" s="75">
        <f t="shared" si="110"/>
        <v>-20</v>
      </c>
      <c r="BO131" s="76" t="str">
        <f>+VLOOKUP(B131,'[2]Bang luong_06'!B86:D396,3,0)</f>
        <v>CNSX</v>
      </c>
      <c r="BP131" s="76" t="s">
        <v>40</v>
      </c>
      <c r="BQ131" s="76">
        <v>0</v>
      </c>
      <c r="BR131" s="76">
        <f t="shared" si="80"/>
        <v>12</v>
      </c>
    </row>
    <row r="132" spans="1:70" s="76" customFormat="1" ht="31.5" customHeight="1" x14ac:dyDescent="0.25">
      <c r="A132" s="33">
        <f t="shared" si="81"/>
        <v>115</v>
      </c>
      <c r="B132" s="88" t="s">
        <v>294</v>
      </c>
      <c r="C132" s="89" t="s">
        <v>295</v>
      </c>
      <c r="D132" s="90">
        <v>46148</v>
      </c>
      <c r="E132" s="57" t="s">
        <v>37</v>
      </c>
      <c r="F132" s="57" t="s">
        <v>37</v>
      </c>
      <c r="G132" s="57" t="s">
        <v>37</v>
      </c>
      <c r="H132" s="57" t="s">
        <v>37</v>
      </c>
      <c r="I132" s="57" t="s">
        <v>37</v>
      </c>
      <c r="J132" s="57"/>
      <c r="K132" s="57" t="s">
        <v>38</v>
      </c>
      <c r="L132" s="57" t="s">
        <v>38</v>
      </c>
      <c r="M132" s="57" t="s">
        <v>38</v>
      </c>
      <c r="N132" s="57" t="s">
        <v>38</v>
      </c>
      <c r="O132" s="57" t="s">
        <v>38</v>
      </c>
      <c r="P132" s="57" t="s">
        <v>38</v>
      </c>
      <c r="Q132" s="57"/>
      <c r="R132" s="57" t="s">
        <v>38</v>
      </c>
      <c r="S132" s="57" t="s">
        <v>38</v>
      </c>
      <c r="T132" s="57" t="s">
        <v>38</v>
      </c>
      <c r="U132" s="57" t="s">
        <v>38</v>
      </c>
      <c r="V132" s="57" t="s">
        <v>38</v>
      </c>
      <c r="W132" s="57" t="s">
        <v>38</v>
      </c>
      <c r="X132" s="57" t="s">
        <v>506</v>
      </c>
      <c r="Y132" s="57" t="s">
        <v>37</v>
      </c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8">
        <v>10100403</v>
      </c>
      <c r="AK132" s="59">
        <v>12</v>
      </c>
      <c r="AL132" s="60">
        <f t="shared" si="100"/>
        <v>12</v>
      </c>
      <c r="AM132" s="61">
        <f t="shared" si="101"/>
        <v>6</v>
      </c>
      <c r="AN132" s="62">
        <f t="shared" si="102"/>
        <v>18</v>
      </c>
      <c r="AO132" s="62">
        <f t="shared" si="103"/>
        <v>0</v>
      </c>
      <c r="AP132" s="62">
        <f t="shared" si="104"/>
        <v>0</v>
      </c>
      <c r="AQ132" s="63">
        <f t="shared" si="105"/>
        <v>0</v>
      </c>
      <c r="AR132" s="62">
        <f t="shared" si="106"/>
        <v>0</v>
      </c>
      <c r="AS132" s="62">
        <f t="shared" si="107"/>
        <v>0</v>
      </c>
      <c r="AT132" s="64"/>
      <c r="AU132" s="64"/>
      <c r="AV132" s="65">
        <f t="shared" si="85"/>
        <v>12</v>
      </c>
      <c r="AW132" s="65">
        <f t="shared" si="86"/>
        <v>0</v>
      </c>
      <c r="AX132" s="64"/>
      <c r="AY132" s="64"/>
      <c r="AZ132" s="80"/>
      <c r="BA132" s="66">
        <f t="shared" si="108"/>
        <v>18</v>
      </c>
      <c r="BB132" s="67"/>
      <c r="BC132" s="68"/>
      <c r="BD132" s="69">
        <f>VLOOKUP($B132,[1]CN!$B$9:$DK$221,114,0)</f>
        <v>0</v>
      </c>
      <c r="BE132" s="70">
        <f t="shared" si="88"/>
        <v>27</v>
      </c>
      <c r="BF132" s="71" t="s">
        <v>39</v>
      </c>
      <c r="BG132" s="72" t="s">
        <v>34</v>
      </c>
      <c r="BH132" s="73" t="str">
        <f>VLOOKUP(B132,'[2]Bang luong_06'!$B$9:$C$333,2,0)</f>
        <v>Lê Nhật Duy</v>
      </c>
      <c r="BI132" s="74"/>
      <c r="BJ132" s="75" t="str">
        <f>VLOOKUP($B132,'[2]Bang luong_06'!$B$10:$C$333,2,0)</f>
        <v>Lê Nhật Duy</v>
      </c>
      <c r="BK132" s="76" t="b">
        <f t="shared" si="109"/>
        <v>1</v>
      </c>
      <c r="BM132" s="77" t="e">
        <f>+VLOOKUP(B132,'[2]Thưởng Lễ 2-9'!B76:G366,6,0)</f>
        <v>#N/A</v>
      </c>
      <c r="BN132" s="75">
        <f t="shared" si="110"/>
        <v>-20</v>
      </c>
      <c r="BO132" s="76" t="str">
        <f>+VLOOKUP(B132,'[2]Bang luong_06'!B87:D397,3,0)</f>
        <v>CNSX</v>
      </c>
      <c r="BP132" s="76" t="s">
        <v>40</v>
      </c>
      <c r="BQ132" s="76">
        <v>0</v>
      </c>
      <c r="BR132" s="76">
        <f t="shared" si="80"/>
        <v>12</v>
      </c>
    </row>
    <row r="133" spans="1:70" s="76" customFormat="1" ht="31.5" customHeight="1" x14ac:dyDescent="0.25">
      <c r="A133" s="33">
        <f t="shared" si="81"/>
        <v>116</v>
      </c>
      <c r="B133" s="88" t="s">
        <v>296</v>
      </c>
      <c r="C133" s="89" t="s">
        <v>297</v>
      </c>
      <c r="D133" s="90">
        <v>46149</v>
      </c>
      <c r="E133" s="57" t="s">
        <v>37</v>
      </c>
      <c r="F133" s="57" t="s">
        <v>37</v>
      </c>
      <c r="G133" s="57" t="s">
        <v>37</v>
      </c>
      <c r="H133" s="57" t="s">
        <v>37</v>
      </c>
      <c r="I133" s="57" t="s">
        <v>37</v>
      </c>
      <c r="J133" s="57"/>
      <c r="K133" s="57" t="s">
        <v>38</v>
      </c>
      <c r="L133" s="57" t="s">
        <v>38</v>
      </c>
      <c r="M133" s="57" t="s">
        <v>38</v>
      </c>
      <c r="N133" s="57" t="s">
        <v>38</v>
      </c>
      <c r="O133" s="57" t="s">
        <v>38</v>
      </c>
      <c r="P133" s="57" t="s">
        <v>38</v>
      </c>
      <c r="Q133" s="57" t="s">
        <v>506</v>
      </c>
      <c r="R133" s="57" t="s">
        <v>38</v>
      </c>
      <c r="S133" s="57" t="s">
        <v>38</v>
      </c>
      <c r="T133" s="57" t="s">
        <v>38</v>
      </c>
      <c r="U133" s="57" t="s">
        <v>38</v>
      </c>
      <c r="V133" s="57" t="s">
        <v>38</v>
      </c>
      <c r="W133" s="57" t="s">
        <v>107</v>
      </c>
      <c r="X133" s="57"/>
      <c r="Y133" s="57" t="s">
        <v>37</v>
      </c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8">
        <v>10100403</v>
      </c>
      <c r="AK133" s="59">
        <v>12</v>
      </c>
      <c r="AL133" s="60">
        <f t="shared" si="100"/>
        <v>11</v>
      </c>
      <c r="AM133" s="61">
        <f t="shared" si="101"/>
        <v>6</v>
      </c>
      <c r="AN133" s="62">
        <f t="shared" si="102"/>
        <v>17</v>
      </c>
      <c r="AO133" s="62">
        <f t="shared" si="103"/>
        <v>1</v>
      </c>
      <c r="AP133" s="62">
        <f t="shared" si="104"/>
        <v>0</v>
      </c>
      <c r="AQ133" s="63">
        <f t="shared" si="105"/>
        <v>0</v>
      </c>
      <c r="AR133" s="62">
        <f t="shared" si="106"/>
        <v>0</v>
      </c>
      <c r="AS133" s="62">
        <f t="shared" si="107"/>
        <v>0</v>
      </c>
      <c r="AT133" s="64"/>
      <c r="AU133" s="64"/>
      <c r="AV133" s="65">
        <f t="shared" si="85"/>
        <v>12</v>
      </c>
      <c r="AW133" s="65">
        <f t="shared" si="86"/>
        <v>0</v>
      </c>
      <c r="AX133" s="64"/>
      <c r="AY133" s="64"/>
      <c r="AZ133" s="80"/>
      <c r="BA133" s="66">
        <f t="shared" si="108"/>
        <v>18</v>
      </c>
      <c r="BB133" s="67"/>
      <c r="BC133" s="68"/>
      <c r="BD133" s="69">
        <f>VLOOKUP($B133,[1]CN!$B$9:$DK$221,114,0)</f>
        <v>0</v>
      </c>
      <c r="BE133" s="70">
        <f t="shared" si="88"/>
        <v>27</v>
      </c>
      <c r="BF133" s="71" t="s">
        <v>39</v>
      </c>
      <c r="BG133" s="72" t="s">
        <v>34</v>
      </c>
      <c r="BH133" s="73" t="str">
        <f>VLOOKUP(B133,'[2]Bang luong_06'!$B$9:$C$333,2,0)</f>
        <v>Nguyễn Anh Trí</v>
      </c>
      <c r="BI133" s="74"/>
      <c r="BJ133" s="75" t="str">
        <f>VLOOKUP($B133,'[2]Bang luong_06'!$B$10:$C$333,2,0)</f>
        <v>Nguyễn Anh Trí</v>
      </c>
      <c r="BK133" s="76" t="b">
        <f t="shared" si="109"/>
        <v>1</v>
      </c>
      <c r="BM133" s="77" t="e">
        <f>+VLOOKUP(B133,'[2]Thưởng Lễ 2-9'!B76:G366,6,0)</f>
        <v>#N/A</v>
      </c>
      <c r="BN133" s="75">
        <f t="shared" si="110"/>
        <v>-20</v>
      </c>
      <c r="BO133" s="76" t="str">
        <f>+VLOOKUP(B133,'[2]Bang luong_06'!B87:D397,3,0)</f>
        <v>CNSX</v>
      </c>
      <c r="BP133" s="76" t="s">
        <v>40</v>
      </c>
      <c r="BQ133" s="76">
        <v>0</v>
      </c>
      <c r="BR133" s="76">
        <f t="shared" si="80"/>
        <v>11</v>
      </c>
    </row>
    <row r="134" spans="1:70" s="76" customFormat="1" ht="31.5" customHeight="1" x14ac:dyDescent="0.25">
      <c r="A134" s="33">
        <f t="shared" si="81"/>
        <v>117</v>
      </c>
      <c r="B134" s="88" t="s">
        <v>298</v>
      </c>
      <c r="C134" s="89" t="s">
        <v>299</v>
      </c>
      <c r="D134" s="90">
        <v>46163</v>
      </c>
      <c r="E134" s="57" t="s">
        <v>38</v>
      </c>
      <c r="F134" s="57" t="s">
        <v>38</v>
      </c>
      <c r="G134" s="57" t="s">
        <v>38</v>
      </c>
      <c r="H134" s="57" t="s">
        <v>38</v>
      </c>
      <c r="I134" s="57" t="s">
        <v>38</v>
      </c>
      <c r="J134" s="57"/>
      <c r="K134" s="57" t="s">
        <v>37</v>
      </c>
      <c r="L134" s="57" t="s">
        <v>37</v>
      </c>
      <c r="M134" s="57" t="s">
        <v>37</v>
      </c>
      <c r="N134" s="57" t="s">
        <v>37</v>
      </c>
      <c r="O134" s="57" t="s">
        <v>37</v>
      </c>
      <c r="P134" s="57" t="s">
        <v>37</v>
      </c>
      <c r="Q134" s="57"/>
      <c r="R134" s="57" t="s">
        <v>37</v>
      </c>
      <c r="S134" s="57" t="s">
        <v>37</v>
      </c>
      <c r="T134" s="57" t="s">
        <v>37</v>
      </c>
      <c r="U134" s="57" t="s">
        <v>37</v>
      </c>
      <c r="V134" s="57" t="s">
        <v>37</v>
      </c>
      <c r="W134" s="57" t="s">
        <v>37</v>
      </c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8">
        <v>10100403</v>
      </c>
      <c r="AK134" s="59">
        <v>12</v>
      </c>
      <c r="AL134" s="60">
        <f t="shared" si="100"/>
        <v>5</v>
      </c>
      <c r="AM134" s="61">
        <f t="shared" si="101"/>
        <v>12</v>
      </c>
      <c r="AN134" s="62">
        <f t="shared" si="102"/>
        <v>17</v>
      </c>
      <c r="AO134" s="62">
        <f t="shared" si="103"/>
        <v>0</v>
      </c>
      <c r="AP134" s="62">
        <f t="shared" si="104"/>
        <v>0</v>
      </c>
      <c r="AQ134" s="63">
        <f t="shared" si="105"/>
        <v>0</v>
      </c>
      <c r="AR134" s="62">
        <f t="shared" si="106"/>
        <v>0</v>
      </c>
      <c r="AS134" s="62">
        <f t="shared" si="107"/>
        <v>0</v>
      </c>
      <c r="AT134" s="64"/>
      <c r="AU134" s="64"/>
      <c r="AV134" s="65">
        <f t="shared" si="85"/>
        <v>0</v>
      </c>
      <c r="AW134" s="65">
        <f t="shared" si="86"/>
        <v>0</v>
      </c>
      <c r="AX134" s="64"/>
      <c r="AY134" s="64"/>
      <c r="AZ134" s="80"/>
      <c r="BA134" s="66">
        <f t="shared" si="108"/>
        <v>17</v>
      </c>
      <c r="BB134" s="67"/>
      <c r="BC134" s="68"/>
      <c r="BD134" s="69">
        <f>VLOOKUP($B134,[1]CN!$B$9:$DK$221,114,0)</f>
        <v>0</v>
      </c>
      <c r="BE134" s="70">
        <f t="shared" si="88"/>
        <v>27</v>
      </c>
      <c r="BF134" s="71" t="s">
        <v>39</v>
      </c>
      <c r="BG134" s="72" t="s">
        <v>34</v>
      </c>
      <c r="BH134" s="73" t="str">
        <f>VLOOKUP(B134,'[2]Bang luong_06'!$B$9:$C$333,2,0)</f>
        <v>Nguyễn Hồng Thái</v>
      </c>
      <c r="BI134" s="74"/>
      <c r="BJ134" s="75" t="str">
        <f>VLOOKUP($B134,'[2]Bang luong_06'!$B$10:$C$333,2,0)</f>
        <v>Nguyễn Hồng Thái</v>
      </c>
      <c r="BK134" s="76" t="b">
        <f t="shared" si="109"/>
        <v>1</v>
      </c>
      <c r="BM134" s="77" t="e">
        <f>+VLOOKUP(B134,'[2]Thưởng Lễ 2-9'!B77:G367,6,0)</f>
        <v>#N/A</v>
      </c>
      <c r="BN134" s="75">
        <f t="shared" si="110"/>
        <v>-21</v>
      </c>
      <c r="BO134" s="76" t="str">
        <f>+VLOOKUP(B134,'[2]Bang luong_06'!B88:D398,3,0)</f>
        <v>CNSX</v>
      </c>
      <c r="BP134" s="76" t="s">
        <v>40</v>
      </c>
      <c r="BQ134" s="76">
        <v>0</v>
      </c>
      <c r="BR134" s="76">
        <f t="shared" si="80"/>
        <v>5</v>
      </c>
    </row>
    <row r="135" spans="1:70" s="76" customFormat="1" ht="31.5" customHeight="1" x14ac:dyDescent="0.25">
      <c r="A135" s="33">
        <f t="shared" si="81"/>
        <v>118</v>
      </c>
      <c r="B135" s="88" t="s">
        <v>300</v>
      </c>
      <c r="C135" s="89" t="s">
        <v>301</v>
      </c>
      <c r="D135" s="90">
        <v>46163</v>
      </c>
      <c r="E135" s="57" t="s">
        <v>38</v>
      </c>
      <c r="F135" s="57" t="s">
        <v>38</v>
      </c>
      <c r="G135" s="57" t="s">
        <v>38</v>
      </c>
      <c r="H135" s="57" t="s">
        <v>38</v>
      </c>
      <c r="I135" s="57" t="s">
        <v>38</v>
      </c>
      <c r="J135" s="57"/>
      <c r="K135" s="57" t="s">
        <v>37</v>
      </c>
      <c r="L135" s="57" t="s">
        <v>37</v>
      </c>
      <c r="M135" s="57" t="s">
        <v>37</v>
      </c>
      <c r="N135" s="57" t="s">
        <v>37</v>
      </c>
      <c r="O135" s="57" t="s">
        <v>37</v>
      </c>
      <c r="P135" s="57" t="s">
        <v>37</v>
      </c>
      <c r="Q135" s="57"/>
      <c r="R135" s="57" t="s">
        <v>37</v>
      </c>
      <c r="S135" s="57" t="s">
        <v>37</v>
      </c>
      <c r="T135" s="57" t="s">
        <v>37</v>
      </c>
      <c r="U135" s="57" t="s">
        <v>37</v>
      </c>
      <c r="V135" s="57" t="s">
        <v>37</v>
      </c>
      <c r="W135" s="57" t="s">
        <v>37</v>
      </c>
      <c r="X135" s="57"/>
      <c r="Y135" s="57" t="s">
        <v>38</v>
      </c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8">
        <v>10100403</v>
      </c>
      <c r="AK135" s="59">
        <v>12</v>
      </c>
      <c r="AL135" s="60">
        <f>COUNTIF(D135:AI135,"N")+COUNTIF(D135:AI135,"N1")*1/AK135+COUNTIF(D135:AI135,"N2")*2/AK135+COUNTIF(D135:AI135,"N3")*3/AK135+COUNTIF(D135:AI135,"N4")*4/AK135+COUNTIF(D135:AI135,"N5")*5/AK135+COUNTIF(D135:AI135,"N6")*6/AK135+COUNTIF(D135:AI135,"N7")*7/AK135+COUNTIF(D135:AI135,"N8")*8/AK135+COUNTIF(D135:AI135,"N9")*9/AK135+COUNTIF(D135:AI135,"N10")*10/AK135+COUNTIF(D135:AI135,"N11")*11/AK135+COUNTIF(D135:AI135,"N12")*12/AK135+COUNTIF(D135:AI135,"Ro1")*1/AK135+COUNTIF(D135:AI135,"Ro2")*2/AK135+COUNTIF(D135:AI135,"Ro3")*3/AK135+COUNTIF(D135:AI135,"Ro3.0")*3/AK135+COUNTIF(D135:AI135,"Ro4")*4/AK135+COUNTIF(D135:AI135,"Ro4.0")*4/AK135+COUNTIF(D135:AI135,"Ro4.5")*4.5/AK135+COUNTIF(D135:AI135,"Ro5")*5/AK135+COUNTIF(D135:AI135,"Ro5.0")*5/AK135+COUNTIF(D135:AI135,"Ro5.5")*5.5/AK135+COUNTIF(D135:AI135,"Ro6")*6/AK135+COUNTIF(D135:AI135,"Ro7")*7/AK135+COUNTIF(D135:AI135,"Ro8")*8/AK135+COUNTIF(D135:AI135,"Ro8.0")*8/AK135+COUNTIF(D135:AI135,"Ro8.3")*8.3/AK135+COUNTIF(D135:AI135,"Ro8.5")*8.5/AK135+COUNTIF(D135:AI135,"Ro9")*9/AK135+COUNTIF(D135:AI135,"Ro9.5")*9.5/AK135+COUNTIF(D135:AI135,"Ro10")*10/AK135+COUNTIF(D135:AI135,"Ro10.0")*10/AK135+COUNTIF(D135:AI135,"Ro10.5")*10.5/AK135+COUNTIF(D135:AI135,"Ro11")*11/AK135+COUNTIF(D135:AI135,"Ro11.0")*11/AK135+COUNTIF(D135:AI135,"Ro11.5")*11.5/AK135+COUNTIF(D135:AI135,"Bu1")+COUNTIF(D135:AI135,"Bu2")+COUNTIF(D135:AI135,"Bu3")+COUNTIF(D135:AI135,"Bu4")+COUNTIF(D135:AI135,"Bu5")+COUNTIF(D135:AI135,"Bu6")+COUNTIF(D135:AI135,"Bu7")+COUNTIF(D135:AI135,"Bu8")+COUNTIF(D135:AI135,"Bu9")+COUNTIF(D135:AI135,"Bu10")+COUNTIF(D135:AI135,"Bu11")+COUNTIF(D135:AI135,"Bu")+COUNTIF(D135:AI135,"P2")*0.5</f>
        <v>6</v>
      </c>
      <c r="AM135" s="61">
        <f>COUNTIF(E135:AI135,"D")+COUNTIF(E135:AI135,"D1")*1/AK135+COUNTIF(E135:AI135,"D2")*2/AK135+COUNTIF(E135:AI135,"D3")*3/AK135+COUNTIF(E135:AI135,"D4")*4/AK135+COUNTIF(E135:AI135,"D5")*5/AK135+COUNTIF(E135:AI135,"D6")*6/AK135+COUNTIF(E135:AI135,"D7")*7/AK135+COUNTIF(E135:AI135,"D8")*8/AK135+COUNTIF(E135:AI135,"D9")*9/AK135+COUNTIF(E135:AI135,"D10")*10/AK135+COUNTIF(E135:AI135,"D11")*11/AK135+COUNTIF(E135:AI135,"D12")*12/AK135</f>
        <v>12</v>
      </c>
      <c r="AN135" s="62">
        <f>+AL135+AM135</f>
        <v>18</v>
      </c>
      <c r="AO135" s="62">
        <f>COUNTIF(E135:AI135,"p")+COUNTIF(E135:AI135,"p1")/2+COUNTIF(E135:AI135,"p2")/2</f>
        <v>0</v>
      </c>
      <c r="AP135" s="62">
        <f>COUNTIF(E135:AI135,"K")</f>
        <v>0</v>
      </c>
      <c r="AQ135" s="63">
        <f>COUNTIF(E135:AI135,"Ro")+COUNTIF(E135:AI135,"Ro1")*11/AK135+COUNTIF(E135:AI135,"Ro2")*10/AK135+COUNTIF(E135:AI135,"Ro3")*9/AK135+COUNTIF(E135:AI135,"Ro3.0")*9/AK135+COUNTIF(E135:AI135,"Ro4")*8/AK135+COUNTIF(E135:AI135,"Ro4.0")*8/AK135+COUNTIF(E135:AI135,"Ro4.5")*7.5/AK135+COUNTIF(E135:AI135,"Ro5")*7/AK135+COUNTIF(E135:AI135,"Ro5.0")*7/AK135+COUNTIF(E135:AI135,"Ro5.5")*6.5/AK135+COUNTIF(E135:AI135,"Ro6")*6/AK135+COUNTIF(E135:AI135,"Ro7")*5/AK135+COUNTIF(E135:AI135,"Ro8")*4/AK135+COUNTIF(E135:AI135,"Ro8.0")*4/AK135+COUNTIF(E135:AI135,"Ro8.3")*3.7/AK135+COUNTIF(E135:AI135,"Ro8.5")*3.5/AK135+COUNTIF(E135:AI135,"Ro9")*3/AK135+COUNTIF(E135:AI135,"Ro10")*2/AK135+COUNTIF(E135:AI135,"Ro10.0")*2/AK135+COUNTIF(E135:AI135,"Ro10.5")*1.5/AK135+COUNTIF(E135:AI135,"Ro11.0")*1/AK135+COUNTIF(E135:AI135,"Ro11")*1/AK135+COUNTIF(E135:AI135,"Ro11.5")*0.5/AK135+COUNTIF(E135:AI135,"N1")*11/AK135+COUNTIF(E135:AI135,"N2")*10/AK135+COUNTIF(E135:AI135,"N3")*9/AK135+COUNTIF(E135:AI135,"N4")*8/AK135+COUNTIF(E135:AI135,"N5")*7/AK135+COUNTIF(E135:AI135,"N6")*6/AK135+COUNTIF(E135:AI135,"N7")*5/AK135+COUNTIF(E135:AI135,"N8")*4/AK135+COUNTIF(E135:AI135,"N9")*3/AK135+COUNTIF(E135:AI135,"N10")*2/AK135+COUNTIF(E135:AI135,"N11")*1/AK135+COUNTIF(E135:AI135,"D1")*11/AK135+COUNTIF(E135:AI135,"D2")*10/AK135+COUNTIF(E135:AI135,"D3")*9/AK135+COUNTIF(E135:AI135,"D4")*8/AK135+COUNTIF(E135:AI135,"D5")*7/AK135+COUNTIF(E135:AI135,"D6")*6/AK135+COUNTIF(E135:AI135,"D7")*5/AK135+COUNTIF(E135:AI135,"D8")*4/AK135+COUNTIF(E135:AI135,"D9")*3/AK135+COUNTIF(E135:AI135,"D10")*2/AK135+COUNTIF(E135:AI135,"D11")*1/AK135+COUNTIF(E135:AI135,"P1")*0.5</f>
        <v>0</v>
      </c>
      <c r="AR135" s="62">
        <f>COUNTIF(E135:AI135,"R")</f>
        <v>0</v>
      </c>
      <c r="AS135" s="62">
        <f>COUNTIF(E135:AI135,"L")</f>
        <v>0</v>
      </c>
      <c r="AT135" s="64"/>
      <c r="AU135" s="64"/>
      <c r="AV135" s="65">
        <f t="shared" si="85"/>
        <v>0</v>
      </c>
      <c r="AW135" s="65">
        <f t="shared" si="86"/>
        <v>0</v>
      </c>
      <c r="AX135" s="64"/>
      <c r="AY135" s="64"/>
      <c r="AZ135" s="80"/>
      <c r="BA135" s="66">
        <f>+AN135+AR135+AS135+AO135</f>
        <v>18</v>
      </c>
      <c r="BB135" s="67"/>
      <c r="BC135" s="68"/>
      <c r="BD135" s="69">
        <f>VLOOKUP($B135,[1]CN!$B$9:$DK$221,114,0)</f>
        <v>0</v>
      </c>
      <c r="BE135" s="70">
        <f t="shared" si="88"/>
        <v>27</v>
      </c>
      <c r="BF135" s="71" t="s">
        <v>39</v>
      </c>
      <c r="BG135" s="72" t="s">
        <v>34</v>
      </c>
      <c r="BH135" s="73" t="str">
        <f>VLOOKUP(B135,'[2]Bang luong_06'!$B$9:$C$333,2,0)</f>
        <v>Võ Thị Nị</v>
      </c>
      <c r="BI135" s="74"/>
      <c r="BJ135" s="75" t="str">
        <f>VLOOKUP($B135,'[2]Bang luong_06'!$B$10:$C$333,2,0)</f>
        <v>Võ Thị Nị</v>
      </c>
      <c r="BK135" s="76" t="b">
        <f>BJ135=C135</f>
        <v>1</v>
      </c>
      <c r="BM135" s="77" t="e">
        <f>+VLOOKUP(B135,'[2]Thưởng Lễ 2-9'!B77:G367,6,0)</f>
        <v>#N/A</v>
      </c>
      <c r="BN135" s="75">
        <f>ROUND(($BN$12-D135)/30,0)</f>
        <v>-21</v>
      </c>
      <c r="BO135" s="76" t="str">
        <f>+VLOOKUP(B135,'[2]Bang luong_06'!B88:D398,3,0)</f>
        <v>CNSX</v>
      </c>
      <c r="BP135" s="76" t="s">
        <v>40</v>
      </c>
      <c r="BQ135" s="76">
        <v>0</v>
      </c>
      <c r="BR135" s="76">
        <f t="shared" si="80"/>
        <v>6</v>
      </c>
    </row>
    <row r="136" spans="1:70" s="76" customFormat="1" ht="31.5" customHeight="1" x14ac:dyDescent="0.25">
      <c r="A136" s="33">
        <f t="shared" si="81"/>
        <v>119</v>
      </c>
      <c r="B136" s="88" t="s">
        <v>302</v>
      </c>
      <c r="C136" s="89" t="s">
        <v>303</v>
      </c>
      <c r="D136" s="90">
        <v>46167</v>
      </c>
      <c r="E136" s="57" t="s">
        <v>38</v>
      </c>
      <c r="F136" s="57" t="s">
        <v>38</v>
      </c>
      <c r="G136" s="57" t="s">
        <v>38</v>
      </c>
      <c r="H136" s="57" t="s">
        <v>38</v>
      </c>
      <c r="I136" s="57" t="s">
        <v>38</v>
      </c>
      <c r="J136" s="57"/>
      <c r="K136" s="57" t="s">
        <v>37</v>
      </c>
      <c r="L136" s="57" t="s">
        <v>37</v>
      </c>
      <c r="M136" s="57" t="s">
        <v>37</v>
      </c>
      <c r="N136" s="57" t="s">
        <v>37</v>
      </c>
      <c r="O136" s="57" t="s">
        <v>37</v>
      </c>
      <c r="P136" s="57" t="s">
        <v>37</v>
      </c>
      <c r="Q136" s="57"/>
      <c r="R136" s="57" t="s">
        <v>37</v>
      </c>
      <c r="S136" s="57" t="s">
        <v>37</v>
      </c>
      <c r="T136" s="57" t="s">
        <v>37</v>
      </c>
      <c r="U136" s="57" t="s">
        <v>37</v>
      </c>
      <c r="V136" s="57" t="s">
        <v>37</v>
      </c>
      <c r="W136" s="57" t="s">
        <v>37</v>
      </c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8">
        <v>10100403</v>
      </c>
      <c r="AK136" s="59">
        <v>12</v>
      </c>
      <c r="AL136" s="60">
        <f t="shared" ref="AL136:AL138" si="111">COUNTIF(D136:AI136,"N")+COUNTIF(D136:AI136,"N1")*1/AK136+COUNTIF(D136:AI136,"N2")*2/AK136+COUNTIF(D136:AI136,"N3")*3/AK136+COUNTIF(D136:AI136,"N4")*4/AK136+COUNTIF(D136:AI136,"N5")*5/AK136+COUNTIF(D136:AI136,"N6")*6/AK136+COUNTIF(D136:AI136,"N7")*7/AK136+COUNTIF(D136:AI136,"N8")*8/AK136+COUNTIF(D136:AI136,"N9")*9/AK136+COUNTIF(D136:AI136,"N10")*10/AK136+COUNTIF(D136:AI136,"N11")*11/AK136+COUNTIF(D136:AI136,"N12")*12/AK136+COUNTIF(D136:AI136,"Ro1")*1/AK136+COUNTIF(D136:AI136,"Ro2")*2/AK136+COUNTIF(D136:AI136,"Ro3")*3/AK136+COUNTIF(D136:AI136,"Ro3.0")*3/AK136+COUNTIF(D136:AI136,"Ro4")*4/AK136+COUNTIF(D136:AI136,"Ro4.0")*4/AK136+COUNTIF(D136:AI136,"Ro4.5")*4.5/AK136+COUNTIF(D136:AI136,"Ro5")*5/AK136+COUNTIF(D136:AI136,"Ro5.0")*5/AK136+COUNTIF(D136:AI136,"Ro5.5")*5.5/AK136+COUNTIF(D136:AI136,"Ro6")*6/AK136+COUNTIF(D136:AI136,"Ro7")*7/AK136+COUNTIF(D136:AI136,"Ro8")*8/AK136+COUNTIF(D136:AI136,"Ro8.0")*8/AK136+COUNTIF(D136:AI136,"Ro8.3")*8.3/AK136+COUNTIF(D136:AI136,"Ro8.5")*8.5/AK136+COUNTIF(D136:AI136,"Ro9")*9/AK136+COUNTIF(D136:AI136,"Ro9.5")*9.5/AK136+COUNTIF(D136:AI136,"Ro10")*10/AK136+COUNTIF(D136:AI136,"Ro10.0")*10/AK136+COUNTIF(D136:AI136,"Ro10.5")*10.5/AK136+COUNTIF(D136:AI136,"Ro11")*11/AK136+COUNTIF(D136:AI136,"Ro11.0")*11/AK136+COUNTIF(D136:AI136,"Ro11.5")*11.5/AK136+COUNTIF(D136:AI136,"Bu1")+COUNTIF(D136:AI136,"Bu2")+COUNTIF(D136:AI136,"Bu3")+COUNTIF(D136:AI136,"Bu4")+COUNTIF(D136:AI136,"Bu5")+COUNTIF(D136:AI136,"Bu6")+COUNTIF(D136:AI136,"Bu7")+COUNTIF(D136:AI136,"Bu8")+COUNTIF(D136:AI136,"Bu9")+COUNTIF(D136:AI136,"Bu10")+COUNTIF(D136:AI136,"Bu11")+COUNTIF(D136:AI136,"Bu")+COUNTIF(D136:AI136,"P2")*0.5</f>
        <v>5</v>
      </c>
      <c r="AM136" s="61">
        <f t="shared" ref="AM136:AM138" si="112">COUNTIF(E136:AI136,"D")+COUNTIF(E136:AI136,"D1")*1/AK136+COUNTIF(E136:AI136,"D2")*2/AK136+COUNTIF(E136:AI136,"D3")*3/AK136+COUNTIF(E136:AI136,"D4")*4/AK136+COUNTIF(E136:AI136,"D5")*5/AK136+COUNTIF(E136:AI136,"D6")*6/AK136+COUNTIF(E136:AI136,"D7")*7/AK136+COUNTIF(E136:AI136,"D8")*8/AK136+COUNTIF(E136:AI136,"D9")*9/AK136+COUNTIF(E136:AI136,"D10")*10/AK136+COUNTIF(E136:AI136,"D11")*11/AK136+COUNTIF(E136:AI136,"D12")*12/AK136</f>
        <v>12</v>
      </c>
      <c r="AN136" s="62">
        <f t="shared" ref="AN136:AN138" si="113">+AL136+AM136</f>
        <v>17</v>
      </c>
      <c r="AO136" s="62">
        <f t="shared" ref="AO136:AO138" si="114">COUNTIF(E136:AI136,"p")+COUNTIF(E136:AI136,"p1")/2+COUNTIF(E136:AI136,"p2")/2</f>
        <v>0</v>
      </c>
      <c r="AP136" s="62">
        <f t="shared" ref="AP136:AP138" si="115">COUNTIF(E136:AI136,"K")</f>
        <v>0</v>
      </c>
      <c r="AQ136" s="63">
        <f t="shared" ref="AQ136:AQ138" si="116">COUNTIF(E136:AI136,"Ro")+COUNTIF(E136:AI136,"Ro1")*11/AK136+COUNTIF(E136:AI136,"Ro2")*10/AK136+COUNTIF(E136:AI136,"Ro3")*9/AK136+COUNTIF(E136:AI136,"Ro3.0")*9/AK136+COUNTIF(E136:AI136,"Ro4")*8/AK136+COUNTIF(E136:AI136,"Ro4.0")*8/AK136+COUNTIF(E136:AI136,"Ro4.5")*7.5/AK136+COUNTIF(E136:AI136,"Ro5")*7/AK136+COUNTIF(E136:AI136,"Ro5.0")*7/AK136+COUNTIF(E136:AI136,"Ro5.5")*6.5/AK136+COUNTIF(E136:AI136,"Ro6")*6/AK136+COUNTIF(E136:AI136,"Ro7")*5/AK136+COUNTIF(E136:AI136,"Ro8")*4/AK136+COUNTIF(E136:AI136,"Ro8.0")*4/AK136+COUNTIF(E136:AI136,"Ro8.3")*3.7/AK136+COUNTIF(E136:AI136,"Ro8.5")*3.5/AK136+COUNTIF(E136:AI136,"Ro9")*3/AK136+COUNTIF(E136:AI136,"Ro10")*2/AK136+COUNTIF(E136:AI136,"Ro10.0")*2/AK136+COUNTIF(E136:AI136,"Ro10.5")*1.5/AK136+COUNTIF(E136:AI136,"Ro11.0")*1/AK136+COUNTIF(E136:AI136,"Ro11")*1/AK136+COUNTIF(E136:AI136,"Ro11.5")*0.5/AK136+COUNTIF(E136:AI136,"N1")*11/AK136+COUNTIF(E136:AI136,"N2")*10/AK136+COUNTIF(E136:AI136,"N3")*9/AK136+COUNTIF(E136:AI136,"N4")*8/AK136+COUNTIF(E136:AI136,"N5")*7/AK136+COUNTIF(E136:AI136,"N6")*6/AK136+COUNTIF(E136:AI136,"N7")*5/AK136+COUNTIF(E136:AI136,"N8")*4/AK136+COUNTIF(E136:AI136,"N9")*3/AK136+COUNTIF(E136:AI136,"N10")*2/AK136+COUNTIF(E136:AI136,"N11")*1/AK136+COUNTIF(E136:AI136,"D1")*11/AK136+COUNTIF(E136:AI136,"D2")*10/AK136+COUNTIF(E136:AI136,"D3")*9/AK136+COUNTIF(E136:AI136,"D4")*8/AK136+COUNTIF(E136:AI136,"D5")*7/AK136+COUNTIF(E136:AI136,"D6")*6/AK136+COUNTIF(E136:AI136,"D7")*5/AK136+COUNTIF(E136:AI136,"D8")*4/AK136+COUNTIF(E136:AI136,"D9")*3/AK136+COUNTIF(E136:AI136,"D10")*2/AK136+COUNTIF(E136:AI136,"D11")*1/AK136+COUNTIF(E136:AI136,"P1")*0.5</f>
        <v>0</v>
      </c>
      <c r="AR136" s="62">
        <f t="shared" ref="AR136:AR138" si="117">COUNTIF(E136:AI136,"R")</f>
        <v>0</v>
      </c>
      <c r="AS136" s="62">
        <f t="shared" ref="AS136:AS138" si="118">COUNTIF(E136:AI136,"L")</f>
        <v>0</v>
      </c>
      <c r="AT136" s="64"/>
      <c r="AU136" s="64"/>
      <c r="AV136" s="65">
        <f t="shared" si="85"/>
        <v>0</v>
      </c>
      <c r="AW136" s="65">
        <f t="shared" si="86"/>
        <v>0</v>
      </c>
      <c r="AX136" s="64"/>
      <c r="AY136" s="64"/>
      <c r="AZ136" s="80"/>
      <c r="BA136" s="66">
        <f t="shared" ref="BA136:BA138" si="119">+AN136+AR136+AS136+AO136</f>
        <v>17</v>
      </c>
      <c r="BB136" s="67"/>
      <c r="BC136" s="68"/>
      <c r="BD136" s="69" t="e">
        <f>VLOOKUP($B136,[1]CN!$B$9:$DK$221,114,0)</f>
        <v>#N/A</v>
      </c>
      <c r="BE136" s="70">
        <f t="shared" si="88"/>
        <v>27</v>
      </c>
      <c r="BF136" s="71" t="s">
        <v>39</v>
      </c>
      <c r="BG136" s="72" t="s">
        <v>34</v>
      </c>
      <c r="BH136" s="73" t="str">
        <f>VLOOKUP(B136,'[2]Bang luong_06'!$B$9:$C$333,2,0)</f>
        <v>Vũ Văn Phúc</v>
      </c>
      <c r="BI136" s="74"/>
      <c r="BJ136" s="75" t="str">
        <f>VLOOKUP($B136,'[2]Bang luong_06'!$B$10:$C$333,2,0)</f>
        <v>Vũ Văn Phúc</v>
      </c>
      <c r="BK136" s="76" t="b">
        <f t="shared" ref="BK136:BK138" si="120">BJ136=C136</f>
        <v>1</v>
      </c>
      <c r="BM136" s="77" t="e">
        <f>+VLOOKUP(B136,'[2]Thưởng Lễ 2-9'!B75:G365,6,0)</f>
        <v>#N/A</v>
      </c>
      <c r="BN136" s="75">
        <f t="shared" ref="BN136:BN138" si="121">ROUND(($BN$12-D136)/30,0)</f>
        <v>-21</v>
      </c>
      <c r="BO136" s="76" t="str">
        <f>+VLOOKUP(B136,'[2]Bang luong_06'!B86:D396,3,0)</f>
        <v>CNSX</v>
      </c>
      <c r="BP136" s="76" t="s">
        <v>40</v>
      </c>
      <c r="BQ136" s="76">
        <v>0</v>
      </c>
      <c r="BR136" s="76">
        <f t="shared" si="80"/>
        <v>5</v>
      </c>
    </row>
    <row r="137" spans="1:70" s="145" customFormat="1" ht="31.5" customHeight="1" x14ac:dyDescent="0.25">
      <c r="A137" s="34">
        <f t="shared" si="81"/>
        <v>120</v>
      </c>
      <c r="B137" s="242" t="s">
        <v>304</v>
      </c>
      <c r="C137" s="243" t="s">
        <v>305</v>
      </c>
      <c r="D137" s="244">
        <v>46170</v>
      </c>
      <c r="E137" s="245"/>
      <c r="F137" s="245"/>
      <c r="H137" s="245" t="s">
        <v>38</v>
      </c>
      <c r="I137" s="245" t="s">
        <v>38</v>
      </c>
      <c r="J137" s="245"/>
      <c r="K137" s="245" t="s">
        <v>38</v>
      </c>
      <c r="L137" s="245" t="s">
        <v>38</v>
      </c>
      <c r="M137" s="245" t="s">
        <v>38</v>
      </c>
      <c r="N137" s="245" t="s">
        <v>38</v>
      </c>
      <c r="O137" s="245" t="s">
        <v>38</v>
      </c>
      <c r="P137" s="245" t="s">
        <v>38</v>
      </c>
      <c r="Q137" s="245"/>
      <c r="R137" s="245" t="s">
        <v>38</v>
      </c>
      <c r="S137" s="245" t="s">
        <v>38</v>
      </c>
      <c r="T137" s="245" t="s">
        <v>38</v>
      </c>
      <c r="U137" s="245" t="s">
        <v>38</v>
      </c>
      <c r="V137" s="245" t="s">
        <v>38</v>
      </c>
      <c r="W137" s="245" t="s">
        <v>38</v>
      </c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6">
        <v>10100403</v>
      </c>
      <c r="AK137" s="247">
        <v>12</v>
      </c>
      <c r="AL137" s="248">
        <f t="shared" si="111"/>
        <v>14</v>
      </c>
      <c r="AM137" s="249">
        <f t="shared" si="112"/>
        <v>0</v>
      </c>
      <c r="AN137" s="250">
        <f t="shared" si="113"/>
        <v>14</v>
      </c>
      <c r="AO137" s="250">
        <f t="shared" si="114"/>
        <v>0</v>
      </c>
      <c r="AP137" s="250">
        <f t="shared" si="115"/>
        <v>0</v>
      </c>
      <c r="AQ137" s="251">
        <f t="shared" si="116"/>
        <v>0</v>
      </c>
      <c r="AR137" s="250">
        <f t="shared" si="117"/>
        <v>0</v>
      </c>
      <c r="AS137" s="250">
        <f t="shared" si="118"/>
        <v>0</v>
      </c>
      <c r="AT137" s="252"/>
      <c r="AU137" s="252"/>
      <c r="AV137" s="253">
        <f t="shared" si="85"/>
        <v>0</v>
      </c>
      <c r="AW137" s="253">
        <f t="shared" si="86"/>
        <v>0</v>
      </c>
      <c r="AX137" s="252"/>
      <c r="AY137" s="252"/>
      <c r="AZ137" s="254"/>
      <c r="BA137" s="255">
        <f t="shared" si="119"/>
        <v>14</v>
      </c>
      <c r="BB137" s="256"/>
      <c r="BC137" s="257"/>
      <c r="BD137" s="258" t="e">
        <f>VLOOKUP($B137,[1]CN!$B$9:$DK$221,114,0)</f>
        <v>#N/A</v>
      </c>
      <c r="BE137" s="259">
        <f t="shared" si="88"/>
        <v>27</v>
      </c>
      <c r="BF137" s="260" t="s">
        <v>39</v>
      </c>
      <c r="BG137" s="261" t="s">
        <v>34</v>
      </c>
      <c r="BH137" s="262" t="str">
        <f>VLOOKUP(B137,'[2]Bang luong_06'!$B$9:$C$333,2,0)</f>
        <v>Nguyễn Văn Vợt</v>
      </c>
      <c r="BI137" s="263"/>
      <c r="BJ137" s="264" t="str">
        <f>VLOOKUP($B137,'[2]Bang luong_06'!$B$10:$C$333,2,0)</f>
        <v>Nguyễn Văn Vợt</v>
      </c>
      <c r="BK137" s="145" t="b">
        <f t="shared" si="120"/>
        <v>1</v>
      </c>
      <c r="BM137" s="265" t="e">
        <f>+VLOOKUP(B137,'[2]Thưởng Lễ 2-9'!B76:G366,6,0)</f>
        <v>#N/A</v>
      </c>
      <c r="BN137" s="264">
        <f t="shared" si="121"/>
        <v>-21</v>
      </c>
      <c r="BO137" s="145" t="str">
        <f>+VLOOKUP(B137,'[2]Bang luong_06'!B87:D397,3,0)</f>
        <v>CNSX</v>
      </c>
      <c r="BP137" s="145" t="s">
        <v>40</v>
      </c>
      <c r="BQ137" s="145">
        <v>0</v>
      </c>
      <c r="BR137" s="145">
        <f t="shared" si="80"/>
        <v>14</v>
      </c>
    </row>
    <row r="138" spans="1:70" s="76" customFormat="1" ht="31.5" customHeight="1" x14ac:dyDescent="0.25">
      <c r="A138" s="33">
        <f t="shared" si="81"/>
        <v>121</v>
      </c>
      <c r="B138" s="88" t="s">
        <v>306</v>
      </c>
      <c r="C138" s="89" t="s">
        <v>307</v>
      </c>
      <c r="D138" s="90">
        <v>46176</v>
      </c>
      <c r="E138" s="57"/>
      <c r="F138" s="57"/>
      <c r="G138" s="57"/>
      <c r="H138" s="57"/>
      <c r="I138" s="57"/>
      <c r="J138" s="57"/>
      <c r="K138" s="57"/>
      <c r="L138" s="57"/>
      <c r="M138" s="57" t="s">
        <v>215</v>
      </c>
      <c r="N138" s="57" t="s">
        <v>38</v>
      </c>
      <c r="O138" s="57" t="s">
        <v>38</v>
      </c>
      <c r="P138" s="57" t="s">
        <v>38</v>
      </c>
      <c r="Q138" s="57"/>
      <c r="R138" s="57" t="s">
        <v>38</v>
      </c>
      <c r="S138" s="57" t="s">
        <v>38</v>
      </c>
      <c r="T138" s="57" t="s">
        <v>38</v>
      </c>
      <c r="U138" s="57" t="s">
        <v>38</v>
      </c>
      <c r="V138" s="57" t="s">
        <v>38</v>
      </c>
      <c r="W138" s="57" t="s">
        <v>38</v>
      </c>
      <c r="X138" s="57"/>
      <c r="Y138" s="57" t="s">
        <v>37</v>
      </c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8">
        <v>10100403</v>
      </c>
      <c r="AK138" s="59">
        <v>12</v>
      </c>
      <c r="AL138" s="60">
        <f t="shared" si="111"/>
        <v>9.6666666666666661</v>
      </c>
      <c r="AM138" s="61">
        <f t="shared" si="112"/>
        <v>1</v>
      </c>
      <c r="AN138" s="62">
        <f t="shared" si="113"/>
        <v>10.666666666666666</v>
      </c>
      <c r="AO138" s="62">
        <f t="shared" si="114"/>
        <v>0</v>
      </c>
      <c r="AP138" s="62">
        <f t="shared" si="115"/>
        <v>0</v>
      </c>
      <c r="AQ138" s="63">
        <f t="shared" si="116"/>
        <v>0.33333333333333331</v>
      </c>
      <c r="AR138" s="62">
        <f t="shared" si="117"/>
        <v>0</v>
      </c>
      <c r="AS138" s="62">
        <f t="shared" si="118"/>
        <v>0</v>
      </c>
      <c r="AT138" s="64"/>
      <c r="AU138" s="64"/>
      <c r="AV138" s="65">
        <f t="shared" si="85"/>
        <v>0</v>
      </c>
      <c r="AW138" s="65">
        <f t="shared" si="86"/>
        <v>0</v>
      </c>
      <c r="AX138" s="64"/>
      <c r="AY138" s="64"/>
      <c r="AZ138" s="80"/>
      <c r="BA138" s="66">
        <f t="shared" si="119"/>
        <v>10.666666666666666</v>
      </c>
      <c r="BB138" s="67"/>
      <c r="BC138" s="68"/>
      <c r="BD138" s="69" t="e">
        <f>VLOOKUP($B138,[1]CN!$B$9:$DK$221,114,0)</f>
        <v>#N/A</v>
      </c>
      <c r="BE138" s="70">
        <f t="shared" si="88"/>
        <v>27</v>
      </c>
      <c r="BF138" s="71" t="s">
        <v>39</v>
      </c>
      <c r="BG138" s="72" t="s">
        <v>34</v>
      </c>
      <c r="BH138" s="73" t="str">
        <f>VLOOKUP(B138,'[2]Bang luong_06'!$B$9:$C$333,2,0)</f>
        <v>Trần Thanh Tòng</v>
      </c>
      <c r="BI138" s="74"/>
      <c r="BJ138" s="75" t="str">
        <f>VLOOKUP($B138,'[2]Bang luong_06'!$B$10:$C$333,2,0)</f>
        <v>Trần Thanh Tòng</v>
      </c>
      <c r="BK138" s="76" t="b">
        <f t="shared" si="120"/>
        <v>1</v>
      </c>
      <c r="BM138" s="77" t="e">
        <f>+VLOOKUP(B138,'[2]Thưởng Lễ 2-9'!B77:G367,6,0)</f>
        <v>#N/A</v>
      </c>
      <c r="BN138" s="75">
        <f t="shared" si="121"/>
        <v>-21</v>
      </c>
      <c r="BO138" s="76" t="str">
        <f>+VLOOKUP(B138,'[2]Bang luong_06'!B88:D398,3,0)</f>
        <v>CNSX</v>
      </c>
      <c r="BP138" s="76" t="s">
        <v>40</v>
      </c>
      <c r="BQ138" s="76">
        <v>0</v>
      </c>
      <c r="BR138" s="76">
        <f t="shared" si="80"/>
        <v>9.6666666666666661</v>
      </c>
    </row>
    <row r="139" spans="1:70" s="76" customFormat="1" ht="31.5" customHeight="1" x14ac:dyDescent="0.25">
      <c r="A139" s="33">
        <f t="shared" si="81"/>
        <v>122</v>
      </c>
      <c r="B139" s="88" t="s">
        <v>308</v>
      </c>
      <c r="C139" s="89" t="s">
        <v>309</v>
      </c>
      <c r="D139" s="90">
        <v>46176</v>
      </c>
      <c r="E139" s="57"/>
      <c r="F139" s="57"/>
      <c r="G139" s="57"/>
      <c r="H139" s="57"/>
      <c r="I139" s="57"/>
      <c r="J139" s="57"/>
      <c r="K139" s="57"/>
      <c r="L139" s="57"/>
      <c r="M139" s="57" t="s">
        <v>215</v>
      </c>
      <c r="N139" s="57" t="s">
        <v>38</v>
      </c>
      <c r="O139" s="57" t="s">
        <v>38</v>
      </c>
      <c r="P139" s="57" t="s">
        <v>38</v>
      </c>
      <c r="Q139" s="57"/>
      <c r="R139" s="57" t="s">
        <v>38</v>
      </c>
      <c r="S139" s="57" t="s">
        <v>38</v>
      </c>
      <c r="T139" s="57" t="s">
        <v>38</v>
      </c>
      <c r="U139" s="57" t="s">
        <v>38</v>
      </c>
      <c r="V139" s="57" t="s">
        <v>38</v>
      </c>
      <c r="W139" s="57" t="s">
        <v>38</v>
      </c>
      <c r="X139" s="57"/>
      <c r="Y139" s="57" t="s">
        <v>38</v>
      </c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8">
        <v>10100403</v>
      </c>
      <c r="AK139" s="59">
        <v>12</v>
      </c>
      <c r="AL139" s="60">
        <f>COUNTIF(D139:AI139,"N")+COUNTIF(D139:AI139,"N1")*1/AK139+COUNTIF(D139:AI139,"N2")*2/AK139+COUNTIF(D139:AI139,"N3")*3/AK139+COUNTIF(D139:AI139,"N4")*4/AK139+COUNTIF(D139:AI139,"N5")*5/AK139+COUNTIF(D139:AI139,"N6")*6/AK139+COUNTIF(D139:AI139,"N7")*7/AK139+COUNTIF(D139:AI139,"N8")*8/AK139+COUNTIF(D139:AI139,"N9")*9/AK139+COUNTIF(D139:AI139,"N10")*10/AK139+COUNTIF(D139:AI139,"N11")*11/AK139+COUNTIF(D139:AI139,"N12")*12/AK139+COUNTIF(D139:AI139,"Ro1")*1/AK139+COUNTIF(D139:AI139,"Ro2")*2/AK139+COUNTIF(D139:AI139,"Ro3")*3/AK139+COUNTIF(D139:AI139,"Ro3.0")*3/AK139+COUNTIF(D139:AI139,"Ro4")*4/AK139+COUNTIF(D139:AI139,"Ro4.0")*4/AK139+COUNTIF(D139:AI139,"Ro4.5")*4.5/AK139+COUNTIF(D139:AI139,"Ro5")*5/AK139+COUNTIF(D139:AI139,"Ro5.0")*5/AK139+COUNTIF(D139:AI139,"Ro5.5")*5.5/AK139+COUNTIF(D139:AI139,"Ro6")*6/AK139+COUNTIF(D139:AI139,"Ro7")*7/AK139+COUNTIF(D139:AI139,"Ro8")*8/AK139+COUNTIF(D139:AI139,"Ro8.0")*8/AK139+COUNTIF(D139:AI139,"Ro8.3")*8.3/AK139+COUNTIF(D139:AI139,"Ro8.5")*8.5/AK139+COUNTIF(D139:AI139,"Ro9")*9/AK139+COUNTIF(D139:AI139,"Ro9.5")*9.5/AK139+COUNTIF(D139:AI139,"Ro10")*10/AK139+COUNTIF(D139:AI139,"Ro10.0")*10/AK139+COUNTIF(D139:AI139,"Ro10.5")*10.5/AK139+COUNTIF(D139:AI139,"Ro11")*11/AK139+COUNTIF(D139:AI139,"Ro11.0")*11/AK139+COUNTIF(D139:AI139,"Ro11.5")*11.5/AK139+COUNTIF(D139:AI139,"Bu1")+COUNTIF(D139:AI139,"Bu2")+COUNTIF(D139:AI139,"Bu3")+COUNTIF(D139:AI139,"Bu4")+COUNTIF(D139:AI139,"Bu5")+COUNTIF(D139:AI139,"Bu6")+COUNTIF(D139:AI139,"Bu7")+COUNTIF(D139:AI139,"Bu8")+COUNTIF(D139:AI139,"Bu9")+COUNTIF(D139:AI139,"Bu10")+COUNTIF(D139:AI139,"Bu11")+COUNTIF(D139:AI139,"Bu")+COUNTIF(D139:AI139,"P2")*0.5</f>
        <v>10.666666666666666</v>
      </c>
      <c r="AM139" s="61">
        <f>COUNTIF(E139:AI139,"D")+COUNTIF(E139:AI139,"D1")*1/AK139+COUNTIF(E139:AI139,"D2")*2/AK139+COUNTIF(E139:AI139,"D3")*3/AK139+COUNTIF(E139:AI139,"D4")*4/AK139+COUNTIF(E139:AI139,"D5")*5/AK139+COUNTIF(E139:AI139,"D6")*6/AK139+COUNTIF(E139:AI139,"D7")*7/AK139+COUNTIF(E139:AI139,"D8")*8/AK139+COUNTIF(E139:AI139,"D9")*9/AK139+COUNTIF(E139:AI139,"D10")*10/AK139+COUNTIF(E139:AI139,"D11")*11/AK139+COUNTIF(E139:AI139,"D12")*12/AK139</f>
        <v>0</v>
      </c>
      <c r="AN139" s="62">
        <f>+AL139+AM139</f>
        <v>10.666666666666666</v>
      </c>
      <c r="AO139" s="62">
        <f>COUNTIF(E139:AI139,"p")+COUNTIF(E139:AI139,"p1")/2+COUNTIF(E139:AI139,"p2")/2</f>
        <v>0</v>
      </c>
      <c r="AP139" s="62">
        <f>COUNTIF(E139:AI139,"K")</f>
        <v>0</v>
      </c>
      <c r="AQ139" s="63">
        <f>COUNTIF(E139:AI139,"Ro")+COUNTIF(E139:AI139,"Ro1")*11/AK139+COUNTIF(E139:AI139,"Ro2")*10/AK139+COUNTIF(E139:AI139,"Ro3")*9/AK139+COUNTIF(E139:AI139,"Ro3.0")*9/AK139+COUNTIF(E139:AI139,"Ro4")*8/AK139+COUNTIF(E139:AI139,"Ro4.0")*8/AK139+COUNTIF(E139:AI139,"Ro4.5")*7.5/AK139+COUNTIF(E139:AI139,"Ro5")*7/AK139+COUNTIF(E139:AI139,"Ro5.0")*7/AK139+COUNTIF(E139:AI139,"Ro5.5")*6.5/AK139+COUNTIF(E139:AI139,"Ro6")*6/AK139+COUNTIF(E139:AI139,"Ro7")*5/AK139+COUNTIF(E139:AI139,"Ro8")*4/AK139+COUNTIF(E139:AI139,"Ro8.0")*4/AK139+COUNTIF(E139:AI139,"Ro8.3")*3.7/AK139+COUNTIF(E139:AI139,"Ro8.5")*3.5/AK139+COUNTIF(E139:AI139,"Ro9")*3/AK139+COUNTIF(E139:AI139,"Ro10")*2/AK139+COUNTIF(E139:AI139,"Ro10.0")*2/AK139+COUNTIF(E139:AI139,"Ro10.5")*1.5/AK139+COUNTIF(E139:AI139,"Ro11.0")*1/AK139+COUNTIF(E139:AI139,"Ro11")*1/AK139+COUNTIF(E139:AI139,"Ro11.5")*0.5/AK139+COUNTIF(E139:AI139,"N1")*11/AK139+COUNTIF(E139:AI139,"N2")*10/AK139+COUNTIF(E139:AI139,"N3")*9/AK139+COUNTIF(E139:AI139,"N4")*8/AK139+COUNTIF(E139:AI139,"N5")*7/AK139+COUNTIF(E139:AI139,"N6")*6/AK139+COUNTIF(E139:AI139,"N7")*5/AK139+COUNTIF(E139:AI139,"N8")*4/AK139+COUNTIF(E139:AI139,"N9")*3/AK139+COUNTIF(E139:AI139,"N10")*2/AK139+COUNTIF(E139:AI139,"N11")*1/AK139+COUNTIF(E139:AI139,"D1")*11/AK139+COUNTIF(E139:AI139,"D2")*10/AK139+COUNTIF(E139:AI139,"D3")*9/AK139+COUNTIF(E139:AI139,"D4")*8/AK139+COUNTIF(E139:AI139,"D5")*7/AK139+COUNTIF(E139:AI139,"D6")*6/AK139+COUNTIF(E139:AI139,"D7")*5/AK139+COUNTIF(E139:AI139,"D8")*4/AK139+COUNTIF(E139:AI139,"D9")*3/AK139+COUNTIF(E139:AI139,"D10")*2/AK139+COUNTIF(E139:AI139,"D11")*1/AK139+COUNTIF(E139:AI139,"P1")*0.5</f>
        <v>0.33333333333333331</v>
      </c>
      <c r="AR139" s="62">
        <f>COUNTIF(E139:AI139,"R")</f>
        <v>0</v>
      </c>
      <c r="AS139" s="62">
        <f>COUNTIF(E139:AI139,"L")</f>
        <v>0</v>
      </c>
      <c r="AT139" s="64"/>
      <c r="AU139" s="64"/>
      <c r="AV139" s="65">
        <f t="shared" si="85"/>
        <v>0</v>
      </c>
      <c r="AW139" s="65">
        <f t="shared" si="86"/>
        <v>0</v>
      </c>
      <c r="AX139" s="64"/>
      <c r="AY139" s="64"/>
      <c r="AZ139" s="80"/>
      <c r="BA139" s="66">
        <f>+AN139+AR139+AS139+AO139</f>
        <v>10.666666666666666</v>
      </c>
      <c r="BB139" s="67"/>
      <c r="BC139" s="68"/>
      <c r="BD139" s="69" t="e">
        <f>VLOOKUP($B139,[1]CN!$B$9:$DK$221,114,0)</f>
        <v>#N/A</v>
      </c>
      <c r="BE139" s="70">
        <f t="shared" si="88"/>
        <v>27</v>
      </c>
      <c r="BF139" s="71" t="s">
        <v>39</v>
      </c>
      <c r="BG139" s="72" t="s">
        <v>34</v>
      </c>
      <c r="BH139" s="73" t="str">
        <f>VLOOKUP(B139,'[2]Bang luong_06'!$B$9:$C$333,2,0)</f>
        <v>Bùi Thị Hoa</v>
      </c>
      <c r="BI139" s="74"/>
      <c r="BJ139" s="75" t="str">
        <f>VLOOKUP($B139,'[2]Bang luong_06'!$B$10:$C$333,2,0)</f>
        <v>Bùi Thị Hoa</v>
      </c>
      <c r="BK139" s="76" t="b">
        <f>BJ139=C139</f>
        <v>1</v>
      </c>
      <c r="BM139" s="77" t="e">
        <f>+VLOOKUP(B139,'[2]Thưởng Lễ 2-9'!B78:G368,6,0)</f>
        <v>#N/A</v>
      </c>
      <c r="BN139" s="75">
        <f>ROUND(($BN$12-D139)/30,0)</f>
        <v>-21</v>
      </c>
      <c r="BO139" s="76" t="str">
        <f>+VLOOKUP(B139,'[2]Bang luong_06'!B89:D399,3,0)</f>
        <v>CNSX</v>
      </c>
      <c r="BP139" s="76" t="s">
        <v>40</v>
      </c>
      <c r="BQ139" s="76">
        <v>0</v>
      </c>
      <c r="BR139" s="76">
        <f t="shared" si="80"/>
        <v>10.666666666666666</v>
      </c>
    </row>
    <row r="140" spans="1:70" s="84" customFormat="1" ht="31.5" customHeight="1" x14ac:dyDescent="0.25">
      <c r="A140" s="33" t="str">
        <f>IF(B140="","",MAX(A132:A139)+1)</f>
        <v/>
      </c>
      <c r="B140" s="46"/>
      <c r="C140" s="46" t="s">
        <v>310</v>
      </c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81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82"/>
      <c r="BE140" s="82"/>
      <c r="BF140" s="96" t="s">
        <v>104</v>
      </c>
      <c r="BG140" s="92" t="s">
        <v>34</v>
      </c>
      <c r="BH140" s="73"/>
      <c r="BI140" s="73"/>
      <c r="BJ140" s="75"/>
      <c r="BK140" s="76"/>
      <c r="BM140" s="77"/>
      <c r="BN140" s="75"/>
      <c r="BO140" s="76"/>
      <c r="BP140" s="76"/>
      <c r="BQ140" s="76"/>
      <c r="BR140" s="76" t="e">
        <f t="shared" si="80"/>
        <v>#DIV/0!</v>
      </c>
    </row>
    <row r="141" spans="1:70" s="76" customFormat="1" ht="31.5" customHeight="1" x14ac:dyDescent="0.25">
      <c r="A141" s="33">
        <f t="shared" si="81"/>
        <v>123</v>
      </c>
      <c r="B141" s="78" t="s">
        <v>311</v>
      </c>
      <c r="C141" s="55" t="s">
        <v>312</v>
      </c>
      <c r="D141" s="79">
        <v>41428</v>
      </c>
      <c r="E141" s="86" t="s">
        <v>38</v>
      </c>
      <c r="F141" s="86" t="s">
        <v>38</v>
      </c>
      <c r="G141" s="57" t="s">
        <v>38</v>
      </c>
      <c r="H141" s="57" t="s">
        <v>38</v>
      </c>
      <c r="I141" s="86" t="s">
        <v>38</v>
      </c>
      <c r="J141" s="86"/>
      <c r="K141" s="86" t="s">
        <v>38</v>
      </c>
      <c r="L141" s="86" t="s">
        <v>38</v>
      </c>
      <c r="M141" s="86" t="s">
        <v>38</v>
      </c>
      <c r="N141" s="86" t="s">
        <v>107</v>
      </c>
      <c r="O141" s="57" t="s">
        <v>107</v>
      </c>
      <c r="P141" s="86" t="s">
        <v>107</v>
      </c>
      <c r="Q141" s="86"/>
      <c r="R141" s="86" t="s">
        <v>107</v>
      </c>
      <c r="S141" s="86" t="s">
        <v>107</v>
      </c>
      <c r="T141" s="86" t="s">
        <v>107</v>
      </c>
      <c r="U141" s="86" t="s">
        <v>38</v>
      </c>
      <c r="V141" s="57" t="s">
        <v>38</v>
      </c>
      <c r="W141" s="57" t="s">
        <v>38</v>
      </c>
      <c r="X141" s="57"/>
      <c r="Y141" s="57" t="s">
        <v>515</v>
      </c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8">
        <v>10110508</v>
      </c>
      <c r="AK141" s="59">
        <v>12</v>
      </c>
      <c r="AL141" s="60">
        <f>COUNTIF(D141:AI141,"N")+COUNTIF(D141:AI141,"N1")*1/AK141+COUNTIF(D141:AI141,"N2")*2/AK141+COUNTIF(D141:AI141,"N3")*3/AK141+COUNTIF(D141:AI141,"N4")*4/AK141+COUNTIF(D141:AI141,"N5")*5/AK141+COUNTIF(D141:AI141,"N6")*6/AK141+COUNTIF(D141:AI141,"N7")*7/AK141+COUNTIF(D141:AI141,"N8")*8/AK141+COUNTIF(D141:AI141,"N9")*9/AK141+COUNTIF(D141:AI141,"N10")*10/AK141+COUNTIF(D141:AI141,"N11")*11/AK141+COUNTIF(D141:AI141,"N12")*12/AK141+COUNTIF(D141:AI141,"Ro1")*1/AK141+COUNTIF(D141:AI141,"Ro2")*2/AK141+COUNTIF(D141:AI141,"Ro3")*3/AK141+COUNTIF(D141:AI141,"Ro3.0")*3/AK141+COUNTIF(D141:AI141,"Ro4")*4/AK141+COUNTIF(D141:AI141,"Ro4.0")*4/AK141+COUNTIF(D141:AI141,"Ro4.5")*4.5/AK141+COUNTIF(D141:AI141,"Ro5")*5/AK141+COUNTIF(D141:AI141,"Ro5.0")*5/AK141+COUNTIF(D141:AI141,"Ro5.5")*5.5/AK141+COUNTIF(D141:AI141,"Ro6")*6/AK141+COUNTIF(D141:AI141,"Ro7")*7/AK141+COUNTIF(D141:AI141,"Ro8")*8/AK141+COUNTIF(D141:AI141,"Ro8.0")*8/AK141+COUNTIF(D141:AI141,"Ro8.3")*8.3/AK141+COUNTIF(D141:AI141,"Ro8.5")*8.5/AK141+COUNTIF(D141:AI141,"Ro9")*9/AK141+COUNTIF(D141:AI141,"Ro9.5")*9.5/AK141+COUNTIF(D141:AI141,"Ro10")*10/AK141+COUNTIF(D141:AI141,"Ro10.0")*10/AK141+COUNTIF(D141:AI141,"Ro10.5")*10.5/AK141+COUNTIF(D141:AI141,"Ro11")*11/AK141+COUNTIF(D141:AI141,"Ro11.0")*11/AK141+COUNTIF(D141:AI141,"Ro11.5")*11.5/AK141+COUNTIF(D141:AI141,"Bu1")+COUNTIF(D141:AI141,"Bu2")+COUNTIF(D141:AI141,"Bu3")+COUNTIF(D141:AI141,"Bu4")+COUNTIF(D141:AI141,"Bu5")+COUNTIF(D141:AI141,"Bu6")+COUNTIF(D141:AI141,"Bu7")+COUNTIF(D141:AI141,"Bu8")+COUNTIF(D141:AI141,"Bu9")+COUNTIF(D141:AI141,"Bu10")+COUNTIF(D141:AI141,"Bu11")+COUNTIF(D141:AI141,"Bu")+COUNTIF(D141:AI141,"P2")*0.5</f>
        <v>11</v>
      </c>
      <c r="AM141" s="61">
        <f>COUNTIF(E141:AI141,"D")+COUNTIF(E141:AI141,"D1")*1/AK141+COUNTIF(E141:AI141,"D2")*2/AK141+COUNTIF(E141:AI141,"D3")*3/AK141+COUNTIF(E141:AI141,"D4")*4/AK141+COUNTIF(E141:AI141,"D5")*5/AK141+COUNTIF(E141:AI141,"D6")*6/AK141+COUNTIF(E141:AI141,"D7")*7/AK141+COUNTIF(E141:AI141,"D8")*8/AK141+COUNTIF(E141:AI141,"D9")*9/AK141+COUNTIF(E141:AI141,"D10")*10/AK141+COUNTIF(E141:AI141,"D11")*11/AK141+COUNTIF(E141:AI141,"D12")*12/AK141</f>
        <v>0</v>
      </c>
      <c r="AN141" s="62">
        <f>+AL141+AM141</f>
        <v>11</v>
      </c>
      <c r="AO141" s="62">
        <f>COUNTIF(E141:AI141,"p")+COUNTIF(E141:AI141,"p1")/2+COUNTIF(E141:AI141,"p2")/2</f>
        <v>6</v>
      </c>
      <c r="AP141" s="62">
        <f t="shared" ref="AP141:AP162" si="122">COUNTIF(E141:AI141,"K")</f>
        <v>0</v>
      </c>
      <c r="AQ141" s="63">
        <f t="shared" ref="AQ141:AQ162" si="123">COUNTIF(E141:AI141,"Ro")+COUNTIF(E141:AI141,"Ro1")*11/AK141+COUNTIF(E141:AI141,"Ro2")*10/AK141+COUNTIF(E141:AI141,"Ro3")*9/AK141+COUNTIF(E141:AI141,"Ro3.0")*9/AK141+COUNTIF(E141:AI141,"Ro4")*8/AK141+COUNTIF(E141:AI141,"Ro4.0")*8/AK141+COUNTIF(E141:AI141,"Ro4.5")*7.5/AK141+COUNTIF(E141:AI141,"Ro5")*7/AK141+COUNTIF(E141:AI141,"Ro5.0")*7/AK141+COUNTIF(E141:AI141,"Ro5.5")*6.5/AK141+COUNTIF(E141:AI141,"Ro6")*6/AK141+COUNTIF(E141:AI141,"Ro7")*5/AK141+COUNTIF(E141:AI141,"Ro8")*4/AK141+COUNTIF(E141:AI141,"Ro8.0")*4/AK141+COUNTIF(E141:AI141,"Ro8.3")*3.7/AK141+COUNTIF(E141:AI141,"Ro8.5")*3.5/AK141+COUNTIF(E141:AI141,"Ro9")*3/AK141+COUNTIF(E141:AI141,"Ro10")*2/AK141+COUNTIF(E141:AI141,"Ro10.0")*2/AK141+COUNTIF(E141:AI141,"Ro10.5")*1.5/AK141+COUNTIF(E141:AI141,"Ro11.0")*1/AK141+COUNTIF(E141:AI141,"Ro11")*1/AK141+COUNTIF(E141:AI141,"Ro11.5")*0.5/AK141+COUNTIF(E141:AI141,"N1")*11/AK141+COUNTIF(E141:AI141,"N2")*10/AK141+COUNTIF(E141:AI141,"N3")*9/AK141+COUNTIF(E141:AI141,"N4")*8/AK141+COUNTIF(E141:AI141,"N5")*7/AK141+COUNTIF(E141:AI141,"N6")*6/AK141+COUNTIF(E141:AI141,"N7")*5/AK141+COUNTIF(E141:AI141,"N8")*4/AK141+COUNTIF(E141:AI141,"N9")*3/AK141+COUNTIF(E141:AI141,"N10")*2/AK141+COUNTIF(E141:AI141,"N11")*1/AK141+COUNTIF(E141:AI141,"D1")*11/AK141+COUNTIF(E141:AI141,"D2")*10/AK141+COUNTIF(E141:AI141,"D3")*9/AK141+COUNTIF(E141:AI141,"D4")*8/AK141+COUNTIF(E141:AI141,"D5")*7/AK141+COUNTIF(E141:AI141,"D6")*6/AK141+COUNTIF(E141:AI141,"D7")*5/AK141+COUNTIF(E141:AI141,"D8")*4/AK141+COUNTIF(E141:AI141,"D9")*3/AK141+COUNTIF(E141:AI141,"D10")*2/AK141+COUNTIF(E141:AI141,"D11")*1/AK141+COUNTIF(E141:AI141,"P1")*0.5</f>
        <v>1</v>
      </c>
      <c r="AR141" s="62">
        <f t="shared" ref="AR141:AR162" si="124">COUNTIF(E141:AI141,"R")</f>
        <v>0</v>
      </c>
      <c r="AS141" s="62">
        <f>COUNTIF(E141:AI141,"L")</f>
        <v>0</v>
      </c>
      <c r="AT141" s="64"/>
      <c r="AU141" s="64"/>
      <c r="AV141" s="65">
        <f t="shared" ref="AV141:AV142" si="125">COUNTIF(E141:AI141,"12N")*12</f>
        <v>0</v>
      </c>
      <c r="AW141" s="65">
        <f t="shared" ref="AW141:AW142" si="126">COUNTIF(F141:AI141,"12D")*12</f>
        <v>0</v>
      </c>
      <c r="AX141" s="64"/>
      <c r="AY141" s="101"/>
      <c r="AZ141" s="80"/>
      <c r="BA141" s="66">
        <f t="shared" ref="BA141:BA236" si="127">+AN141+AR141+AS141+AO141</f>
        <v>17</v>
      </c>
      <c r="BB141" s="67"/>
      <c r="BC141" s="68"/>
      <c r="BD141" s="69">
        <f>VLOOKUP($B141,[1]CN!$B$9:$DK$221,114,0)</f>
        <v>5</v>
      </c>
      <c r="BE141" s="70">
        <f t="shared" ref="BE141:BE142" si="128">+$AI$8-$E$8+1-INT(($AI$8-$E$8-WEEKDAY($AI$8)+8)/7)</f>
        <v>27</v>
      </c>
      <c r="BF141" s="71" t="s">
        <v>39</v>
      </c>
      <c r="BG141" s="72" t="s">
        <v>34</v>
      </c>
      <c r="BH141" s="73" t="str">
        <f>VLOOKUP(B141,'[2]Bang luong_06'!$B$9:$C$333,2,0)</f>
        <v>Danh Kim Đồng</v>
      </c>
      <c r="BI141" s="74" t="s">
        <v>311</v>
      </c>
      <c r="BJ141" s="75" t="str">
        <f>VLOOKUP($B141,'[2]Bang luong_06'!$B$10:$C$333,2,0)</f>
        <v>Danh Kim Đồng</v>
      </c>
      <c r="BK141" s="76" t="b">
        <f>BJ141=C141</f>
        <v>1</v>
      </c>
      <c r="BM141" s="77">
        <f>+VLOOKUP(B141,'[2]Thưởng Lễ 2-9'!B95:G385,6,0)</f>
        <v>0</v>
      </c>
      <c r="BN141" s="75">
        <f>ROUND(($BN$12-D141)/30,0)</f>
        <v>137</v>
      </c>
      <c r="BO141" s="76" t="str">
        <f>+VLOOKUP(B141,'[2]Bang luong_06'!B103:D416,3,0)</f>
        <v>CNSX</v>
      </c>
      <c r="BP141" s="76" t="s">
        <v>40</v>
      </c>
      <c r="BQ141" s="76">
        <v>2</v>
      </c>
      <c r="BR141" s="76">
        <f t="shared" ref="BR141:BR162" si="129">COUNTIF(D141:AI141,"N")+COUNTIF(D141:AI141,"N1")*1/AK141+COUNTIF(D141:AI141,"N2")*2/AK141+COUNTIF(D141:AI141,"N3")*3/AK141+COUNTIF(D141:AI141,"N4")*4/AK141+COUNTIF(D141:AI141,"N5")*5/AK141+COUNTIF(D141:AI141,"N6")*6/AK141+COUNTIF(D141:AI141,"N7")*7/AK141+COUNTIF(D141:AI141,"N8")*8/AK141+COUNTIF(D141:AI141,"N9")*9/AK141+COUNTIF(D141:AI141,"N10")*10/AK141+COUNTIF(D141:AI141,"N11")*11/AK141+COUNTIF(D141:AI141,"N12")*12/AK141+COUNTIF(D141:AI141,"Ro1")*1/AK141+COUNTIF(D141:AI141,"Ro2")*2/AK141+COUNTIF(D141:AI141,"Ro3")*3/AK141+COUNTIF(D141:AI141,"Ro3.0")*3/AK141+COUNTIF(D141:AI141,"Ro4")*4/AK141+COUNTIF(D141:AI141,"Ro4.0")*4/AK141+COUNTIF(D141:AI141,"Ro4.5")*4.5/AK141+COUNTIF(D141:AI141,"Ro5")*5/AK141+COUNTIF(D141:AI141,"Ro5.0")*5/AK141+COUNTIF(D141:AI141,"Ro5.5")*5.5/AK141+COUNTIF(D141:AI141,"Ro6")*6/AK141+COUNTIF(D141:AI141,"Ro7")*7/AK141+COUNTIF(D141:AI141,"Ro8")*8/AK141+COUNTIF(D141:AI141,"Ro8.0")*8/AK141+COUNTIF(D141:AI141,"Ro8.3")*8.3/AK141+COUNTIF(D141:AI141,"Ro8.5")*8.5/AK141+COUNTIF(D141:AI141,"Ro9")*9/AK141+COUNTIF(D141:AI141,"Ro9.5")*9.5/AK141+COUNTIF(D141:AI141,"Ro10")*10/AK141+COUNTIF(D141:AI141,"Ro10.0")*10/AK141+COUNTIF(D141:AI141,"Ro10.5")*10.5/AK141+COUNTIF(D141:AI141,"Ro11")*11/AK141+COUNTIF(D141:AI141,"Ro11.0")*11/AK141+COUNTIF(D141:AI141,"Ro11.5")*11.5/AK141+COUNTIF(D141:AI141,"P2")*0.5</f>
        <v>11</v>
      </c>
    </row>
    <row r="142" spans="1:70" s="76" customFormat="1" ht="31.5" customHeight="1" x14ac:dyDescent="0.25">
      <c r="A142" s="33">
        <f t="shared" si="81"/>
        <v>124</v>
      </c>
      <c r="B142" s="78" t="s">
        <v>313</v>
      </c>
      <c r="C142" s="55" t="s">
        <v>314</v>
      </c>
      <c r="D142" s="79">
        <v>43892</v>
      </c>
      <c r="E142" s="57" t="s">
        <v>510</v>
      </c>
      <c r="F142" s="57" t="s">
        <v>510</v>
      </c>
      <c r="G142" s="57" t="s">
        <v>510</v>
      </c>
      <c r="H142" s="57" t="s">
        <v>510</v>
      </c>
      <c r="I142" s="57" t="s">
        <v>510</v>
      </c>
      <c r="J142" s="57"/>
      <c r="K142" s="57" t="s">
        <v>510</v>
      </c>
      <c r="L142" s="57" t="s">
        <v>510</v>
      </c>
      <c r="M142" s="57" t="s">
        <v>510</v>
      </c>
      <c r="N142" s="57" t="s">
        <v>510</v>
      </c>
      <c r="O142" s="57" t="s">
        <v>510</v>
      </c>
      <c r="P142" s="57" t="s">
        <v>510</v>
      </c>
      <c r="Q142" s="57"/>
      <c r="R142" s="57" t="s">
        <v>510</v>
      </c>
      <c r="S142" s="57" t="s">
        <v>510</v>
      </c>
      <c r="T142" s="57" t="s">
        <v>510</v>
      </c>
      <c r="U142" s="57" t="s">
        <v>510</v>
      </c>
      <c r="V142" s="57" t="s">
        <v>510</v>
      </c>
      <c r="W142" s="57" t="s">
        <v>510</v>
      </c>
      <c r="X142" s="57"/>
      <c r="Y142" s="57" t="s">
        <v>510</v>
      </c>
      <c r="Z142" s="57"/>
      <c r="AA142" s="57"/>
      <c r="AB142" s="57"/>
      <c r="AC142" s="57"/>
      <c r="AD142" s="57"/>
      <c r="AE142" s="57"/>
      <c r="AF142" s="57"/>
      <c r="AG142" s="57"/>
      <c r="AH142" s="57"/>
      <c r="AI142" s="58"/>
      <c r="AJ142" s="58">
        <v>10110508</v>
      </c>
      <c r="AK142" s="59">
        <v>12</v>
      </c>
      <c r="AL142" s="60">
        <f>COUNTIF(D142:AI142,"N")+COUNTIF(D142:AI142,"N1")*1/AK142+COUNTIF(D142:AI142,"N2")*2/AK142+COUNTIF(D142:AI142,"N3")*3/AK142+COUNTIF(D142:AI142,"N4")*4/AK142+COUNTIF(D142:AI142,"N5")*5/AK142+COUNTIF(D142:AI142,"N6")*6/AK142+COUNTIF(D142:AI142,"N7")*7/AK142+COUNTIF(D142:AI142,"N8")*8/AK142+COUNTIF(D142:AI142,"N9")*9/AK142+COUNTIF(D142:AI142,"N10")*10/AK142+COUNTIF(D142:AI142,"N11")*11/AK142+COUNTIF(D142:AI142,"N12")*12/AK142+COUNTIF(D142:AI142,"Ro1")*1/AK142+COUNTIF(D142:AI142,"Ro2")*2/AK142+COUNTIF(D142:AI142,"Ro3")*3/AK142+COUNTIF(D142:AI142,"Ro3.0")*3/AK142+COUNTIF(D142:AI142,"Ro4")*4/AK142+COUNTIF(D142:AI142,"Ro4.0")*4/AK142+COUNTIF(D142:AI142,"Ro4.5")*4.5/AK142+COUNTIF(D142:AI142,"Ro5")*5/AK142+COUNTIF(D142:AI142,"Ro5.0")*5/AK142+COUNTIF(D142:AI142,"Ro5.5")*5.5/AK142+COUNTIF(D142:AI142,"Ro6")*6/AK142+COUNTIF(D142:AI142,"Ro7")*7/AK142+COUNTIF(D142:AI142,"Ro8")*8/AK142+COUNTIF(D142:AI142,"Ro8.0")*8/AK142+COUNTIF(D142:AI142,"Ro8.3")*8.3/AK142+COUNTIF(D142:AI142,"Ro8.5")*8.5/AK142+COUNTIF(D142:AI142,"Ro9")*9/AK142+COUNTIF(D142:AI142,"Ro9.5")*9.5/AK142+COUNTIF(D142:AI142,"Ro10")*10/AK142+COUNTIF(D142:AI142,"Ro10.0")*10/AK142+COUNTIF(D142:AI142,"Ro10.5")*10.5/AK142+COUNTIF(D142:AI142,"Ro11")*11/AK142+COUNTIF(D142:AI142,"Ro11.0")*11/AK142+COUNTIF(D142:AI142,"Ro11.5")*11.5/AK142+COUNTIF(D142:AI142,"Bu1")+COUNTIF(D142:AI142,"Bu2")+COUNTIF(D142:AI142,"Bu3")+COUNTIF(D142:AI142,"Bu4")+COUNTIF(D142:AI142,"Bu5")+COUNTIF(D142:AI142,"Bu6")+COUNTIF(D142:AI142,"Bu7")+COUNTIF(D142:AI142,"Bu8")+COUNTIF(D142:AI142,"Bu9")+COUNTIF(D142:AI142,"Bu10")+COUNTIF(D142:AI142,"Bu11")+COUNTIF(D142:AI142,"Bu")+COUNTIF(D142:AI142,"P2")*0.5</f>
        <v>0</v>
      </c>
      <c r="AM142" s="61">
        <f>COUNTIF(E142:AI142,"D")+COUNTIF(E142:AI142,"D1")*1/AK142+COUNTIF(E142:AI142,"D2")*2/AK142+COUNTIF(E142:AI142,"D3")*3/AK142+COUNTIF(E142:AI142,"D4")*4/AK142+COUNTIF(E142:AI142,"D5")*5/AK142+COUNTIF(E142:AI142,"D6")*6/AK142+COUNTIF(E142:AI142,"D7")*7/AK142+COUNTIF(E142:AI142,"D8")*8/AK142+COUNTIF(E142:AI142,"D9")*9/AK142+COUNTIF(E142:AI142,"D10")*10/AK142+COUNTIF(E142:AI142,"D11")*11/AK142+COUNTIF(E142:AI142,"D12")*12/AK142</f>
        <v>0</v>
      </c>
      <c r="AN142" s="62">
        <f>+AL142+AM142</f>
        <v>0</v>
      </c>
      <c r="AO142" s="62">
        <f>COUNTIF(E142:AI142,"p")+COUNTIF(E142:AI142,"p1")/2+COUNTIF(E142:AI142,"p2")/2</f>
        <v>0</v>
      </c>
      <c r="AP142" s="62">
        <f t="shared" si="122"/>
        <v>0</v>
      </c>
      <c r="AQ142" s="63">
        <f t="shared" si="123"/>
        <v>0</v>
      </c>
      <c r="AR142" s="62">
        <f t="shared" si="124"/>
        <v>0</v>
      </c>
      <c r="AS142" s="62">
        <f>COUNTIF(E142:AI142,"L")</f>
        <v>0</v>
      </c>
      <c r="AT142" s="64"/>
      <c r="AU142" s="64"/>
      <c r="AV142" s="65">
        <f t="shared" si="125"/>
        <v>0</v>
      </c>
      <c r="AW142" s="65">
        <f t="shared" si="126"/>
        <v>0</v>
      </c>
      <c r="AX142" s="64"/>
      <c r="AY142" s="64"/>
      <c r="AZ142" s="80"/>
      <c r="BA142" s="66">
        <f t="shared" si="127"/>
        <v>0</v>
      </c>
      <c r="BB142" s="67"/>
      <c r="BC142" s="68"/>
      <c r="BD142" s="69">
        <f>VLOOKUP($B142,[1]CN!$B$9:$DK$221,114,0)</f>
        <v>0</v>
      </c>
      <c r="BE142" s="70">
        <f t="shared" si="128"/>
        <v>27</v>
      </c>
      <c r="BF142" s="71" t="s">
        <v>39</v>
      </c>
      <c r="BG142" s="72" t="s">
        <v>34</v>
      </c>
      <c r="BH142" s="73" t="str">
        <f>VLOOKUP(B142,'[2]Bang luong_06'!$B$9:$C$333,2,0)</f>
        <v>Thạch Tài</v>
      </c>
      <c r="BI142" s="74" t="s">
        <v>313</v>
      </c>
      <c r="BJ142" s="75" t="str">
        <f>VLOOKUP($B142,'[2]Bang luong_06'!$B$10:$C$333,2,0)</f>
        <v>Thạch Tài</v>
      </c>
      <c r="BK142" s="76" t="b">
        <f>BJ142=C142</f>
        <v>1</v>
      </c>
      <c r="BM142" s="77">
        <f>+VLOOKUP(B142,'[2]Thưởng Lễ 2-9'!B96:G386,6,0)</f>
        <v>0</v>
      </c>
      <c r="BN142" s="75">
        <f>ROUND(($BN$12-D142)/30,0)</f>
        <v>55</v>
      </c>
      <c r="BO142" s="76" t="str">
        <f>+VLOOKUP(B142,'[2]Bang luong_06'!B108:D417,3,0)</f>
        <v>CNSX</v>
      </c>
      <c r="BP142" s="76" t="s">
        <v>40</v>
      </c>
      <c r="BQ142" s="76">
        <v>4</v>
      </c>
      <c r="BR142" s="76">
        <f t="shared" si="129"/>
        <v>0</v>
      </c>
    </row>
    <row r="143" spans="1:70" s="84" customFormat="1" ht="31.5" customHeight="1" x14ac:dyDescent="0.25">
      <c r="A143" s="33" t="str">
        <f t="shared" si="81"/>
        <v/>
      </c>
      <c r="B143" s="46"/>
      <c r="C143" s="46" t="s">
        <v>315</v>
      </c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81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82"/>
      <c r="BE143" s="46"/>
      <c r="BF143" s="96" t="s">
        <v>104</v>
      </c>
      <c r="BG143" s="92" t="s">
        <v>34</v>
      </c>
      <c r="BH143" s="73"/>
      <c r="BI143" s="73"/>
      <c r="BJ143" s="75"/>
      <c r="BK143" s="76"/>
      <c r="BM143" s="77"/>
      <c r="BN143" s="75"/>
      <c r="BO143" s="76"/>
      <c r="BP143" s="76"/>
      <c r="BQ143" s="76"/>
      <c r="BR143" s="76" t="e">
        <f t="shared" si="129"/>
        <v>#DIV/0!</v>
      </c>
    </row>
    <row r="144" spans="1:70" s="76" customFormat="1" ht="31.5" customHeight="1" x14ac:dyDescent="0.25">
      <c r="A144" s="33">
        <f t="shared" si="81"/>
        <v>125</v>
      </c>
      <c r="B144" s="78" t="s">
        <v>316</v>
      </c>
      <c r="C144" s="55" t="s">
        <v>317</v>
      </c>
      <c r="D144" s="56">
        <v>44246</v>
      </c>
      <c r="E144" s="57" t="s">
        <v>38</v>
      </c>
      <c r="F144" s="57" t="s">
        <v>38</v>
      </c>
      <c r="G144" s="57" t="s">
        <v>318</v>
      </c>
      <c r="H144" s="57" t="s">
        <v>38</v>
      </c>
      <c r="I144" s="57" t="s">
        <v>38</v>
      </c>
      <c r="J144" s="57" t="s">
        <v>506</v>
      </c>
      <c r="K144" s="57" t="s">
        <v>37</v>
      </c>
      <c r="L144" s="57" t="s">
        <v>37</v>
      </c>
      <c r="M144" s="57" t="s">
        <v>37</v>
      </c>
      <c r="N144" s="57" t="s">
        <v>37</v>
      </c>
      <c r="O144" s="57" t="s">
        <v>37</v>
      </c>
      <c r="P144" s="57" t="s">
        <v>37</v>
      </c>
      <c r="Q144" s="57" t="s">
        <v>507</v>
      </c>
      <c r="R144" s="57" t="s">
        <v>37</v>
      </c>
      <c r="S144" s="57" t="s">
        <v>37</v>
      </c>
      <c r="T144" s="57" t="s">
        <v>37</v>
      </c>
      <c r="U144" s="57" t="s">
        <v>37</v>
      </c>
      <c r="V144" s="57" t="s">
        <v>37</v>
      </c>
      <c r="W144" s="57" t="s">
        <v>37</v>
      </c>
      <c r="X144" s="57"/>
      <c r="Y144" s="57" t="s">
        <v>38</v>
      </c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8">
        <v>10110509</v>
      </c>
      <c r="AK144" s="59">
        <v>12</v>
      </c>
      <c r="AL144" s="60">
        <f>COUNTIF(D144:AI144,"N")+COUNTIF(D144:AI144,"N1")*1/AK144+COUNTIF(D144:AI144,"N2")*2/AK144+COUNTIF(D144:AI144,"N3")*3/AK144+COUNTIF(D144:AI144,"N4")*4/AK144+COUNTIF(D144:AI144,"N5")*5/AK144+COUNTIF(D144:AI144,"N6")*6/AK144+COUNTIF(D144:AI144,"N7")*7/AK144+COUNTIF(D144:AI144,"N8")*8/AK144+COUNTIF(D144:AI144,"N9")*9/AK144+COUNTIF(D144:AI144,"N10")*10/AK144+COUNTIF(D144:AI144,"N11")*11/AK144+COUNTIF(D144:AI144,"N12")*12/AK144+COUNTIF(D144:AI144,"Ro1")*1/AK144+COUNTIF(D144:AI144,"Ro2")*2/AK144+COUNTIF(D144:AI144,"Ro3")*3/AK144+COUNTIF(D144:AI144,"Ro3.0")*3/AK144+COUNTIF(D144:AI144,"Ro4")*4/AK144+COUNTIF(D144:AI144,"Ro4.0")*4/AK144+COUNTIF(D144:AI144,"Ro4.5")*4.5/AK144+COUNTIF(D144:AI144,"Ro5")*5/AK144+COUNTIF(D144:AI144,"Ro5.0")*5/AK144+COUNTIF(D144:AI144,"Ro5.5")*5.5/AK144+COUNTIF(D144:AI144,"Ro6")*6/AK144+COUNTIF(D144:AI144,"Ro7")*7/AK144+COUNTIF(D144:AI144,"Ro8")*8/AK144+COUNTIF(D144:AI144,"Ro8.0")*8/AK144+COUNTIF(D144:AI144,"Ro8.3")*8.3/AK144+COUNTIF(D144:AI144,"Ro8.5")*8.5/AK144+COUNTIF(D144:AI144,"Ro9")*9/AK144+COUNTIF(D144:AI144,"Ro9.5")*9.5/AK144+COUNTIF(D144:AI144,"Ro10")*10/AK144+COUNTIF(D144:AI144,"Ro10.0")*10/AK144+COUNTIF(D144:AI144,"Ro10.5")*10.5/AK144+COUNTIF(D144:AI144,"Ro11")*11/AK144+COUNTIF(D144:AI144,"Ro11.0")*11/AK144+COUNTIF(D144:AI144,"Ro11.5")*11.5/AK144+COUNTIF(D144:AI144,"Bu1")+COUNTIF(D144:AI144,"Bu2")+COUNTIF(D144:AI144,"Bu3")+COUNTIF(D144:AI144,"Bu4")+COUNTIF(D144:AI144,"Bu5")+COUNTIF(D144:AI144,"Bu6")+COUNTIF(D144:AI144,"Bu7")+COUNTIF(D144:AI144,"Bu8")+COUNTIF(D144:AI144,"Bu9")+COUNTIF(D144:AI144,"Bu10")+COUNTIF(D144:AI144,"Bu11")+COUNTIF(D144:AI144,"Bu")+COUNTIF(D144:AI144,"P2")*0.5</f>
        <v>5.166666666666667</v>
      </c>
      <c r="AM144" s="61">
        <f>COUNTIF(E144:AI144,"D")+COUNTIF(E144:AI144,"D1")*1/AK144+COUNTIF(E144:AI144,"D2")*2/AK144+COUNTIF(E144:AI144,"D3")*3/AK144+COUNTIF(E144:AI144,"D4")*4/AK144+COUNTIF(E144:AI144,"D5")*5/AK144+COUNTIF(E144:AI144,"D6")*6/AK144+COUNTIF(E144:AI144,"D7")*7/AK144+COUNTIF(E144:AI144,"D8")*8/AK144+COUNTIF(E144:AI144,"D9")*9/AK144+COUNTIF(E144:AI144,"D10")*10/AK144+COUNTIF(E144:AI144,"D11")*11/AK144+COUNTIF(E144:AI144,"D12")*12/AK144</f>
        <v>12</v>
      </c>
      <c r="AN144" s="62">
        <f>+AL144+AM144</f>
        <v>17.166666666666668</v>
      </c>
      <c r="AO144" s="62">
        <f>COUNTIF(E144:AI144,"p")+COUNTIF(E144:AI144,"p1")/2+COUNTIF(E144:AI144,"p2")/2</f>
        <v>0</v>
      </c>
      <c r="AP144" s="62">
        <f>COUNTIF(E144:AI144,"K")</f>
        <v>0</v>
      </c>
      <c r="AQ144" s="63">
        <f>COUNTIF(E144:AI144,"Ro")+COUNTIF(E144:AI144,"Ro1")*11/AK144+COUNTIF(E144:AI144,"Ro2")*10/AK144+COUNTIF(E144:AI144,"Ro3")*9/AK144+COUNTIF(E144:AI144,"Ro3.0")*9/AK144+COUNTIF(E144:AI144,"Ro4")*8/AK144+COUNTIF(E144:AI144,"Ro4.0")*8/AK144+COUNTIF(E144:AI144,"Ro4.5")*7.5/AK144+COUNTIF(E144:AI144,"Ro5")*7/AK144+COUNTIF(E144:AI144,"Ro5.0")*7/AK144+COUNTIF(E144:AI144,"Ro5.5")*6.5/AK144+COUNTIF(E144:AI144,"Ro6")*6/AK144+COUNTIF(E144:AI144,"Ro7")*5/AK144+COUNTIF(E144:AI144,"Ro8")*4/AK144+COUNTIF(E144:AI144,"Ro8.0")*4/AK144+COUNTIF(E144:AI144,"Ro8.3")*3.7/AK144+COUNTIF(E144:AI144,"Ro8.5")*3.5/AK144+COUNTIF(E144:AI144,"Ro9")*3/AK144+COUNTIF(E144:AI144,"Ro10")*2/AK144+COUNTIF(E144:AI144,"Ro10.0")*2/AK144+COUNTIF(E144:AI144,"Ro10.5")*1.5/AK144+COUNTIF(E144:AI144,"Ro11.0")*1/AK144+COUNTIF(E144:AI144,"Ro11")*1/AK144+COUNTIF(E144:AI144,"Ro11.5")*0.5/AK144+COUNTIF(E144:AI144,"N1")*11/AK144+COUNTIF(E144:AI144,"N2")*10/AK144+COUNTIF(E144:AI144,"N3")*9/AK144+COUNTIF(E144:AI144,"N4")*8/AK144+COUNTIF(E144:AI144,"N5")*7/AK144+COUNTIF(E144:AI144,"N6")*6/AK144+COUNTIF(E144:AI144,"N7")*5/AK144+COUNTIF(E144:AI144,"N8")*4/AK144+COUNTIF(E144:AI144,"N9")*3/AK144+COUNTIF(E144:AI144,"N10")*2/AK144+COUNTIF(E144:AI144,"N11")*1/AK144+COUNTIF(E144:AI144,"D1")*11/AK144+COUNTIF(E144:AI144,"D2")*10/AK144+COUNTIF(E144:AI144,"D3")*9/AK144+COUNTIF(E144:AI144,"D4")*8/AK144+COUNTIF(E144:AI144,"D5")*7/AK144+COUNTIF(E144:AI144,"D6")*6/AK144+COUNTIF(E144:AI144,"D7")*5/AK144+COUNTIF(E144:AI144,"D8")*4/AK144+COUNTIF(E144:AI144,"D9")*3/AK144+COUNTIF(E144:AI144,"D10")*2/AK144+COUNTIF(E144:AI144,"D11")*1/AK144+COUNTIF(E144:AI144,"P1")*0.5</f>
        <v>0.83333333333333337</v>
      </c>
      <c r="AR144" s="62">
        <f>COUNTIF(E144:AI144,"R")</f>
        <v>0</v>
      </c>
      <c r="AS144" s="62">
        <f>COUNTIF(E144:AI144,"L")</f>
        <v>0</v>
      </c>
      <c r="AT144" s="64"/>
      <c r="AU144" s="64"/>
      <c r="AV144" s="65">
        <f t="shared" ref="AV144:AV145" si="130">COUNTIF(E144:AI144,"12N")*12</f>
        <v>12</v>
      </c>
      <c r="AW144" s="65">
        <f t="shared" ref="AW144:AW145" si="131">COUNTIF(F144:AI144,"12D")*12</f>
        <v>12</v>
      </c>
      <c r="AX144" s="64"/>
      <c r="AY144" s="64"/>
      <c r="AZ144" s="80"/>
      <c r="BA144" s="66">
        <f t="shared" si="127"/>
        <v>17.166666666666668</v>
      </c>
      <c r="BB144" s="67"/>
      <c r="BC144" s="68"/>
      <c r="BD144" s="69">
        <f>VLOOKUP($B144,[1]CN!$B$9:$DK$221,114,0)</f>
        <v>4</v>
      </c>
      <c r="BE144" s="70">
        <f t="shared" ref="BE144:BE145" si="132">+$AI$8-$E$8+1-INT(($AI$8-$E$8-WEEKDAY($AI$8)+8)/7)</f>
        <v>27</v>
      </c>
      <c r="BF144" s="71" t="s">
        <v>39</v>
      </c>
      <c r="BG144" s="72">
        <v>0</v>
      </c>
      <c r="BH144" s="73" t="str">
        <f>VLOOKUP(B144,'[2]Bang luong_06'!$B$9:$C$333,2,0)</f>
        <v>Trần Quốc Nam</v>
      </c>
      <c r="BI144" s="74" t="s">
        <v>319</v>
      </c>
      <c r="BJ144" s="75" t="str">
        <f>VLOOKUP($B144,'[2]Bang luong_06'!$B$10:$C$333,2,0)</f>
        <v>Trần Quốc Nam</v>
      </c>
      <c r="BK144" s="76" t="b">
        <f>BJ144=C144</f>
        <v>1</v>
      </c>
      <c r="BM144" s="77">
        <f>+VLOOKUP(B144,'[2]Thưởng Lễ 2-9'!B98:G388,6,0)</f>
        <v>0</v>
      </c>
      <c r="BN144" s="75">
        <f>ROUND(($BN$12-D144)/30,0)</f>
        <v>43</v>
      </c>
      <c r="BO144" s="76" t="str">
        <f>+VLOOKUP(B144,'[2]Bang luong_06'!B109:D419,3,0)</f>
        <v>CNSX</v>
      </c>
      <c r="BP144" s="76" t="s">
        <v>40</v>
      </c>
      <c r="BQ144" s="76">
        <v>1</v>
      </c>
      <c r="BR144" s="76">
        <f t="shared" si="129"/>
        <v>5.166666666666667</v>
      </c>
    </row>
    <row r="145" spans="1:70" s="76" customFormat="1" ht="31.5" customHeight="1" x14ac:dyDescent="0.25">
      <c r="A145" s="33">
        <f t="shared" si="81"/>
        <v>126</v>
      </c>
      <c r="B145" s="78" t="s">
        <v>319</v>
      </c>
      <c r="C145" s="55" t="s">
        <v>320</v>
      </c>
      <c r="D145" s="56">
        <v>43522</v>
      </c>
      <c r="E145" s="57" t="s">
        <v>37</v>
      </c>
      <c r="F145" s="57" t="s">
        <v>37</v>
      </c>
      <c r="G145" s="57" t="s">
        <v>37</v>
      </c>
      <c r="H145" s="57" t="s">
        <v>37</v>
      </c>
      <c r="I145" s="57" t="s">
        <v>37</v>
      </c>
      <c r="J145" s="57"/>
      <c r="K145" s="57" t="s">
        <v>38</v>
      </c>
      <c r="L145" s="57" t="s">
        <v>38</v>
      </c>
      <c r="M145" s="57" t="s">
        <v>38</v>
      </c>
      <c r="N145" s="57" t="s">
        <v>38</v>
      </c>
      <c r="O145" s="57" t="s">
        <v>38</v>
      </c>
      <c r="P145" s="57" t="s">
        <v>38</v>
      </c>
      <c r="Q145" s="57" t="s">
        <v>506</v>
      </c>
      <c r="R145" s="57" t="s">
        <v>38</v>
      </c>
      <c r="S145" s="57" t="s">
        <v>38</v>
      </c>
      <c r="T145" s="57" t="s">
        <v>38</v>
      </c>
      <c r="U145" s="57" t="s">
        <v>38</v>
      </c>
      <c r="V145" s="57" t="s">
        <v>38</v>
      </c>
      <c r="W145" s="57" t="s">
        <v>38</v>
      </c>
      <c r="X145" s="57"/>
      <c r="Y145" s="57" t="s">
        <v>37</v>
      </c>
      <c r="Z145" s="57"/>
      <c r="AA145" s="57"/>
      <c r="AB145" s="57"/>
      <c r="AC145" s="57"/>
      <c r="AD145" s="57"/>
      <c r="AE145" s="57"/>
      <c r="AF145" s="57"/>
      <c r="AG145" s="57"/>
      <c r="AH145" s="57"/>
      <c r="AI145" s="58"/>
      <c r="AJ145" s="58">
        <v>10110509</v>
      </c>
      <c r="AK145" s="59">
        <v>12</v>
      </c>
      <c r="AL145" s="60">
        <f>COUNTIF(D145:AI145,"N")+COUNTIF(D145:AI145,"N1")*1/AK145+COUNTIF(D145:AI145,"N2")*2/AK145+COUNTIF(D145:AI145,"N3")*3/AK145+COUNTIF(D145:AI145,"N4")*4/AK145+COUNTIF(D145:AI145,"N5")*5/AK145+COUNTIF(D145:AI145,"N6")*6/AK145+COUNTIF(D145:AI145,"N7")*7/AK145+COUNTIF(D145:AI145,"N8")*8/AK145+COUNTIF(D145:AI145,"N9")*9/AK145+COUNTIF(D145:AI145,"N10")*10/AK145+COUNTIF(D145:AI145,"N11")*11/AK145+COUNTIF(D145:AI145,"N12")*12/AK145+COUNTIF(D145:AI145,"Ro1")*1/AK145+COUNTIF(D145:AI145,"Ro2")*2/AK145+COUNTIF(D145:AI145,"Ro3")*3/AK145+COUNTIF(D145:AI145,"Ro3.0")*3/AK145+COUNTIF(D145:AI145,"Ro4")*4/AK145+COUNTIF(D145:AI145,"Ro4.0")*4/AK145+COUNTIF(D145:AI145,"Ro4.5")*4.5/AK145+COUNTIF(D145:AI145,"Ro5")*5/AK145+COUNTIF(D145:AI145,"Ro5.0")*5/AK145+COUNTIF(D145:AI145,"Ro5.5")*5.5/AK145+COUNTIF(D145:AI145,"Ro6")*6/AK145+COUNTIF(D145:AI145,"Ro7")*7/AK145+COUNTIF(D145:AI145,"Ro8")*8/AK145+COUNTIF(D145:AI145,"Ro8.0")*8/AK145+COUNTIF(D145:AI145,"Ro8.3")*8.3/AK145+COUNTIF(D145:AI145,"Ro8.5")*8.5/AK145+COUNTIF(D145:AI145,"Ro9")*9/AK145+COUNTIF(D145:AI145,"Ro9.5")*9.5/AK145+COUNTIF(D145:AI145,"Ro10")*10/AK145+COUNTIF(D145:AI145,"Ro10.0")*10/AK145+COUNTIF(D145:AI145,"Ro10.5")*10.5/AK145+COUNTIF(D145:AI145,"Ro11")*11/AK145+COUNTIF(D145:AI145,"Ro11.0")*11/AK145+COUNTIF(D145:AI145,"Ro11.5")*11.5/AK145+COUNTIF(D145:AI145,"Bu1")+COUNTIF(D145:AI145,"Bu2")+COUNTIF(D145:AI145,"Bu3")+COUNTIF(D145:AI145,"Bu4")+COUNTIF(D145:AI145,"Bu5")+COUNTIF(D145:AI145,"Bu6")+COUNTIF(D145:AI145,"Bu7")+COUNTIF(D145:AI145,"Bu8")+COUNTIF(D145:AI145,"Bu9")+COUNTIF(D145:AI145,"Bu10")+COUNTIF(D145:AI145,"Bu11")+COUNTIF(D145:AI145,"Bu")+COUNTIF(D145:AI145,"P2")*0.5</f>
        <v>12</v>
      </c>
      <c r="AM145" s="61">
        <f>COUNTIF(E145:AI145,"D")+COUNTIF(E145:AI145,"D1")*1/AK145+COUNTIF(E145:AI145,"D2")*2/AK145+COUNTIF(E145:AI145,"D3")*3/AK145+COUNTIF(E145:AI145,"D4")*4/AK145+COUNTIF(E145:AI145,"D5")*5/AK145+COUNTIF(E145:AI145,"D6")*6/AK145+COUNTIF(E145:AI145,"D7")*7/AK145+COUNTIF(E145:AI145,"D8")*8/AK145+COUNTIF(E145:AI145,"D9")*9/AK145+COUNTIF(E145:AI145,"D10")*10/AK145+COUNTIF(E145:AI145,"D11")*11/AK145+COUNTIF(E145:AI145,"D12")*12/AK145</f>
        <v>6</v>
      </c>
      <c r="AN145" s="62">
        <f>+AL145+AM145</f>
        <v>18</v>
      </c>
      <c r="AO145" s="62">
        <f>COUNTIF(E145:AI145,"p")+COUNTIF(E145:AI145,"p1")/2+COUNTIF(E145:AI145,"p2")/2</f>
        <v>0</v>
      </c>
      <c r="AP145" s="62">
        <f t="shared" si="122"/>
        <v>0</v>
      </c>
      <c r="AQ145" s="63">
        <f t="shared" si="123"/>
        <v>0</v>
      </c>
      <c r="AR145" s="62">
        <f t="shared" si="124"/>
        <v>0</v>
      </c>
      <c r="AS145" s="62">
        <f>COUNTIF(E145:AI145,"L")</f>
        <v>0</v>
      </c>
      <c r="AT145" s="64"/>
      <c r="AU145" s="64"/>
      <c r="AV145" s="65">
        <f t="shared" si="130"/>
        <v>12</v>
      </c>
      <c r="AW145" s="65">
        <f t="shared" si="131"/>
        <v>0</v>
      </c>
      <c r="AX145" s="104"/>
      <c r="AY145" s="64"/>
      <c r="AZ145" s="80"/>
      <c r="BA145" s="66">
        <f t="shared" si="127"/>
        <v>18</v>
      </c>
      <c r="BB145" s="67"/>
      <c r="BC145" s="68"/>
      <c r="BD145" s="69">
        <f>VLOOKUP($B145,[1]CN!$B$9:$DK$221,114,0)</f>
        <v>4</v>
      </c>
      <c r="BE145" s="70">
        <f t="shared" si="132"/>
        <v>27</v>
      </c>
      <c r="BF145" s="71" t="s">
        <v>39</v>
      </c>
      <c r="BG145" s="72">
        <v>0</v>
      </c>
      <c r="BH145" s="73" t="str">
        <f>VLOOKUP(B145,'[2]Bang luong_06'!$B$9:$C$333,2,0)</f>
        <v>Sơn Đol</v>
      </c>
      <c r="BI145" s="74" t="s">
        <v>319</v>
      </c>
      <c r="BJ145" s="75" t="str">
        <f>VLOOKUP($B145,'[2]Bang luong_06'!$B$10:$C$333,2,0)</f>
        <v>Sơn Đol</v>
      </c>
      <c r="BK145" s="76" t="b">
        <f>BJ145=C145</f>
        <v>1</v>
      </c>
      <c r="BM145" s="77">
        <f>+VLOOKUP(B145,'[2]Thưởng Lễ 2-9'!B99:G389,6,0)</f>
        <v>0</v>
      </c>
      <c r="BN145" s="75">
        <f>ROUND(($BN$12-D145)/30,0)</f>
        <v>67</v>
      </c>
      <c r="BO145" s="76" t="str">
        <f>+VLOOKUP(B145,'[2]Bang luong_06'!B111:D420,3,0)</f>
        <v>Tổ trưởng Rope</v>
      </c>
      <c r="BP145" s="76" t="s">
        <v>40</v>
      </c>
      <c r="BQ145" s="76">
        <v>9</v>
      </c>
      <c r="BR145" s="76">
        <f t="shared" si="129"/>
        <v>12</v>
      </c>
    </row>
    <row r="146" spans="1:70" s="84" customFormat="1" ht="31.5" customHeight="1" x14ac:dyDescent="0.25">
      <c r="A146" s="33" t="str">
        <f t="shared" si="81"/>
        <v/>
      </c>
      <c r="B146" s="46"/>
      <c r="C146" s="46" t="s">
        <v>321</v>
      </c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81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82"/>
      <c r="BE146" s="46"/>
      <c r="BF146" s="96" t="s">
        <v>104</v>
      </c>
      <c r="BG146" s="92" t="s">
        <v>34</v>
      </c>
      <c r="BH146" s="73"/>
      <c r="BI146" s="73"/>
      <c r="BJ146" s="75"/>
      <c r="BK146" s="76"/>
      <c r="BM146" s="77"/>
      <c r="BN146" s="75"/>
      <c r="BO146" s="76"/>
      <c r="BP146" s="76"/>
      <c r="BQ146" s="76"/>
      <c r="BR146" s="76" t="e">
        <f t="shared" si="129"/>
        <v>#DIV/0!</v>
      </c>
    </row>
    <row r="147" spans="1:70" s="76" customFormat="1" ht="31.5" customHeight="1" x14ac:dyDescent="0.25">
      <c r="A147" s="33">
        <f t="shared" ref="A147:A210" si="133">IF(B147="","",MAX(A145:A146)+1)</f>
        <v>127</v>
      </c>
      <c r="B147" s="33" t="s">
        <v>322</v>
      </c>
      <c r="C147" s="55" t="s">
        <v>323</v>
      </c>
      <c r="D147" s="56">
        <v>41438</v>
      </c>
      <c r="E147" s="57" t="s">
        <v>38</v>
      </c>
      <c r="F147" s="57" t="s">
        <v>38</v>
      </c>
      <c r="G147" s="57" t="s">
        <v>38</v>
      </c>
      <c r="H147" s="57" t="s">
        <v>38</v>
      </c>
      <c r="I147" s="57" t="s">
        <v>38</v>
      </c>
      <c r="J147" s="57" t="s">
        <v>506</v>
      </c>
      <c r="K147" s="57" t="s">
        <v>37</v>
      </c>
      <c r="L147" s="57" t="s">
        <v>37</v>
      </c>
      <c r="M147" s="57" t="s">
        <v>37</v>
      </c>
      <c r="N147" s="57" t="s">
        <v>37</v>
      </c>
      <c r="O147" s="57" t="s">
        <v>37</v>
      </c>
      <c r="P147" s="57" t="s">
        <v>37</v>
      </c>
      <c r="Q147" s="57" t="s">
        <v>507</v>
      </c>
      <c r="R147" s="57" t="s">
        <v>37</v>
      </c>
      <c r="S147" s="57" t="s">
        <v>37</v>
      </c>
      <c r="T147" s="57" t="s">
        <v>37</v>
      </c>
      <c r="U147" s="57" t="s">
        <v>37</v>
      </c>
      <c r="V147" s="57" t="s">
        <v>37</v>
      </c>
      <c r="W147" s="57" t="s">
        <v>37</v>
      </c>
      <c r="X147" s="57"/>
      <c r="Y147" s="57" t="s">
        <v>38</v>
      </c>
      <c r="Z147" s="57"/>
      <c r="AA147" s="57"/>
      <c r="AB147" s="57"/>
      <c r="AC147" s="57"/>
      <c r="AD147" s="57"/>
      <c r="AE147" s="57"/>
      <c r="AF147" s="57"/>
      <c r="AG147" s="57"/>
      <c r="AH147" s="57"/>
      <c r="AI147" s="58"/>
      <c r="AJ147" s="58">
        <v>10110511</v>
      </c>
      <c r="AK147" s="59">
        <v>12</v>
      </c>
      <c r="AL147" s="60">
        <f>COUNTIF(D147:AI147,"N")+COUNTIF(D147:AI147,"N1")*1/AK147+COUNTIF(D147:AI147,"N2")*2/AK147+COUNTIF(D147:AI147,"N3")*3/AK147+COUNTIF(D147:AI147,"N4")*4/AK147+COUNTIF(D147:AI147,"N5")*5/AK147+COUNTIF(D147:AI147,"N6")*6/AK147+COUNTIF(D147:AI147,"N7")*7/AK147+COUNTIF(D147:AI147,"N8")*8/AK147+COUNTIF(D147:AI147,"N9")*9/AK147+COUNTIF(D147:AI147,"N10")*10/AK147+COUNTIF(D147:AI147,"N11")*11/AK147+COUNTIF(D147:AI147,"N12")*12/AK147+COUNTIF(D147:AI147,"Ro1")*1/AK147+COUNTIF(D147:AI147,"Ro2")*2/AK147+COUNTIF(D147:AI147,"Ro3")*3/AK147+COUNTIF(D147:AI147,"Ro3.0")*3/AK147+COUNTIF(D147:AI147,"Ro4")*4/AK147+COUNTIF(D147:AI147,"Ro4.0")*4/AK147+COUNTIF(D147:AI147,"Ro4.5")*4.5/AK147+COUNTIF(D147:AI147,"Ro5")*5/AK147+COUNTIF(D147:AI147,"Ro5.0")*5/AK147+COUNTIF(D147:AI147,"Ro5.5")*5.5/AK147+COUNTIF(D147:AI147,"Ro6")*6/AK147+COUNTIF(D147:AI147,"Ro7")*7/AK147+COUNTIF(D147:AI147,"Ro8")*8/AK147+COUNTIF(D147:AI147,"Ro8.0")*8/AK147+COUNTIF(D147:AI147,"Ro8.3")*8.3/AK147+COUNTIF(D147:AI147,"Ro8.5")*8.5/AK147+COUNTIF(D147:AI147,"Ro9")*9/AK147+COUNTIF(D147:AI147,"Ro9.5")*9.5/AK147+COUNTIF(D147:AI147,"Ro10")*10/AK147+COUNTIF(D147:AI147,"Ro10.0")*10/AK147+COUNTIF(D147:AI147,"Ro10.5")*10.5/AK147+COUNTIF(D147:AI147,"Ro11")*11/AK147+COUNTIF(D147:AI147,"Ro11.0")*11/AK147+COUNTIF(D147:AI147,"Ro11.5")*11.5/AK147+COUNTIF(D147:AI147,"Bu1")+COUNTIF(D147:AI147,"Bu2")+COUNTIF(D147:AI147,"Bu3")+COUNTIF(D147:AI147,"Bu4")+COUNTIF(D147:AI147,"Bu5")+COUNTIF(D147:AI147,"Bu6")+COUNTIF(D147:AI147,"Bu7")+COUNTIF(D147:AI147,"Bu8")+COUNTIF(D147:AI147,"Bu9")+COUNTIF(D147:AI147,"Bu10")+COUNTIF(D147:AI147,"Bu11")+COUNTIF(D147:AI147,"Bu")+COUNTIF(D147:AI147,"P2")*0.5</f>
        <v>6</v>
      </c>
      <c r="AM147" s="61">
        <f>COUNTIF(E147:AI147,"D")+COUNTIF(E147:AI147,"D1")*1/AK147+COUNTIF(E147:AI147,"D2")*2/AK147+COUNTIF(E147:AI147,"D3")*3/AK147+COUNTIF(E147:AI147,"D4")*4/AK147+COUNTIF(E147:AI147,"D5")*5/AK147+COUNTIF(E147:AI147,"D6")*6/AK147+COUNTIF(E147:AI147,"D7")*7/AK147+COUNTIF(E147:AI147,"D8")*8/AK147+COUNTIF(E147:AI147,"D9")*9/AK147+COUNTIF(E147:AI147,"D10")*10/AK147+COUNTIF(E147:AI147,"D11")*11/AK147+COUNTIF(E147:AI147,"D12")*12/AK147</f>
        <v>12</v>
      </c>
      <c r="AN147" s="62">
        <f>+AL147+AM147</f>
        <v>18</v>
      </c>
      <c r="AO147" s="62">
        <f>COUNTIF(E147:AI147,"p")+COUNTIF(E147:AI147,"p1")/2+COUNTIF(E147:AI147,"p2")/2</f>
        <v>0</v>
      </c>
      <c r="AP147" s="62">
        <f t="shared" si="122"/>
        <v>0</v>
      </c>
      <c r="AQ147" s="63">
        <f t="shared" si="123"/>
        <v>0</v>
      </c>
      <c r="AR147" s="62">
        <f t="shared" si="124"/>
        <v>0</v>
      </c>
      <c r="AS147" s="62">
        <f>COUNTIF(E147:AI147,"L")</f>
        <v>0</v>
      </c>
      <c r="AT147" s="64"/>
      <c r="AU147" s="64"/>
      <c r="AV147" s="65">
        <f t="shared" ref="AV147:AV149" si="134">COUNTIF(E147:AI147,"12N")*12</f>
        <v>12</v>
      </c>
      <c r="AW147" s="65">
        <f t="shared" ref="AW147:AW149" si="135">COUNTIF(F147:AI147,"12D")*12</f>
        <v>12</v>
      </c>
      <c r="AX147" s="64"/>
      <c r="AY147" s="64"/>
      <c r="AZ147" s="80"/>
      <c r="BA147" s="66">
        <f t="shared" si="127"/>
        <v>18</v>
      </c>
      <c r="BB147" s="67"/>
      <c r="BC147" s="68"/>
      <c r="BD147" s="69">
        <f>VLOOKUP($B147,[1]CN!$B$9:$DK$221,114,0)</f>
        <v>4</v>
      </c>
      <c r="BE147" s="70">
        <f t="shared" ref="BE147:BE149" si="136">+$AI$8-$E$8+1-INT(($AI$8-$E$8-WEEKDAY($AI$8)+8)/7)</f>
        <v>27</v>
      </c>
      <c r="BF147" s="71" t="s">
        <v>39</v>
      </c>
      <c r="BG147" s="72">
        <v>0</v>
      </c>
      <c r="BH147" s="73" t="str">
        <f>VLOOKUP(B147,'[2]Bang luong_06'!$B$9:$C$333,2,0)</f>
        <v>Lục Thị Kiếm</v>
      </c>
      <c r="BI147" s="74" t="s">
        <v>322</v>
      </c>
      <c r="BJ147" s="75" t="str">
        <f>VLOOKUP($B147,'[2]Bang luong_06'!$B$10:$C$333,2,0)</f>
        <v>Lục Thị Kiếm</v>
      </c>
      <c r="BK147" s="76" t="b">
        <f>BJ147=C147</f>
        <v>1</v>
      </c>
      <c r="BM147" s="77">
        <f>+VLOOKUP(B147,'[2]Thưởng Lễ 2-9'!B102:G391,6,0)</f>
        <v>0</v>
      </c>
      <c r="BN147" s="75">
        <f>ROUND(($BN$12-D147)/30,0)</f>
        <v>137</v>
      </c>
      <c r="BO147" s="76" t="str">
        <f>+VLOOKUP(B147,'[2]Bang luong_06'!B113:D422,3,0)</f>
        <v>CNSX</v>
      </c>
      <c r="BP147" s="76" t="s">
        <v>40</v>
      </c>
      <c r="BQ147" s="76">
        <v>8</v>
      </c>
      <c r="BR147" s="76">
        <f t="shared" si="129"/>
        <v>6</v>
      </c>
    </row>
    <row r="148" spans="1:70" s="76" customFormat="1" ht="31.5" customHeight="1" x14ac:dyDescent="0.25">
      <c r="A148" s="33">
        <f t="shared" si="133"/>
        <v>128</v>
      </c>
      <c r="B148" s="78" t="s">
        <v>324</v>
      </c>
      <c r="C148" s="55" t="s">
        <v>325</v>
      </c>
      <c r="D148" s="79">
        <v>44511</v>
      </c>
      <c r="E148" s="57" t="s">
        <v>38</v>
      </c>
      <c r="F148" s="57" t="s">
        <v>38</v>
      </c>
      <c r="G148" s="57" t="s">
        <v>38</v>
      </c>
      <c r="H148" s="57" t="s">
        <v>38</v>
      </c>
      <c r="I148" s="57" t="s">
        <v>38</v>
      </c>
      <c r="J148" s="57" t="s">
        <v>506</v>
      </c>
      <c r="K148" s="57" t="s">
        <v>38</v>
      </c>
      <c r="L148" s="57" t="s">
        <v>38</v>
      </c>
      <c r="M148" s="57" t="s">
        <v>38</v>
      </c>
      <c r="N148" s="57" t="s">
        <v>38</v>
      </c>
      <c r="O148" s="57" t="s">
        <v>38</v>
      </c>
      <c r="P148" s="57" t="s">
        <v>38</v>
      </c>
      <c r="Q148" s="57"/>
      <c r="R148" s="57" t="s">
        <v>38</v>
      </c>
      <c r="S148" s="57" t="s">
        <v>38</v>
      </c>
      <c r="T148" s="57" t="s">
        <v>38</v>
      </c>
      <c r="U148" s="57" t="s">
        <v>38</v>
      </c>
      <c r="V148" s="57" t="s">
        <v>38</v>
      </c>
      <c r="W148" s="57" t="s">
        <v>38</v>
      </c>
      <c r="X148" s="57"/>
      <c r="Y148" s="57" t="s">
        <v>38</v>
      </c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8">
        <v>10110511</v>
      </c>
      <c r="AK148" s="59">
        <v>12</v>
      </c>
      <c r="AL148" s="60">
        <f>COUNTIF(D148:AI148,"N")+COUNTIF(D148:AI148,"N1")*1/AK148+COUNTIF(D148:AI148,"N2")*2/AK148+COUNTIF(D148:AI148,"N3")*3/AK148+COUNTIF(D148:AI148,"N4")*4/AK148+COUNTIF(D148:AI148,"N5")*5/AK148+COUNTIF(D148:AI148,"N6")*6/AK148+COUNTIF(D148:AI148,"N7")*7/AK148+COUNTIF(D148:AI148,"N8")*8/AK148+COUNTIF(D148:AI148,"N9")*9/AK148+COUNTIF(D148:AI148,"N10")*10/AK148+COUNTIF(D148:AI148,"N11")*11/AK148+COUNTIF(D148:AI148,"N12")*12/AK148+COUNTIF(D148:AI148,"Ro1")*1/AK148+COUNTIF(D148:AI148,"Ro2")*2/AK148+COUNTIF(D148:AI148,"Ro3")*3/AK148+COUNTIF(D148:AI148,"Ro3.0")*3/AK148+COUNTIF(D148:AI148,"Ro4")*4/AK148+COUNTIF(D148:AI148,"Ro4.0")*4/AK148+COUNTIF(D148:AI148,"Ro4.5")*4.5/AK148+COUNTIF(D148:AI148,"Ro5")*5/AK148+COUNTIF(D148:AI148,"Ro5.0")*5/AK148+COUNTIF(D148:AI148,"Ro5.5")*5.5/AK148+COUNTIF(D148:AI148,"Ro6")*6/AK148+COUNTIF(D148:AI148,"Ro7")*7/AK148+COUNTIF(D148:AI148,"Ro8")*8/AK148+COUNTIF(D148:AI148,"Ro8.0")*8/AK148+COUNTIF(D148:AI148,"Ro8.3")*8.3/AK148+COUNTIF(D148:AI148,"Ro8.5")*8.5/AK148+COUNTIF(D148:AI148,"Ro9")*9/AK148+COUNTIF(D148:AI148,"Ro9.5")*9.5/AK148+COUNTIF(D148:AI148,"Ro10")*10/AK148+COUNTIF(D148:AI148,"Ro10.0")*10/AK148+COUNTIF(D148:AI148,"Ro10.5")*10.5/AK148+COUNTIF(D148:AI148,"Ro11")*11/AK148+COUNTIF(D148:AI148,"Ro11.0")*11/AK148+COUNTIF(D148:AI148,"Ro11.5")*11.5/AK148+COUNTIF(D148:AI148,"Bu1")+COUNTIF(D148:AI148,"Bu2")+COUNTIF(D148:AI148,"Bu3")+COUNTIF(D148:AI148,"Bu4")+COUNTIF(D148:AI148,"Bu5")+COUNTIF(D148:AI148,"Bu6")+COUNTIF(D148:AI148,"Bu7")+COUNTIF(D148:AI148,"Bu8")+COUNTIF(D148:AI148,"Bu9")+COUNTIF(D148:AI148,"Bu10")+COUNTIF(D148:AI148,"Bu11")+COUNTIF(D148:AI148,"Bu")+COUNTIF(D148:AI148,"P2")*0.5</f>
        <v>18</v>
      </c>
      <c r="AM148" s="61">
        <f>COUNTIF(E148:AI148,"D")+COUNTIF(E148:AI148,"D1")*1/AK148+COUNTIF(E148:AI148,"D2")*2/AK148+COUNTIF(E148:AI148,"D3")*3/AK148+COUNTIF(E148:AI148,"D4")*4/AK148+COUNTIF(E148:AI148,"D5")*5/AK148+COUNTIF(E148:AI148,"D6")*6/AK148+COUNTIF(E148:AI148,"D7")*7/AK148+COUNTIF(E148:AI148,"D8")*8/AK148+COUNTIF(E148:AI148,"D9")*9/AK148+COUNTIF(E148:AI148,"D10")*10/AK148+COUNTIF(E148:AI148,"D11")*11/AK148+COUNTIF(E148:AI148,"D12")*12/AK148</f>
        <v>0</v>
      </c>
      <c r="AN148" s="62">
        <f>+AL148+AM148</f>
        <v>18</v>
      </c>
      <c r="AO148" s="62">
        <f>COUNTIF(E148:AI148,"p")+COUNTIF(E148:AI148,"p1")/2+COUNTIF(E148:AI148,"p2")/2</f>
        <v>0</v>
      </c>
      <c r="AP148" s="62">
        <f>COUNTIF(E148:AI148,"K")</f>
        <v>0</v>
      </c>
      <c r="AQ148" s="63">
        <f>COUNTIF(E148:AI148,"Ro")+COUNTIF(E148:AI148,"Ro1")*11/AK148+COUNTIF(E148:AI148,"Ro2")*10/AK148+COUNTIF(E148:AI148,"Ro3")*9/AK148+COUNTIF(E148:AI148,"Ro3.0")*9/AK148+COUNTIF(E148:AI148,"Ro4")*8/AK148+COUNTIF(E148:AI148,"Ro4.0")*8/AK148+COUNTIF(E148:AI148,"Ro4.5")*7.5/AK148+COUNTIF(E148:AI148,"Ro5")*7/AK148+COUNTIF(E148:AI148,"Ro5.0")*7/AK148+COUNTIF(E148:AI148,"Ro5.5")*6.5/AK148+COUNTIF(E148:AI148,"Ro6")*6/AK148+COUNTIF(E148:AI148,"Ro7")*5/AK148+COUNTIF(E148:AI148,"Ro8")*4/AK148+COUNTIF(E148:AI148,"Ro8.0")*4/AK148+COUNTIF(E148:AI148,"Ro8.3")*3.7/AK148+COUNTIF(E148:AI148,"Ro8.5")*3.5/AK148+COUNTIF(E148:AI148,"Ro9")*3/AK148+COUNTIF(E148:AI148,"Ro10")*2/AK148+COUNTIF(E148:AI148,"Ro10.0")*2/AK148+COUNTIF(E148:AI148,"Ro10.5")*1.5/AK148+COUNTIF(E148:AI148,"Ro11.0")*1/AK148+COUNTIF(E148:AI148,"Ro11")*1/AK148+COUNTIF(E148:AI148,"Ro11.5")*0.5/AK148+COUNTIF(E148:AI148,"N1")*11/AK148+COUNTIF(E148:AI148,"N2")*10/AK148+COUNTIF(E148:AI148,"N3")*9/AK148+COUNTIF(E148:AI148,"N4")*8/AK148+COUNTIF(E148:AI148,"N5")*7/AK148+COUNTIF(E148:AI148,"N6")*6/AK148+COUNTIF(E148:AI148,"N7")*5/AK148+COUNTIF(E148:AI148,"N8")*4/AK148+COUNTIF(E148:AI148,"N9")*3/AK148+COUNTIF(E148:AI148,"N10")*2/AK148+COUNTIF(E148:AI148,"N11")*1/AK148+COUNTIF(E148:AI148,"D1")*11/AK148+COUNTIF(E148:AI148,"D2")*10/AK148+COUNTIF(E148:AI148,"D3")*9/AK148+COUNTIF(E148:AI148,"D4")*8/AK148+COUNTIF(E148:AI148,"D5")*7/AK148+COUNTIF(E148:AI148,"D6")*6/AK148+COUNTIF(E148:AI148,"D7")*5/AK148+COUNTIF(E148:AI148,"D8")*4/AK148+COUNTIF(E148:AI148,"D9")*3/AK148+COUNTIF(E148:AI148,"D10")*2/AK148+COUNTIF(E148:AI148,"D11")*1/AK148+COUNTIF(E148:AI148,"P1")*0.5</f>
        <v>0</v>
      </c>
      <c r="AR148" s="62">
        <f>COUNTIF(E148:AI148,"R")</f>
        <v>0</v>
      </c>
      <c r="AS148" s="62">
        <f>COUNTIF(E148:AI148,"L")</f>
        <v>0</v>
      </c>
      <c r="AT148" s="64"/>
      <c r="AU148" s="64"/>
      <c r="AV148" s="65">
        <f t="shared" si="134"/>
        <v>12</v>
      </c>
      <c r="AW148" s="65">
        <f t="shared" si="135"/>
        <v>0</v>
      </c>
      <c r="AX148" s="64"/>
      <c r="AY148" s="64"/>
      <c r="AZ148" s="80"/>
      <c r="BA148" s="66">
        <f>+AN148+AR148+AS148+AO148</f>
        <v>18</v>
      </c>
      <c r="BB148" s="67"/>
      <c r="BC148" s="99"/>
      <c r="BD148" s="69">
        <f>VLOOKUP($B148,[1]CN!$B$9:$DK$221,114,0)</f>
        <v>1</v>
      </c>
      <c r="BE148" s="70">
        <f t="shared" si="136"/>
        <v>27</v>
      </c>
      <c r="BF148" s="71" t="s">
        <v>39</v>
      </c>
      <c r="BG148" s="72" t="s">
        <v>34</v>
      </c>
      <c r="BH148" s="73" t="str">
        <f>VLOOKUP(B148,'[2]Bang luong_06'!$B$9:$C$333,2,0)</f>
        <v>Lý Thị Kim Tinh</v>
      </c>
      <c r="BI148" s="74" t="s">
        <v>324</v>
      </c>
      <c r="BJ148" s="75" t="str">
        <f>VLOOKUP($B148,'[2]Bang luong_06'!$B$10:$C$333,2,0)</f>
        <v>Lý Thị Kim Tinh</v>
      </c>
      <c r="BK148" s="76" t="b">
        <f>BJ148=C148</f>
        <v>1</v>
      </c>
      <c r="BM148" s="77">
        <f>+VLOOKUP(B148,'[2]Thưởng Lễ 2-9'!B102:G391,6,0)</f>
        <v>0</v>
      </c>
      <c r="BN148" s="75">
        <f>ROUND(($BN$12-D148)/30,0)</f>
        <v>34</v>
      </c>
      <c r="BO148" s="76" t="str">
        <f>+VLOOKUP(B148,'[2]Bang luong_06'!B113:D422,3,0)</f>
        <v>CNSX</v>
      </c>
      <c r="BP148" s="76" t="s">
        <v>40</v>
      </c>
      <c r="BQ148" s="76">
        <v>2</v>
      </c>
      <c r="BR148" s="76">
        <f t="shared" si="129"/>
        <v>18</v>
      </c>
    </row>
    <row r="149" spans="1:70" s="76" customFormat="1" ht="31.5" customHeight="1" x14ac:dyDescent="0.25">
      <c r="A149" s="33">
        <f t="shared" si="133"/>
        <v>129</v>
      </c>
      <c r="B149" s="78" t="s">
        <v>326</v>
      </c>
      <c r="C149" s="55" t="s">
        <v>327</v>
      </c>
      <c r="D149" s="79">
        <v>46083</v>
      </c>
      <c r="E149" s="57" t="s">
        <v>38</v>
      </c>
      <c r="F149" s="57" t="s">
        <v>38</v>
      </c>
      <c r="G149" s="57" t="s">
        <v>38</v>
      </c>
      <c r="H149" s="57" t="s">
        <v>38</v>
      </c>
      <c r="I149" s="57" t="s">
        <v>38</v>
      </c>
      <c r="J149" s="57"/>
      <c r="K149" s="57" t="s">
        <v>37</v>
      </c>
      <c r="L149" s="57" t="s">
        <v>37</v>
      </c>
      <c r="M149" s="57" t="s">
        <v>37</v>
      </c>
      <c r="N149" s="57" t="s">
        <v>207</v>
      </c>
      <c r="O149" s="57" t="s">
        <v>37</v>
      </c>
      <c r="P149" s="57" t="s">
        <v>37</v>
      </c>
      <c r="Q149" s="57" t="s">
        <v>507</v>
      </c>
      <c r="R149" s="57" t="s">
        <v>37</v>
      </c>
      <c r="S149" s="57" t="s">
        <v>37</v>
      </c>
      <c r="T149" s="57" t="s">
        <v>37</v>
      </c>
      <c r="U149" s="57" t="s">
        <v>37</v>
      </c>
      <c r="V149" s="57" t="s">
        <v>37</v>
      </c>
      <c r="W149" s="57" t="s">
        <v>37</v>
      </c>
      <c r="X149" s="57"/>
      <c r="Y149" s="57" t="s">
        <v>38</v>
      </c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8">
        <v>10110511</v>
      </c>
      <c r="AK149" s="59">
        <v>12</v>
      </c>
      <c r="AL149" s="60">
        <f>COUNTIF(D149:AI149,"N")+COUNTIF(D149:AI149,"N1")*1/AK149+COUNTIF(D149:AI149,"N2")*2/AK149+COUNTIF(D149:AI149,"N3")*3/AK149+COUNTIF(D149:AI149,"N4")*4/AK149+COUNTIF(D149:AI149,"N5")*5/AK149+COUNTIF(D149:AI149,"N6")*6/AK149+COUNTIF(D149:AI149,"N7")*7/AK149+COUNTIF(D149:AI149,"N8")*8/AK149+COUNTIF(D149:AI149,"N9")*9/AK149+COUNTIF(D149:AI149,"N10")*10/AK149+COUNTIF(D149:AI149,"N11")*11/AK149+COUNTIF(D149:AI149,"N12")*12/AK149+COUNTIF(D149:AI149,"Ro1")*1/AK149+COUNTIF(D149:AI149,"Ro2")*2/AK149+COUNTIF(D149:AI149,"Ro3")*3/AK149+COUNTIF(D149:AI149,"Ro3.0")*3/AK149+COUNTIF(D149:AI149,"Ro4")*4/AK149+COUNTIF(D149:AI149,"Ro4.0")*4/AK149+COUNTIF(D149:AI149,"Ro4.5")*4.5/AK149+COUNTIF(D149:AI149,"Ro5")*5/AK149+COUNTIF(D149:AI149,"Ro5.0")*5/AK149+COUNTIF(D149:AI149,"Ro5.5")*5.5/AK149+COUNTIF(D149:AI149,"Ro6")*6/AK149+COUNTIF(D149:AI149,"Ro7")*7/AK149+COUNTIF(D149:AI149,"Ro8")*8/AK149+COUNTIF(D149:AI149,"Ro8.0")*8/AK149+COUNTIF(D149:AI149,"Ro8.3")*8.3/AK149+COUNTIF(D149:AI149,"Ro8.5")*8.5/AK149+COUNTIF(D149:AI149,"Ro9")*9/AK149+COUNTIF(D149:AI149,"Ro9.5")*9.5/AK149+COUNTIF(D149:AI149,"Ro10")*10/AK149+COUNTIF(D149:AI149,"Ro10.0")*10/AK149+COUNTIF(D149:AI149,"Ro10.5")*10.5/AK149+COUNTIF(D149:AI149,"Ro11")*11/AK149+COUNTIF(D149:AI149,"Ro11.0")*11/AK149+COUNTIF(D149:AI149,"Ro11.5")*11.5/AK149+COUNTIF(D149:AI149,"Bu1")+COUNTIF(D149:AI149,"Bu2")+COUNTIF(D149:AI149,"Bu3")+COUNTIF(D149:AI149,"Bu4")+COUNTIF(D149:AI149,"Bu5")+COUNTIF(D149:AI149,"Bu6")+COUNTIF(D149:AI149,"Bu7")+COUNTIF(D149:AI149,"Bu8")+COUNTIF(D149:AI149,"Bu9")+COUNTIF(D149:AI149,"Bu10")+COUNTIF(D149:AI149,"Bu11")+COUNTIF(D149:AI149,"Bu")+COUNTIF(D149:AI149,"P2")*0.5</f>
        <v>6</v>
      </c>
      <c r="AM149" s="61">
        <f>COUNTIF(E149:AI149,"D")+COUNTIF(E149:AI149,"D1")*1/AK149+COUNTIF(E149:AI149,"D2")*2/AK149+COUNTIF(E149:AI149,"D3")*3/AK149+COUNTIF(E149:AI149,"D4")*4/AK149+COUNTIF(E149:AI149,"D5")*5/AK149+COUNTIF(E149:AI149,"D6")*6/AK149+COUNTIF(E149:AI149,"D7")*7/AK149+COUNTIF(E149:AI149,"D8")*8/AK149+COUNTIF(E149:AI149,"D9")*9/AK149+COUNTIF(E149:AI149,"D10")*10/AK149+COUNTIF(E149:AI149,"D11")*11/AK149+COUNTIF(E149:AI149,"D12")*12/AK149</f>
        <v>11.833333333333334</v>
      </c>
      <c r="AN149" s="62">
        <f>+AL149+AM149</f>
        <v>17.833333333333336</v>
      </c>
      <c r="AO149" s="62">
        <f>COUNTIF(E149:AI149,"p")+COUNTIF(E149:AI149,"p1")/2+COUNTIF(E149:AI149,"p2")/2</f>
        <v>0</v>
      </c>
      <c r="AP149" s="62">
        <f t="shared" si="122"/>
        <v>0</v>
      </c>
      <c r="AQ149" s="63">
        <f t="shared" si="123"/>
        <v>0.16666666666666666</v>
      </c>
      <c r="AR149" s="62">
        <f t="shared" si="124"/>
        <v>0</v>
      </c>
      <c r="AS149" s="62">
        <f>COUNTIF(E149:AI149,"L")</f>
        <v>0</v>
      </c>
      <c r="AT149" s="64"/>
      <c r="AU149" s="64"/>
      <c r="AV149" s="65">
        <f t="shared" si="134"/>
        <v>0</v>
      </c>
      <c r="AW149" s="65">
        <f t="shared" si="135"/>
        <v>12</v>
      </c>
      <c r="AX149" s="64"/>
      <c r="AY149" s="64"/>
      <c r="AZ149" s="80"/>
      <c r="BA149" s="66">
        <f t="shared" si="127"/>
        <v>17.833333333333336</v>
      </c>
      <c r="BB149" s="67"/>
      <c r="BC149" s="99"/>
      <c r="BD149" s="69">
        <f>VLOOKUP($B149,[1]CN!$B$9:$DK$221,114,0)</f>
        <v>2</v>
      </c>
      <c r="BE149" s="70">
        <f t="shared" si="136"/>
        <v>27</v>
      </c>
      <c r="BF149" s="71" t="s">
        <v>39</v>
      </c>
      <c r="BG149" s="72" t="s">
        <v>34</v>
      </c>
      <c r="BH149" s="73" t="str">
        <f>VLOOKUP(B149,'[2]Bang luong_06'!$B$9:$C$333,2,0)</f>
        <v>Đặng Thị Út</v>
      </c>
      <c r="BI149" s="74" t="s">
        <v>324</v>
      </c>
      <c r="BJ149" s="75" t="str">
        <f>VLOOKUP($B149,'[2]Bang luong_06'!$B$10:$C$333,2,0)</f>
        <v>Đặng Thị Út</v>
      </c>
      <c r="BK149" s="76" t="b">
        <f>BJ149=C149</f>
        <v>1</v>
      </c>
      <c r="BM149" s="77" t="e">
        <f>+VLOOKUP(B149,'[2]Thưởng Lễ 2-9'!B103:G392,6,0)</f>
        <v>#N/A</v>
      </c>
      <c r="BN149" s="75">
        <f>ROUND(($BN$12-D149)/30,0)</f>
        <v>-18</v>
      </c>
      <c r="BO149" s="76" t="str">
        <f>+VLOOKUP(B149,'[2]Bang luong_06'!B114:D423,3,0)</f>
        <v>CNSX</v>
      </c>
      <c r="BP149" s="76" t="s">
        <v>40</v>
      </c>
      <c r="BQ149" s="76">
        <v>2</v>
      </c>
      <c r="BR149" s="76">
        <f t="shared" si="129"/>
        <v>6</v>
      </c>
    </row>
    <row r="150" spans="1:70" s="84" customFormat="1" ht="31.5" customHeight="1" x14ac:dyDescent="0.25">
      <c r="A150" s="33" t="str">
        <f t="shared" si="133"/>
        <v/>
      </c>
      <c r="B150" s="46"/>
      <c r="C150" s="46" t="s">
        <v>328</v>
      </c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81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82"/>
      <c r="BE150" s="46"/>
      <c r="BF150" s="96" t="s">
        <v>104</v>
      </c>
      <c r="BG150" s="92" t="s">
        <v>34</v>
      </c>
      <c r="BH150" s="73"/>
      <c r="BI150" s="73"/>
      <c r="BJ150" s="75"/>
      <c r="BK150" s="76"/>
      <c r="BM150" s="77"/>
      <c r="BN150" s="75"/>
      <c r="BO150" s="76"/>
      <c r="BP150" s="76"/>
      <c r="BQ150" s="76"/>
      <c r="BR150" s="76" t="e">
        <f t="shared" si="129"/>
        <v>#DIV/0!</v>
      </c>
    </row>
    <row r="151" spans="1:70" s="76" customFormat="1" ht="31.5" customHeight="1" x14ac:dyDescent="0.25">
      <c r="A151" s="33">
        <f t="shared" si="133"/>
        <v>130</v>
      </c>
      <c r="B151" s="78" t="s">
        <v>329</v>
      </c>
      <c r="C151" s="55" t="s">
        <v>330</v>
      </c>
      <c r="D151" s="79">
        <v>42080</v>
      </c>
      <c r="E151" s="57" t="s">
        <v>38</v>
      </c>
      <c r="F151" s="102" t="s">
        <v>38</v>
      </c>
      <c r="G151" s="57" t="s">
        <v>38</v>
      </c>
      <c r="H151" s="57" t="s">
        <v>38</v>
      </c>
      <c r="I151" s="57" t="s">
        <v>38</v>
      </c>
      <c r="J151" s="57"/>
      <c r="K151" s="57" t="s">
        <v>37</v>
      </c>
      <c r="L151" s="57" t="s">
        <v>37</v>
      </c>
      <c r="M151" s="102" t="s">
        <v>37</v>
      </c>
      <c r="N151" s="57" t="s">
        <v>37</v>
      </c>
      <c r="O151" s="57" t="s">
        <v>37</v>
      </c>
      <c r="P151" s="57" t="s">
        <v>37</v>
      </c>
      <c r="Q151" s="57" t="s">
        <v>507</v>
      </c>
      <c r="R151" s="57" t="s">
        <v>37</v>
      </c>
      <c r="S151" s="57" t="s">
        <v>37</v>
      </c>
      <c r="T151" s="102" t="s">
        <v>37</v>
      </c>
      <c r="U151" s="57" t="s">
        <v>37</v>
      </c>
      <c r="V151" s="57" t="s">
        <v>37</v>
      </c>
      <c r="W151" s="57" t="s">
        <v>37</v>
      </c>
      <c r="X151" s="57"/>
      <c r="Y151" s="57" t="s">
        <v>38</v>
      </c>
      <c r="Z151" s="57"/>
      <c r="AA151" s="57"/>
      <c r="AB151" s="57"/>
      <c r="AC151" s="57"/>
      <c r="AD151" s="57"/>
      <c r="AE151" s="57"/>
      <c r="AF151" s="57"/>
      <c r="AG151" s="57"/>
      <c r="AH151" s="57"/>
      <c r="AI151" s="103"/>
      <c r="AJ151" s="58">
        <v>10110506</v>
      </c>
      <c r="AK151" s="59">
        <v>12</v>
      </c>
      <c r="AL151" s="60">
        <f t="shared" ref="AL151:AL162" si="137">COUNTIF(D151:AI151,"N")+COUNTIF(D151:AI151,"N1")*1/AK151+COUNTIF(D151:AI151,"N2")*2/AK151+COUNTIF(D151:AI151,"N3")*3/AK151+COUNTIF(D151:AI151,"N4")*4/AK151+COUNTIF(D151:AI151,"N5")*5/AK151+COUNTIF(D151:AI151,"N6")*6/AK151+COUNTIF(D151:AI151,"N7")*7/AK151+COUNTIF(D151:AI151,"N8")*8/AK151+COUNTIF(D151:AI151,"N9")*9/AK151+COUNTIF(D151:AI151,"N10")*10/AK151+COUNTIF(D151:AI151,"N11")*11/AK151+COUNTIF(D151:AI151,"N12")*12/AK151+COUNTIF(D151:AI151,"Ro1")*1/AK151+COUNTIF(D151:AI151,"Ro2")*2/AK151+COUNTIF(D151:AI151,"Ro3")*3/AK151+COUNTIF(D151:AI151,"Ro3.0")*3/AK151+COUNTIF(D151:AI151,"Ro4")*4/AK151+COUNTIF(D151:AI151,"Ro4.0")*4/AK151+COUNTIF(D151:AI151,"Ro4.5")*4.5/AK151+COUNTIF(D151:AI151,"Ro5")*5/AK151+COUNTIF(D151:AI151,"Ro5.0")*5/AK151+COUNTIF(D151:AI151,"Ro5.5")*5.5/AK151+COUNTIF(D151:AI151,"Ro6")*6/AK151+COUNTIF(D151:AI151,"Ro7")*7/AK151+COUNTIF(D151:AI151,"Ro8")*8/AK151+COUNTIF(D151:AI151,"Ro8.0")*8/AK151+COUNTIF(D151:AI151,"Ro8.3")*8.3/AK151+COUNTIF(D151:AI151,"Ro8.5")*8.5/AK151+COUNTIF(D151:AI151,"Ro9")*9/AK151+COUNTIF(D151:AI151,"Ro9.5")*9.5/AK151+COUNTIF(D151:AI151,"Ro10")*10/AK151+COUNTIF(D151:AI151,"Ro10.0")*10/AK151+COUNTIF(D151:AI151,"Ro10.5")*10.5/AK151+COUNTIF(D151:AI151,"Ro11")*11/AK151+COUNTIF(D151:AI151,"Ro11.0")*11/AK151+COUNTIF(D151:AI151,"Ro11.5")*11.5/AK151+COUNTIF(D151:AI151,"Bu1")+COUNTIF(D151:AI151,"Bu2")+COUNTIF(D151:AI151,"Bu3")+COUNTIF(D151:AI151,"Bu4")+COUNTIF(D151:AI151,"Bu5")+COUNTIF(D151:AI151,"Bu6")+COUNTIF(D151:AI151,"Bu7")+COUNTIF(D151:AI151,"Bu8")+COUNTIF(D151:AI151,"Bu9")+COUNTIF(D151:AI151,"Bu10")+COUNTIF(D151:AI151,"Bu11")+COUNTIF(D151:AI151,"Bu")+COUNTIF(D151:AI151,"P2")*0.5</f>
        <v>6</v>
      </c>
      <c r="AM151" s="61">
        <f t="shared" ref="AM151:AM162" si="138">COUNTIF(E151:AI151,"D")+COUNTIF(E151:AI151,"D1")*1/AK151+COUNTIF(E151:AI151,"D2")*2/AK151+COUNTIF(E151:AI151,"D3")*3/AK151+COUNTIF(E151:AI151,"D4")*4/AK151+COUNTIF(E151:AI151,"D5")*5/AK151+COUNTIF(E151:AI151,"D6")*6/AK151+COUNTIF(E151:AI151,"D7")*7/AK151+COUNTIF(E151:AI151,"D8")*8/AK151+COUNTIF(E151:AI151,"D9")*9/AK151+COUNTIF(E151:AI151,"D10")*10/AK151+COUNTIF(E151:AI151,"D11")*11/AK151+COUNTIF(E151:AI151,"D12")*12/AK151</f>
        <v>12</v>
      </c>
      <c r="AN151" s="62">
        <f t="shared" ref="AN151:AN162" si="139">+AL151+AM151</f>
        <v>18</v>
      </c>
      <c r="AO151" s="62">
        <f t="shared" ref="AO151:AO162" si="140">COUNTIF(E151:AI151,"p")+COUNTIF(E151:AI151,"p1")/2+COUNTIF(E151:AI151,"p2")/2</f>
        <v>0</v>
      </c>
      <c r="AP151" s="62">
        <f t="shared" si="122"/>
        <v>0</v>
      </c>
      <c r="AQ151" s="63">
        <f t="shared" si="123"/>
        <v>0</v>
      </c>
      <c r="AR151" s="62">
        <f t="shared" si="124"/>
        <v>0</v>
      </c>
      <c r="AS151" s="62">
        <f t="shared" ref="AS151:AS162" si="141">COUNTIF(E151:AI151,"L")</f>
        <v>0</v>
      </c>
      <c r="AT151" s="64"/>
      <c r="AU151" s="64"/>
      <c r="AV151" s="65">
        <f t="shared" ref="AV151:AV162" si="142">COUNTIF(E151:AI151,"12N")*12</f>
        <v>0</v>
      </c>
      <c r="AW151" s="65">
        <f t="shared" ref="AW151:AW162" si="143">COUNTIF(F151:AI151,"12D")*12</f>
        <v>12</v>
      </c>
      <c r="AX151" s="64"/>
      <c r="AY151" s="64"/>
      <c r="AZ151" s="80"/>
      <c r="BA151" s="66">
        <f t="shared" si="127"/>
        <v>18</v>
      </c>
      <c r="BB151" s="67"/>
      <c r="BC151" s="68"/>
      <c r="BD151" s="69">
        <f>VLOOKUP($B151,[1]CN!$B$9:$DK$221,114,0)</f>
        <v>5</v>
      </c>
      <c r="BE151" s="70">
        <f t="shared" ref="BE151:BE162" si="144">+$AI$8-$E$8+1-INT(($AI$8-$E$8-WEEKDAY($AI$8)+8)/7)</f>
        <v>27</v>
      </c>
      <c r="BF151" s="71" t="s">
        <v>39</v>
      </c>
      <c r="BG151" s="72" t="s">
        <v>34</v>
      </c>
      <c r="BH151" s="73" t="str">
        <f>VLOOKUP(B151,'[2]Bang luong_06'!$B$9:$C$333,2,0)</f>
        <v>Nguyễn Văn Hiển</v>
      </c>
      <c r="BI151" s="74" t="s">
        <v>329</v>
      </c>
      <c r="BJ151" s="75" t="str">
        <f>VLOOKUP($B151,'[2]Bang luong_06'!$B$10:$C$333,2,0)</f>
        <v>Nguyễn Văn Hiển</v>
      </c>
      <c r="BK151" s="76" t="b">
        <f t="shared" ref="BK151:BK162" si="145">BJ151=C151</f>
        <v>1</v>
      </c>
      <c r="BM151" s="77">
        <f>+VLOOKUP(B151,'[2]Thưởng Lễ 2-9'!B115:G404,6,0)</f>
        <v>0</v>
      </c>
      <c r="BN151" s="75">
        <f t="shared" ref="BN151:BN162" si="146">ROUND(($BN$12-D151)/30,0)</f>
        <v>115</v>
      </c>
      <c r="BO151" s="76" t="str">
        <f>+VLOOKUP(B151,'[2]Bang luong_06'!B125:D435,3,0)</f>
        <v>Tổ trưởng</v>
      </c>
      <c r="BP151" s="76" t="s">
        <v>40</v>
      </c>
      <c r="BQ151" s="76">
        <v>8</v>
      </c>
      <c r="BR151" s="76">
        <f t="shared" si="129"/>
        <v>6</v>
      </c>
    </row>
    <row r="152" spans="1:70" s="76" customFormat="1" ht="31.5" customHeight="1" x14ac:dyDescent="0.25">
      <c r="A152" s="33">
        <f t="shared" si="133"/>
        <v>131</v>
      </c>
      <c r="B152" s="78" t="s">
        <v>331</v>
      </c>
      <c r="C152" s="55" t="s">
        <v>332</v>
      </c>
      <c r="D152" s="79">
        <v>40378</v>
      </c>
      <c r="E152" s="57" t="s">
        <v>37</v>
      </c>
      <c r="F152" s="57" t="s">
        <v>37</v>
      </c>
      <c r="G152" s="57" t="s">
        <v>37</v>
      </c>
      <c r="H152" s="57" t="s">
        <v>37</v>
      </c>
      <c r="I152" s="57" t="s">
        <v>37</v>
      </c>
      <c r="J152" s="57"/>
      <c r="K152" s="57" t="s">
        <v>38</v>
      </c>
      <c r="L152" s="57" t="s">
        <v>38</v>
      </c>
      <c r="M152" s="57" t="s">
        <v>38</v>
      </c>
      <c r="N152" s="57" t="s">
        <v>38</v>
      </c>
      <c r="O152" s="57" t="s">
        <v>38</v>
      </c>
      <c r="P152" s="57" t="s">
        <v>38</v>
      </c>
      <c r="Q152" s="57" t="s">
        <v>506</v>
      </c>
      <c r="R152" s="57" t="s">
        <v>38</v>
      </c>
      <c r="S152" s="57" t="s">
        <v>38</v>
      </c>
      <c r="T152" s="57" t="s">
        <v>38</v>
      </c>
      <c r="U152" s="57" t="s">
        <v>38</v>
      </c>
      <c r="V152" s="57" t="s">
        <v>38</v>
      </c>
      <c r="W152" s="57" t="s">
        <v>38</v>
      </c>
      <c r="X152" s="57" t="s">
        <v>506</v>
      </c>
      <c r="Y152" s="57" t="s">
        <v>37</v>
      </c>
      <c r="Z152" s="57"/>
      <c r="AA152" s="57"/>
      <c r="AB152" s="57"/>
      <c r="AC152" s="57"/>
      <c r="AD152" s="57"/>
      <c r="AE152" s="57"/>
      <c r="AF152" s="57"/>
      <c r="AG152" s="57"/>
      <c r="AH152" s="57"/>
      <c r="AI152" s="58"/>
      <c r="AJ152" s="58">
        <v>10110506</v>
      </c>
      <c r="AK152" s="59">
        <v>12</v>
      </c>
      <c r="AL152" s="60">
        <f t="shared" si="137"/>
        <v>12</v>
      </c>
      <c r="AM152" s="61">
        <f t="shared" si="138"/>
        <v>6</v>
      </c>
      <c r="AN152" s="62">
        <f t="shared" si="139"/>
        <v>18</v>
      </c>
      <c r="AO152" s="62">
        <f t="shared" si="140"/>
        <v>0</v>
      </c>
      <c r="AP152" s="62">
        <f t="shared" si="122"/>
        <v>0</v>
      </c>
      <c r="AQ152" s="63">
        <f t="shared" si="123"/>
        <v>0</v>
      </c>
      <c r="AR152" s="62">
        <f t="shared" si="124"/>
        <v>0</v>
      </c>
      <c r="AS152" s="62">
        <f t="shared" si="141"/>
        <v>0</v>
      </c>
      <c r="AT152" s="64"/>
      <c r="AU152" s="64"/>
      <c r="AV152" s="65">
        <f t="shared" si="142"/>
        <v>24</v>
      </c>
      <c r="AW152" s="65">
        <f t="shared" si="143"/>
        <v>0</v>
      </c>
      <c r="AX152" s="64"/>
      <c r="AY152" s="64"/>
      <c r="AZ152" s="80"/>
      <c r="BA152" s="66">
        <f t="shared" si="127"/>
        <v>18</v>
      </c>
      <c r="BB152" s="67"/>
      <c r="BC152" s="68"/>
      <c r="BD152" s="69">
        <f>VLOOKUP($B152,[1]CN!$B$9:$DK$221,114,0)</f>
        <v>6</v>
      </c>
      <c r="BE152" s="70">
        <f t="shared" si="144"/>
        <v>27</v>
      </c>
      <c r="BF152" s="71" t="s">
        <v>39</v>
      </c>
      <c r="BG152" s="72">
        <v>0</v>
      </c>
      <c r="BH152" s="73" t="str">
        <f>VLOOKUP(B152,'[2]Bang luong_06'!$B$9:$C$333,2,0)</f>
        <v>Danh Hồng Cường</v>
      </c>
      <c r="BI152" s="74" t="s">
        <v>333</v>
      </c>
      <c r="BJ152" s="75" t="str">
        <f>VLOOKUP($B152,'[2]Bang luong_06'!$B$10:$C$333,2,0)</f>
        <v>Danh Hồng Cường</v>
      </c>
      <c r="BK152" s="76" t="b">
        <f t="shared" si="145"/>
        <v>1</v>
      </c>
      <c r="BM152" s="77">
        <f>+VLOOKUP(B152,'[2]Thưởng Lễ 2-9'!B114:G403,6,0)</f>
        <v>0</v>
      </c>
      <c r="BN152" s="75">
        <f t="shared" si="146"/>
        <v>172</v>
      </c>
      <c r="BO152" s="76" t="str">
        <f>+VLOOKUP(B152,'[2]Bang luong_06'!B125:D434,3,0)</f>
        <v>Tổ trưởng</v>
      </c>
      <c r="BP152" s="76" t="s">
        <v>40</v>
      </c>
      <c r="BQ152" s="76">
        <v>10</v>
      </c>
      <c r="BR152" s="76">
        <f t="shared" si="129"/>
        <v>12</v>
      </c>
    </row>
    <row r="153" spans="1:70" s="76" customFormat="1" ht="31.5" customHeight="1" x14ac:dyDescent="0.25">
      <c r="A153" s="33">
        <f t="shared" si="133"/>
        <v>132</v>
      </c>
      <c r="B153" s="78" t="s">
        <v>333</v>
      </c>
      <c r="C153" s="55" t="s">
        <v>334</v>
      </c>
      <c r="D153" s="79">
        <v>41606</v>
      </c>
      <c r="E153" s="57" t="s">
        <v>38</v>
      </c>
      <c r="F153" s="57" t="s">
        <v>38</v>
      </c>
      <c r="G153" s="57" t="s">
        <v>38</v>
      </c>
      <c r="H153" s="57" t="s">
        <v>38</v>
      </c>
      <c r="I153" s="57" t="s">
        <v>38</v>
      </c>
      <c r="J153" s="57"/>
      <c r="K153" s="57" t="s">
        <v>37</v>
      </c>
      <c r="L153" s="57" t="s">
        <v>37</v>
      </c>
      <c r="M153" s="57" t="s">
        <v>37</v>
      </c>
      <c r="N153" s="57" t="s">
        <v>37</v>
      </c>
      <c r="O153" s="57" t="s">
        <v>37</v>
      </c>
      <c r="P153" s="57" t="s">
        <v>37</v>
      </c>
      <c r="Q153" s="57" t="s">
        <v>507</v>
      </c>
      <c r="R153" s="57" t="s">
        <v>37</v>
      </c>
      <c r="S153" s="57" t="s">
        <v>37</v>
      </c>
      <c r="T153" s="57" t="s">
        <v>37</v>
      </c>
      <c r="U153" s="57" t="s">
        <v>37</v>
      </c>
      <c r="V153" s="57" t="s">
        <v>37</v>
      </c>
      <c r="W153" s="57" t="s">
        <v>37</v>
      </c>
      <c r="X153" s="57"/>
      <c r="Y153" s="57" t="s">
        <v>38</v>
      </c>
      <c r="Z153" s="57"/>
      <c r="AA153" s="57"/>
      <c r="AB153" s="57"/>
      <c r="AC153" s="57"/>
      <c r="AD153" s="57"/>
      <c r="AE153" s="57"/>
      <c r="AF153" s="57"/>
      <c r="AG153" s="57"/>
      <c r="AH153" s="57"/>
      <c r="AI153" s="103"/>
      <c r="AJ153" s="58">
        <v>10110506</v>
      </c>
      <c r="AK153" s="59">
        <v>12</v>
      </c>
      <c r="AL153" s="60">
        <f t="shared" si="137"/>
        <v>6</v>
      </c>
      <c r="AM153" s="61">
        <f t="shared" si="138"/>
        <v>12</v>
      </c>
      <c r="AN153" s="62">
        <f t="shared" si="139"/>
        <v>18</v>
      </c>
      <c r="AO153" s="62">
        <f t="shared" si="140"/>
        <v>0</v>
      </c>
      <c r="AP153" s="62">
        <f t="shared" si="122"/>
        <v>0</v>
      </c>
      <c r="AQ153" s="63">
        <f t="shared" si="123"/>
        <v>0</v>
      </c>
      <c r="AR153" s="62">
        <f t="shared" si="124"/>
        <v>0</v>
      </c>
      <c r="AS153" s="62">
        <f t="shared" si="141"/>
        <v>0</v>
      </c>
      <c r="AT153" s="64"/>
      <c r="AU153" s="64"/>
      <c r="AV153" s="65">
        <f t="shared" si="142"/>
        <v>0</v>
      </c>
      <c r="AW153" s="65">
        <f t="shared" si="143"/>
        <v>12</v>
      </c>
      <c r="AX153" s="64"/>
      <c r="AY153" s="64"/>
      <c r="AZ153" s="80"/>
      <c r="BA153" s="66">
        <f t="shared" si="127"/>
        <v>18</v>
      </c>
      <c r="BB153" s="67"/>
      <c r="BC153" s="68"/>
      <c r="BD153" s="69">
        <f>VLOOKUP($B153,[1]CN!$B$9:$DK$221,114,0)</f>
        <v>5</v>
      </c>
      <c r="BE153" s="70">
        <f t="shared" si="144"/>
        <v>27</v>
      </c>
      <c r="BF153" s="71" t="s">
        <v>39</v>
      </c>
      <c r="BG153" s="72">
        <v>0</v>
      </c>
      <c r="BH153" s="73" t="str">
        <f>VLOOKUP(B153,'[2]Bang luong_06'!$B$9:$C$333,2,0)</f>
        <v>Nguyễn Chí Tâm</v>
      </c>
      <c r="BI153" s="74" t="s">
        <v>335</v>
      </c>
      <c r="BJ153" s="75" t="str">
        <f>VLOOKUP($B153,'[2]Bang luong_06'!$B$10:$C$333,2,0)</f>
        <v>Nguyễn Chí Tâm</v>
      </c>
      <c r="BK153" s="76" t="b">
        <f t="shared" si="145"/>
        <v>1</v>
      </c>
      <c r="BM153" s="77">
        <f>+VLOOKUP(B153,'[2]Thưởng Lễ 2-9'!B118:G406,6,0)</f>
        <v>0</v>
      </c>
      <c r="BN153" s="75">
        <f t="shared" si="146"/>
        <v>131</v>
      </c>
      <c r="BO153" s="76" t="str">
        <f>+VLOOKUP(B153,'[2]Bang luong_06'!B127:D437,3,0)</f>
        <v>CNSX</v>
      </c>
      <c r="BP153" s="76" t="s">
        <v>40</v>
      </c>
      <c r="BQ153" s="76">
        <v>10</v>
      </c>
      <c r="BR153" s="76">
        <f t="shared" si="129"/>
        <v>6</v>
      </c>
    </row>
    <row r="154" spans="1:70" s="76" customFormat="1" ht="31.5" customHeight="1" x14ac:dyDescent="0.25">
      <c r="A154" s="33">
        <f t="shared" si="133"/>
        <v>133</v>
      </c>
      <c r="B154" s="78" t="s">
        <v>336</v>
      </c>
      <c r="C154" s="55" t="s">
        <v>337</v>
      </c>
      <c r="D154" s="79">
        <v>44867</v>
      </c>
      <c r="E154" s="57" t="s">
        <v>38</v>
      </c>
      <c r="F154" s="57" t="s">
        <v>38</v>
      </c>
      <c r="G154" s="57" t="s">
        <v>38</v>
      </c>
      <c r="H154" s="57" t="s">
        <v>38</v>
      </c>
      <c r="I154" s="57" t="s">
        <v>38</v>
      </c>
      <c r="J154" s="57"/>
      <c r="K154" s="57" t="s">
        <v>37</v>
      </c>
      <c r="L154" s="57" t="s">
        <v>37</v>
      </c>
      <c r="M154" s="57" t="s">
        <v>37</v>
      </c>
      <c r="N154" s="57" t="s">
        <v>37</v>
      </c>
      <c r="O154" s="57" t="s">
        <v>37</v>
      </c>
      <c r="P154" s="57" t="s">
        <v>37</v>
      </c>
      <c r="Q154" s="57"/>
      <c r="R154" s="57" t="s">
        <v>37</v>
      </c>
      <c r="S154" s="57" t="s">
        <v>37</v>
      </c>
      <c r="T154" s="57" t="s">
        <v>107</v>
      </c>
      <c r="U154" s="57" t="s">
        <v>37</v>
      </c>
      <c r="V154" s="57" t="s">
        <v>37</v>
      </c>
      <c r="W154" s="57" t="s">
        <v>37</v>
      </c>
      <c r="X154" s="57"/>
      <c r="Y154" s="57" t="s">
        <v>38</v>
      </c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8">
        <v>10110507</v>
      </c>
      <c r="AK154" s="59">
        <v>12</v>
      </c>
      <c r="AL154" s="60">
        <f t="shared" si="137"/>
        <v>6</v>
      </c>
      <c r="AM154" s="61">
        <f t="shared" si="138"/>
        <v>11</v>
      </c>
      <c r="AN154" s="62">
        <f t="shared" si="139"/>
        <v>17</v>
      </c>
      <c r="AO154" s="62">
        <f t="shared" si="140"/>
        <v>1</v>
      </c>
      <c r="AP154" s="62">
        <f t="shared" si="122"/>
        <v>0</v>
      </c>
      <c r="AQ154" s="63">
        <f t="shared" si="123"/>
        <v>0</v>
      </c>
      <c r="AR154" s="62">
        <f t="shared" si="124"/>
        <v>0</v>
      </c>
      <c r="AS154" s="62">
        <f t="shared" si="141"/>
        <v>0</v>
      </c>
      <c r="AT154" s="64"/>
      <c r="AU154" s="64"/>
      <c r="AV154" s="65">
        <f t="shared" si="142"/>
        <v>0</v>
      </c>
      <c r="AW154" s="65">
        <f t="shared" si="143"/>
        <v>0</v>
      </c>
      <c r="AX154" s="64"/>
      <c r="AY154" s="64"/>
      <c r="AZ154" s="80"/>
      <c r="BA154" s="66">
        <f t="shared" si="127"/>
        <v>18</v>
      </c>
      <c r="BB154" s="67"/>
      <c r="BC154" s="68"/>
      <c r="BD154" s="69">
        <f>VLOOKUP($B154,[1]CN!$B$9:$DK$221,114,0)</f>
        <v>0</v>
      </c>
      <c r="BE154" s="70">
        <f t="shared" si="144"/>
        <v>27</v>
      </c>
      <c r="BF154" s="71" t="s">
        <v>39</v>
      </c>
      <c r="BG154" s="72">
        <v>0</v>
      </c>
      <c r="BH154" s="73" t="str">
        <f>VLOOKUP(B154,'[2]Bang luong_06'!$B$9:$C$333,2,0)</f>
        <v>Sơn Hoài Thanh</v>
      </c>
      <c r="BI154" s="74" t="s">
        <v>338</v>
      </c>
      <c r="BJ154" s="75" t="str">
        <f>VLOOKUP($B154,'[2]Bang luong_06'!$B$10:$C$333,2,0)</f>
        <v>Sơn Hoài Thanh</v>
      </c>
      <c r="BK154" s="76" t="b">
        <f t="shared" si="145"/>
        <v>1</v>
      </c>
      <c r="BM154" s="77">
        <f>+VLOOKUP(B154,'[2]Thưởng Lễ 2-9'!B111:G400,6,0)</f>
        <v>0</v>
      </c>
      <c r="BN154" s="75">
        <f t="shared" si="146"/>
        <v>22</v>
      </c>
      <c r="BO154" s="76" t="str">
        <f>+VLOOKUP(B154,'[2]Bang luong_06'!B121:D431,3,0)</f>
        <v>CNSX</v>
      </c>
      <c r="BP154" s="76" t="s">
        <v>40</v>
      </c>
      <c r="BQ154" s="76">
        <v>7</v>
      </c>
      <c r="BR154" s="76">
        <f t="shared" si="129"/>
        <v>6</v>
      </c>
    </row>
    <row r="155" spans="1:70" s="76" customFormat="1" ht="31.5" customHeight="1" x14ac:dyDescent="0.25">
      <c r="A155" s="33">
        <f t="shared" si="133"/>
        <v>134</v>
      </c>
      <c r="B155" s="78" t="s">
        <v>338</v>
      </c>
      <c r="C155" s="55" t="s">
        <v>339</v>
      </c>
      <c r="D155" s="79">
        <v>43158</v>
      </c>
      <c r="E155" s="57" t="s">
        <v>38</v>
      </c>
      <c r="F155" s="57" t="s">
        <v>38</v>
      </c>
      <c r="G155" s="57" t="s">
        <v>38</v>
      </c>
      <c r="H155" s="57" t="s">
        <v>38</v>
      </c>
      <c r="I155" s="57" t="s">
        <v>38</v>
      </c>
      <c r="J155" s="57" t="s">
        <v>506</v>
      </c>
      <c r="K155" s="57" t="s">
        <v>37</v>
      </c>
      <c r="L155" s="57" t="s">
        <v>37</v>
      </c>
      <c r="M155" s="57" t="s">
        <v>37</v>
      </c>
      <c r="N155" s="57" t="s">
        <v>37</v>
      </c>
      <c r="O155" s="57" t="s">
        <v>37</v>
      </c>
      <c r="P155" s="57" t="s">
        <v>37</v>
      </c>
      <c r="Q155" s="57" t="s">
        <v>507</v>
      </c>
      <c r="R155" s="57" t="s">
        <v>37</v>
      </c>
      <c r="S155" s="57" t="s">
        <v>37</v>
      </c>
      <c r="T155" s="57" t="s">
        <v>37</v>
      </c>
      <c r="U155" s="57" t="s">
        <v>37</v>
      </c>
      <c r="V155" s="57" t="s">
        <v>37</v>
      </c>
      <c r="W155" s="57" t="s">
        <v>37</v>
      </c>
      <c r="X155" s="57"/>
      <c r="Y155" s="57" t="s">
        <v>38</v>
      </c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8">
        <v>10110506</v>
      </c>
      <c r="AK155" s="59">
        <v>12</v>
      </c>
      <c r="AL155" s="60">
        <f t="shared" si="137"/>
        <v>6</v>
      </c>
      <c r="AM155" s="61">
        <f t="shared" si="138"/>
        <v>12</v>
      </c>
      <c r="AN155" s="62">
        <f t="shared" si="139"/>
        <v>18</v>
      </c>
      <c r="AO155" s="62">
        <f t="shared" si="140"/>
        <v>0</v>
      </c>
      <c r="AP155" s="62">
        <f t="shared" si="122"/>
        <v>0</v>
      </c>
      <c r="AQ155" s="63">
        <f t="shared" si="123"/>
        <v>0</v>
      </c>
      <c r="AR155" s="62">
        <f t="shared" si="124"/>
        <v>0</v>
      </c>
      <c r="AS155" s="62">
        <f t="shared" si="141"/>
        <v>0</v>
      </c>
      <c r="AT155" s="64"/>
      <c r="AU155" s="64"/>
      <c r="AV155" s="65">
        <f t="shared" si="142"/>
        <v>12</v>
      </c>
      <c r="AW155" s="65">
        <f t="shared" si="143"/>
        <v>12</v>
      </c>
      <c r="AX155" s="64"/>
      <c r="AY155" s="64"/>
      <c r="AZ155" s="80"/>
      <c r="BA155" s="66">
        <f t="shared" si="127"/>
        <v>18</v>
      </c>
      <c r="BB155" s="67"/>
      <c r="BC155" s="68"/>
      <c r="BD155" s="69">
        <f>VLOOKUP($B155,[1]CN!$B$9:$DK$221,114,0)</f>
        <v>4</v>
      </c>
      <c r="BE155" s="70">
        <f t="shared" si="144"/>
        <v>27</v>
      </c>
      <c r="BF155" s="71" t="s">
        <v>39</v>
      </c>
      <c r="BG155" s="72" t="s">
        <v>34</v>
      </c>
      <c r="BH155" s="73" t="str">
        <f>VLOOKUP(B155,'[2]Bang luong_06'!$B$9:$C$333,2,0)</f>
        <v>Thạch Chanh Rây</v>
      </c>
      <c r="BI155" s="74" t="s">
        <v>116</v>
      </c>
      <c r="BJ155" s="75" t="str">
        <f>VLOOKUP($B155,'[2]Bang luong_06'!$B$10:$C$333,2,0)</f>
        <v>Thạch Chanh Rây</v>
      </c>
      <c r="BK155" s="76" t="b">
        <f t="shared" si="145"/>
        <v>1</v>
      </c>
      <c r="BM155" s="77">
        <f>+VLOOKUP(B155,'[2]Thưởng Lễ 2-9'!B41:G331,6,0)</f>
        <v>0</v>
      </c>
      <c r="BN155" s="75">
        <f t="shared" si="146"/>
        <v>79</v>
      </c>
      <c r="BO155" s="76" t="str">
        <f>+VLOOKUP(B155,'[2]Bang luong_06'!B47:D363,3,0)</f>
        <v>Tổ trưởng</v>
      </c>
      <c r="BP155" s="76" t="s">
        <v>40</v>
      </c>
      <c r="BQ155" s="76">
        <v>0</v>
      </c>
      <c r="BR155" s="76">
        <f t="shared" si="129"/>
        <v>6</v>
      </c>
    </row>
    <row r="156" spans="1:70" s="76" customFormat="1" ht="31.5" customHeight="1" x14ac:dyDescent="0.25">
      <c r="A156" s="33">
        <f t="shared" si="133"/>
        <v>135</v>
      </c>
      <c r="B156" s="78" t="s">
        <v>340</v>
      </c>
      <c r="C156" s="55" t="s">
        <v>341</v>
      </c>
      <c r="D156" s="79">
        <v>44614</v>
      </c>
      <c r="E156" s="57" t="s">
        <v>37</v>
      </c>
      <c r="F156" s="86" t="s">
        <v>37</v>
      </c>
      <c r="G156" s="57" t="s">
        <v>37</v>
      </c>
      <c r="H156" s="57" t="s">
        <v>37</v>
      </c>
      <c r="I156" s="57" t="s">
        <v>37</v>
      </c>
      <c r="J156" s="57"/>
      <c r="K156" s="57" t="s">
        <v>38</v>
      </c>
      <c r="L156" s="57" t="s">
        <v>38</v>
      </c>
      <c r="M156" s="57" t="s">
        <v>38</v>
      </c>
      <c r="N156" s="57" t="s">
        <v>38</v>
      </c>
      <c r="O156" s="57" t="s">
        <v>38</v>
      </c>
      <c r="P156" s="57" t="s">
        <v>38</v>
      </c>
      <c r="Q156" s="57"/>
      <c r="R156" s="57" t="s">
        <v>38</v>
      </c>
      <c r="S156" s="57" t="s">
        <v>38</v>
      </c>
      <c r="T156" s="57" t="s">
        <v>38</v>
      </c>
      <c r="U156" s="57" t="s">
        <v>38</v>
      </c>
      <c r="V156" s="57" t="s">
        <v>38</v>
      </c>
      <c r="W156" s="57" t="s">
        <v>38</v>
      </c>
      <c r="X156" s="57" t="s">
        <v>506</v>
      </c>
      <c r="Y156" s="57" t="s">
        <v>37</v>
      </c>
      <c r="Z156" s="57"/>
      <c r="AA156" s="57"/>
      <c r="AB156" s="57"/>
      <c r="AC156" s="57"/>
      <c r="AD156" s="57"/>
      <c r="AE156" s="57"/>
      <c r="AF156" s="57"/>
      <c r="AG156" s="57"/>
      <c r="AH156" s="57"/>
      <c r="AI156" s="58"/>
      <c r="AJ156" s="58">
        <v>10110506</v>
      </c>
      <c r="AK156" s="59">
        <v>12</v>
      </c>
      <c r="AL156" s="60">
        <f t="shared" si="137"/>
        <v>12</v>
      </c>
      <c r="AM156" s="61">
        <f t="shared" si="138"/>
        <v>6</v>
      </c>
      <c r="AN156" s="62">
        <f t="shared" si="139"/>
        <v>18</v>
      </c>
      <c r="AO156" s="62">
        <f t="shared" si="140"/>
        <v>0</v>
      </c>
      <c r="AP156" s="62">
        <f t="shared" si="122"/>
        <v>0</v>
      </c>
      <c r="AQ156" s="63">
        <f t="shared" si="123"/>
        <v>0</v>
      </c>
      <c r="AR156" s="62">
        <f t="shared" si="124"/>
        <v>0</v>
      </c>
      <c r="AS156" s="62">
        <f t="shared" si="141"/>
        <v>0</v>
      </c>
      <c r="AT156" s="64"/>
      <c r="AU156" s="64"/>
      <c r="AV156" s="65">
        <f t="shared" si="142"/>
        <v>12</v>
      </c>
      <c r="AW156" s="65">
        <f t="shared" si="143"/>
        <v>0</v>
      </c>
      <c r="AX156" s="64"/>
      <c r="AY156" s="64"/>
      <c r="AZ156" s="80"/>
      <c r="BA156" s="66">
        <f t="shared" si="127"/>
        <v>18</v>
      </c>
      <c r="BB156" s="67"/>
      <c r="BC156" s="99"/>
      <c r="BD156" s="69">
        <f>VLOOKUP($B156,[1]CN!$B$9:$DK$221,114,0)</f>
        <v>4</v>
      </c>
      <c r="BE156" s="70">
        <f t="shared" si="144"/>
        <v>27</v>
      </c>
      <c r="BF156" s="71" t="s">
        <v>39</v>
      </c>
      <c r="BG156" s="72" t="s">
        <v>34</v>
      </c>
      <c r="BH156" s="73" t="str">
        <f>VLOOKUP(B156,'[2]Bang luong_06'!$B$9:$C$333,2,0)</f>
        <v>Lý Thanh</v>
      </c>
      <c r="BI156" s="74" t="s">
        <v>342</v>
      </c>
      <c r="BJ156" s="75" t="str">
        <f>VLOOKUP($B156,'[2]Bang luong_06'!$B$10:$C$333,2,0)</f>
        <v>Lý Thanh</v>
      </c>
      <c r="BK156" s="76" t="b">
        <f t="shared" si="145"/>
        <v>1</v>
      </c>
      <c r="BM156" s="77">
        <f>+VLOOKUP(B156,'[2]Thưởng Lễ 2-9'!B120:G408,6,0)</f>
        <v>0</v>
      </c>
      <c r="BN156" s="75">
        <f t="shared" si="146"/>
        <v>31</v>
      </c>
      <c r="BO156" s="76" t="str">
        <f>+VLOOKUP(B156,'[2]Bang luong_06'!B130:D439,3,0)</f>
        <v>CNSX</v>
      </c>
      <c r="BP156" s="76" t="s">
        <v>40</v>
      </c>
      <c r="BQ156" s="76">
        <v>0</v>
      </c>
      <c r="BR156" s="76">
        <f t="shared" si="129"/>
        <v>12</v>
      </c>
    </row>
    <row r="157" spans="1:70" s="76" customFormat="1" ht="31.5" customHeight="1" x14ac:dyDescent="0.25">
      <c r="A157" s="33">
        <f t="shared" si="133"/>
        <v>136</v>
      </c>
      <c r="B157" s="78" t="s">
        <v>343</v>
      </c>
      <c r="C157" s="55" t="s">
        <v>344</v>
      </c>
      <c r="D157" s="79">
        <v>43361.3941898958</v>
      </c>
      <c r="E157" s="57" t="s">
        <v>37</v>
      </c>
      <c r="F157" s="86" t="s">
        <v>37</v>
      </c>
      <c r="G157" s="57" t="s">
        <v>37</v>
      </c>
      <c r="H157" s="57" t="s">
        <v>37</v>
      </c>
      <c r="I157" s="57" t="s">
        <v>37</v>
      </c>
      <c r="J157" s="57"/>
      <c r="K157" s="57" t="s">
        <v>38</v>
      </c>
      <c r="L157" s="57" t="s">
        <v>38</v>
      </c>
      <c r="M157" s="57" t="s">
        <v>38</v>
      </c>
      <c r="N157" s="57" t="s">
        <v>38</v>
      </c>
      <c r="O157" s="57" t="s">
        <v>38</v>
      </c>
      <c r="P157" s="57" t="s">
        <v>38</v>
      </c>
      <c r="Q157" s="57" t="s">
        <v>506</v>
      </c>
      <c r="R157" s="57" t="s">
        <v>38</v>
      </c>
      <c r="S157" s="57" t="s">
        <v>38</v>
      </c>
      <c r="T157" s="57" t="s">
        <v>38</v>
      </c>
      <c r="U157" s="57" t="s">
        <v>38</v>
      </c>
      <c r="V157" s="57" t="s">
        <v>38</v>
      </c>
      <c r="W157" s="57" t="s">
        <v>38</v>
      </c>
      <c r="X157" s="57"/>
      <c r="Y157" s="57" t="s">
        <v>37</v>
      </c>
      <c r="Z157" s="57"/>
      <c r="AA157" s="57"/>
      <c r="AB157" s="57"/>
      <c r="AC157" s="57"/>
      <c r="AD157" s="57"/>
      <c r="AE157" s="57"/>
      <c r="AF157" s="57"/>
      <c r="AG157" s="57"/>
      <c r="AH157" s="57"/>
      <c r="AI157" s="58"/>
      <c r="AJ157" s="58">
        <v>10110506</v>
      </c>
      <c r="AK157" s="59">
        <v>12</v>
      </c>
      <c r="AL157" s="60">
        <f t="shared" si="137"/>
        <v>12</v>
      </c>
      <c r="AM157" s="61">
        <f t="shared" si="138"/>
        <v>6</v>
      </c>
      <c r="AN157" s="62">
        <f t="shared" si="139"/>
        <v>18</v>
      </c>
      <c r="AO157" s="62">
        <f t="shared" si="140"/>
        <v>0</v>
      </c>
      <c r="AP157" s="62">
        <f t="shared" si="122"/>
        <v>0</v>
      </c>
      <c r="AQ157" s="63">
        <f t="shared" si="123"/>
        <v>0</v>
      </c>
      <c r="AR157" s="62">
        <f t="shared" si="124"/>
        <v>0</v>
      </c>
      <c r="AS157" s="62">
        <f t="shared" si="141"/>
        <v>0</v>
      </c>
      <c r="AT157" s="64"/>
      <c r="AU157" s="64"/>
      <c r="AV157" s="65">
        <f t="shared" si="142"/>
        <v>12</v>
      </c>
      <c r="AW157" s="65">
        <f t="shared" si="143"/>
        <v>0</v>
      </c>
      <c r="AX157" s="64"/>
      <c r="AY157" s="64"/>
      <c r="AZ157" s="80"/>
      <c r="BA157" s="66">
        <f t="shared" si="127"/>
        <v>18</v>
      </c>
      <c r="BB157" s="67"/>
      <c r="BC157" s="68"/>
      <c r="BD157" s="69">
        <f>VLOOKUP($B157,[1]CN!$B$9:$DK$221,114,0)</f>
        <v>4</v>
      </c>
      <c r="BE157" s="70">
        <f t="shared" si="144"/>
        <v>27</v>
      </c>
      <c r="BF157" s="71" t="s">
        <v>39</v>
      </c>
      <c r="BG157" s="72">
        <v>0</v>
      </c>
      <c r="BH157" s="73" t="str">
        <f>VLOOKUP(B157,'[2]Bang luong_06'!$B$9:$C$333,2,0)</f>
        <v>Lý Tiên</v>
      </c>
      <c r="BI157" s="74" t="s">
        <v>343</v>
      </c>
      <c r="BJ157" s="75" t="str">
        <f>VLOOKUP($B157,'[2]Bang luong_06'!$B$10:$C$333,2,0)</f>
        <v>Lý Tiên</v>
      </c>
      <c r="BK157" s="76" t="b">
        <f t="shared" si="145"/>
        <v>1</v>
      </c>
      <c r="BM157" s="77">
        <f>+VLOOKUP(B157,'[2]Thưởng Lễ 2-9'!B110:G399,6,0)</f>
        <v>0</v>
      </c>
      <c r="BN157" s="75">
        <f t="shared" si="146"/>
        <v>72</v>
      </c>
      <c r="BO157" s="76" t="str">
        <f>+VLOOKUP(B157,'[2]Bang luong_06'!B120:D430,3,0)</f>
        <v>CNSX</v>
      </c>
      <c r="BP157" s="76" t="s">
        <v>40</v>
      </c>
      <c r="BQ157" s="76">
        <v>3</v>
      </c>
      <c r="BR157" s="76">
        <f t="shared" si="129"/>
        <v>12</v>
      </c>
    </row>
    <row r="158" spans="1:70" s="76" customFormat="1" ht="31.5" customHeight="1" x14ac:dyDescent="0.25">
      <c r="A158" s="33">
        <f t="shared" si="133"/>
        <v>137</v>
      </c>
      <c r="B158" s="78" t="s">
        <v>345</v>
      </c>
      <c r="C158" s="55" t="s">
        <v>346</v>
      </c>
      <c r="D158" s="79">
        <v>45005</v>
      </c>
      <c r="E158" s="57" t="s">
        <v>37</v>
      </c>
      <c r="F158" s="86" t="s">
        <v>37</v>
      </c>
      <c r="G158" s="57" t="s">
        <v>37</v>
      </c>
      <c r="H158" s="57" t="s">
        <v>37</v>
      </c>
      <c r="I158" s="57" t="s">
        <v>37</v>
      </c>
      <c r="J158" s="57"/>
      <c r="K158" s="57" t="s">
        <v>38</v>
      </c>
      <c r="L158" s="57" t="s">
        <v>38</v>
      </c>
      <c r="M158" s="57" t="s">
        <v>38</v>
      </c>
      <c r="N158" s="57" t="s">
        <v>38</v>
      </c>
      <c r="O158" s="57" t="s">
        <v>38</v>
      </c>
      <c r="P158" s="57" t="s">
        <v>38</v>
      </c>
      <c r="Q158" s="57" t="s">
        <v>506</v>
      </c>
      <c r="R158" s="57" t="s">
        <v>38</v>
      </c>
      <c r="S158" s="57" t="s">
        <v>38</v>
      </c>
      <c r="T158" s="57" t="s">
        <v>38</v>
      </c>
      <c r="U158" s="57" t="s">
        <v>38</v>
      </c>
      <c r="V158" s="57" t="s">
        <v>38</v>
      </c>
      <c r="W158" s="57" t="s">
        <v>38</v>
      </c>
      <c r="X158" s="57" t="s">
        <v>506</v>
      </c>
      <c r="Y158" s="57" t="s">
        <v>37</v>
      </c>
      <c r="Z158" s="57"/>
      <c r="AA158" s="57"/>
      <c r="AB158" s="57"/>
      <c r="AC158" s="57"/>
      <c r="AD158" s="57"/>
      <c r="AE158" s="57"/>
      <c r="AF158" s="57"/>
      <c r="AG158" s="57"/>
      <c r="AH158" s="57"/>
      <c r="AI158" s="58"/>
      <c r="AJ158" s="58">
        <v>10110507</v>
      </c>
      <c r="AK158" s="59">
        <v>12</v>
      </c>
      <c r="AL158" s="60">
        <f t="shared" si="137"/>
        <v>12</v>
      </c>
      <c r="AM158" s="61">
        <f t="shared" si="138"/>
        <v>6</v>
      </c>
      <c r="AN158" s="62">
        <f t="shared" si="139"/>
        <v>18</v>
      </c>
      <c r="AO158" s="62">
        <f t="shared" si="140"/>
        <v>0</v>
      </c>
      <c r="AP158" s="62">
        <f t="shared" si="122"/>
        <v>0</v>
      </c>
      <c r="AQ158" s="63">
        <f t="shared" si="123"/>
        <v>0</v>
      </c>
      <c r="AR158" s="62">
        <f t="shared" si="124"/>
        <v>0</v>
      </c>
      <c r="AS158" s="62">
        <f t="shared" si="141"/>
        <v>0</v>
      </c>
      <c r="AT158" s="64"/>
      <c r="AU158" s="64"/>
      <c r="AV158" s="65">
        <f t="shared" si="142"/>
        <v>24</v>
      </c>
      <c r="AW158" s="65">
        <f t="shared" si="143"/>
        <v>0</v>
      </c>
      <c r="AX158" s="64"/>
      <c r="AY158" s="64"/>
      <c r="AZ158" s="80"/>
      <c r="BA158" s="66">
        <f t="shared" si="127"/>
        <v>18</v>
      </c>
      <c r="BB158" s="67"/>
      <c r="BC158" s="68"/>
      <c r="BD158" s="69">
        <f>VLOOKUP($B158,[1]CN!$B$9:$DK$221,114,0)</f>
        <v>1</v>
      </c>
      <c r="BE158" s="70">
        <f t="shared" si="144"/>
        <v>27</v>
      </c>
      <c r="BF158" s="71" t="s">
        <v>39</v>
      </c>
      <c r="BG158" s="72" t="s">
        <v>34</v>
      </c>
      <c r="BH158" s="73" t="str">
        <f>VLOOKUP(B158,'[2]Bang luong_06'!$B$9:$C$333,2,0)</f>
        <v>Nguyễn Thanh Song</v>
      </c>
      <c r="BI158" s="74" t="s">
        <v>345</v>
      </c>
      <c r="BJ158" s="75" t="str">
        <f>VLOOKUP($B158,'[2]Bang luong_06'!$B$10:$C$333,2,0)</f>
        <v>Nguyễn Thanh Song</v>
      </c>
      <c r="BK158" s="76" t="b">
        <f t="shared" si="145"/>
        <v>1</v>
      </c>
      <c r="BM158" s="77">
        <f>+VLOOKUP(B158,'[2]Thưởng Lễ 2-9'!B119:G407,6,0)</f>
        <v>0</v>
      </c>
      <c r="BN158" s="75">
        <f t="shared" si="146"/>
        <v>18</v>
      </c>
      <c r="BO158" s="76" t="str">
        <f>+VLOOKUP(B158,'[2]Bang luong_06'!B128:D438,3,0)</f>
        <v>CNSX</v>
      </c>
      <c r="BP158" s="76" t="s">
        <v>40</v>
      </c>
      <c r="BQ158" s="76">
        <v>6</v>
      </c>
      <c r="BR158" s="76">
        <f t="shared" si="129"/>
        <v>12</v>
      </c>
    </row>
    <row r="159" spans="1:70" s="76" customFormat="1" ht="31.5" customHeight="1" x14ac:dyDescent="0.25">
      <c r="A159" s="33">
        <f t="shared" si="133"/>
        <v>138</v>
      </c>
      <c r="B159" s="109" t="s">
        <v>347</v>
      </c>
      <c r="C159" s="110" t="s">
        <v>348</v>
      </c>
      <c r="D159" s="107">
        <v>45370</v>
      </c>
      <c r="E159" s="57" t="s">
        <v>37</v>
      </c>
      <c r="F159" s="86" t="s">
        <v>37</v>
      </c>
      <c r="G159" s="57" t="s">
        <v>37</v>
      </c>
      <c r="H159" s="57" t="s">
        <v>37</v>
      </c>
      <c r="I159" s="57" t="s">
        <v>37</v>
      </c>
      <c r="J159" s="57"/>
      <c r="K159" s="57" t="s">
        <v>38</v>
      </c>
      <c r="L159" s="57" t="s">
        <v>38</v>
      </c>
      <c r="M159" s="57" t="s">
        <v>38</v>
      </c>
      <c r="N159" s="57" t="s">
        <v>38</v>
      </c>
      <c r="O159" s="57" t="s">
        <v>38</v>
      </c>
      <c r="P159" s="57" t="s">
        <v>38</v>
      </c>
      <c r="Q159" s="57" t="s">
        <v>506</v>
      </c>
      <c r="R159" s="266" t="s">
        <v>38</v>
      </c>
      <c r="S159" s="57" t="s">
        <v>38</v>
      </c>
      <c r="T159" s="57" t="s">
        <v>38</v>
      </c>
      <c r="U159" s="57" t="s">
        <v>38</v>
      </c>
      <c r="V159" s="57" t="s">
        <v>38</v>
      </c>
      <c r="W159" s="57" t="s">
        <v>38</v>
      </c>
      <c r="X159" s="57"/>
      <c r="Y159" s="57" t="s">
        <v>37</v>
      </c>
      <c r="Z159" s="57"/>
      <c r="AA159" s="57"/>
      <c r="AB159" s="57"/>
      <c r="AC159" s="57"/>
      <c r="AD159" s="57"/>
      <c r="AE159" s="57"/>
      <c r="AF159" s="57"/>
      <c r="AG159" s="57"/>
      <c r="AH159" s="57"/>
      <c r="AI159" s="58"/>
      <c r="AJ159" s="58">
        <v>10110507</v>
      </c>
      <c r="AK159" s="59">
        <v>12</v>
      </c>
      <c r="AL159" s="60">
        <f t="shared" si="137"/>
        <v>12</v>
      </c>
      <c r="AM159" s="61">
        <f t="shared" si="138"/>
        <v>6</v>
      </c>
      <c r="AN159" s="62">
        <f t="shared" si="139"/>
        <v>18</v>
      </c>
      <c r="AO159" s="62">
        <f t="shared" si="140"/>
        <v>0</v>
      </c>
      <c r="AP159" s="62">
        <f t="shared" si="122"/>
        <v>0</v>
      </c>
      <c r="AQ159" s="63">
        <f t="shared" si="123"/>
        <v>0</v>
      </c>
      <c r="AR159" s="62">
        <f t="shared" si="124"/>
        <v>0</v>
      </c>
      <c r="AS159" s="62">
        <f t="shared" si="141"/>
        <v>0</v>
      </c>
      <c r="AT159" s="64"/>
      <c r="AU159" s="64"/>
      <c r="AV159" s="65">
        <f t="shared" si="142"/>
        <v>12</v>
      </c>
      <c r="AW159" s="65">
        <f t="shared" si="143"/>
        <v>0</v>
      </c>
      <c r="AX159" s="64"/>
      <c r="AY159" s="64"/>
      <c r="AZ159" s="80"/>
      <c r="BA159" s="66">
        <f t="shared" si="127"/>
        <v>18</v>
      </c>
      <c r="BB159" s="67"/>
      <c r="BC159" s="68"/>
      <c r="BD159" s="69">
        <f>VLOOKUP($B159,[1]CN!$B$9:$DK$221,114,0)</f>
        <v>1</v>
      </c>
      <c r="BE159" s="70">
        <f t="shared" si="144"/>
        <v>27</v>
      </c>
      <c r="BF159" s="71" t="s">
        <v>39</v>
      </c>
      <c r="BG159" s="72" t="s">
        <v>34</v>
      </c>
      <c r="BH159" s="73" t="str">
        <f>VLOOKUP(B159,'[2]Bang luong_06'!$B$9:$C$333,2,0)</f>
        <v xml:space="preserve">Dương Vũ Phong </v>
      </c>
      <c r="BI159" s="74" t="s">
        <v>347</v>
      </c>
      <c r="BJ159" s="75" t="str">
        <f>VLOOKUP($B159,'[2]Bang luong_06'!$B$10:$C$333,2,0)</f>
        <v xml:space="preserve">Dương Vũ Phong </v>
      </c>
      <c r="BK159" s="76" t="b">
        <f t="shared" si="145"/>
        <v>1</v>
      </c>
      <c r="BM159" s="77">
        <f>+VLOOKUP(B159,'[2]Thưởng Lễ 2-9'!B118:G406,6,0)</f>
        <v>0</v>
      </c>
      <c r="BN159" s="75">
        <f t="shared" si="146"/>
        <v>6</v>
      </c>
      <c r="BO159" s="76" t="str">
        <f>+VLOOKUP(B159,'[2]Bang luong_06'!B127:D437,3,0)</f>
        <v>CNSX</v>
      </c>
      <c r="BP159" s="76" t="s">
        <v>40</v>
      </c>
      <c r="BQ159" s="76">
        <v>4</v>
      </c>
      <c r="BR159" s="76">
        <f t="shared" si="129"/>
        <v>12</v>
      </c>
    </row>
    <row r="160" spans="1:70" s="76" customFormat="1" ht="31.5" customHeight="1" x14ac:dyDescent="0.25">
      <c r="A160" s="33">
        <f t="shared" si="133"/>
        <v>139</v>
      </c>
      <c r="B160" s="78" t="s">
        <v>349</v>
      </c>
      <c r="C160" s="55" t="s">
        <v>350</v>
      </c>
      <c r="D160" s="79">
        <v>45096</v>
      </c>
      <c r="E160" s="57" t="s">
        <v>37</v>
      </c>
      <c r="F160" s="86" t="s">
        <v>37</v>
      </c>
      <c r="G160" s="57" t="s">
        <v>37</v>
      </c>
      <c r="H160" s="57" t="s">
        <v>37</v>
      </c>
      <c r="I160" s="57" t="s">
        <v>107</v>
      </c>
      <c r="J160" s="57"/>
      <c r="K160" s="57" t="s">
        <v>107</v>
      </c>
      <c r="L160" s="57" t="s">
        <v>38</v>
      </c>
      <c r="M160" s="57" t="s">
        <v>38</v>
      </c>
      <c r="N160" s="57" t="s">
        <v>38</v>
      </c>
      <c r="O160" s="57" t="s">
        <v>38</v>
      </c>
      <c r="P160" s="57" t="s">
        <v>38</v>
      </c>
      <c r="Q160" s="57" t="s">
        <v>506</v>
      </c>
      <c r="R160" s="57" t="s">
        <v>38</v>
      </c>
      <c r="S160" s="57" t="s">
        <v>38</v>
      </c>
      <c r="T160" s="57" t="s">
        <v>38</v>
      </c>
      <c r="U160" s="57" t="s">
        <v>38</v>
      </c>
      <c r="V160" s="57" t="s">
        <v>38</v>
      </c>
      <c r="W160" s="57" t="s">
        <v>38</v>
      </c>
      <c r="X160" s="57"/>
      <c r="Y160" s="57" t="s">
        <v>37</v>
      </c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8">
        <v>10110507</v>
      </c>
      <c r="AK160" s="59">
        <v>12</v>
      </c>
      <c r="AL160" s="60">
        <f t="shared" si="137"/>
        <v>11</v>
      </c>
      <c r="AM160" s="61">
        <f t="shared" si="138"/>
        <v>5</v>
      </c>
      <c r="AN160" s="62">
        <f t="shared" si="139"/>
        <v>16</v>
      </c>
      <c r="AO160" s="62">
        <f t="shared" si="140"/>
        <v>2</v>
      </c>
      <c r="AP160" s="62">
        <f t="shared" si="122"/>
        <v>0</v>
      </c>
      <c r="AQ160" s="63">
        <f t="shared" si="123"/>
        <v>0</v>
      </c>
      <c r="AR160" s="62">
        <f t="shared" si="124"/>
        <v>0</v>
      </c>
      <c r="AS160" s="62">
        <f t="shared" si="141"/>
        <v>0</v>
      </c>
      <c r="AT160" s="64"/>
      <c r="AU160" s="64"/>
      <c r="AV160" s="65">
        <f t="shared" si="142"/>
        <v>12</v>
      </c>
      <c r="AW160" s="65">
        <f t="shared" si="143"/>
        <v>0</v>
      </c>
      <c r="AX160" s="64"/>
      <c r="AY160" s="64"/>
      <c r="AZ160" s="80"/>
      <c r="BA160" s="66">
        <f t="shared" si="127"/>
        <v>18</v>
      </c>
      <c r="BB160" s="67"/>
      <c r="BC160" s="68"/>
      <c r="BD160" s="69">
        <f>VLOOKUP($B160,[1]CN!$B$9:$DK$221,114,0)</f>
        <v>4</v>
      </c>
      <c r="BE160" s="70">
        <f t="shared" si="144"/>
        <v>27</v>
      </c>
      <c r="BF160" s="71" t="s">
        <v>39</v>
      </c>
      <c r="BG160" s="72" t="s">
        <v>34</v>
      </c>
      <c r="BH160" s="73" t="str">
        <f>VLOOKUP(B160,'[2]Bang luong_06'!$B$9:$C$333,2,0)</f>
        <v>Miêu Quốc Khánh</v>
      </c>
      <c r="BI160" s="74" t="s">
        <v>349</v>
      </c>
      <c r="BJ160" s="75" t="str">
        <f>VLOOKUP($B160,'[2]Bang luong_06'!$B$10:$C$333,2,0)</f>
        <v>Miêu Quốc Khánh</v>
      </c>
      <c r="BK160" s="76" t="b">
        <f t="shared" si="145"/>
        <v>1</v>
      </c>
      <c r="BM160" s="77">
        <f>+VLOOKUP(B160,'[2]Thưởng Lễ 2-9'!B116:G404,6,0)</f>
        <v>0</v>
      </c>
      <c r="BN160" s="75">
        <f t="shared" si="146"/>
        <v>15</v>
      </c>
      <c r="BO160" s="76" t="str">
        <f>+VLOOKUP(B160,'[2]Bang luong_06'!B125:D435,3,0)</f>
        <v>CNSX</v>
      </c>
      <c r="BP160" s="76" t="s">
        <v>40</v>
      </c>
      <c r="BQ160" s="76">
        <v>2</v>
      </c>
      <c r="BR160" s="76">
        <f t="shared" si="129"/>
        <v>11</v>
      </c>
    </row>
    <row r="161" spans="1:70" s="118" customFormat="1" ht="31.5" customHeight="1" x14ac:dyDescent="0.25">
      <c r="A161" s="33">
        <f t="shared" si="133"/>
        <v>140</v>
      </c>
      <c r="B161" s="105" t="s">
        <v>351</v>
      </c>
      <c r="C161" s="106" t="s">
        <v>352</v>
      </c>
      <c r="D161" s="107">
        <v>42074</v>
      </c>
      <c r="E161" s="57" t="s">
        <v>38</v>
      </c>
      <c r="F161" s="57" t="s">
        <v>38</v>
      </c>
      <c r="G161" s="57" t="s">
        <v>38</v>
      </c>
      <c r="H161" s="57" t="s">
        <v>38</v>
      </c>
      <c r="I161" s="57" t="s">
        <v>38</v>
      </c>
      <c r="J161" s="57"/>
      <c r="K161" s="57" t="s">
        <v>37</v>
      </c>
      <c r="L161" s="57" t="s">
        <v>37</v>
      </c>
      <c r="M161" s="57" t="s">
        <v>37</v>
      </c>
      <c r="N161" s="57" t="s">
        <v>37</v>
      </c>
      <c r="O161" s="57" t="s">
        <v>37</v>
      </c>
      <c r="P161" s="57" t="s">
        <v>37</v>
      </c>
      <c r="Q161" s="57" t="s">
        <v>507</v>
      </c>
      <c r="R161" s="57" t="s">
        <v>37</v>
      </c>
      <c r="S161" s="57" t="s">
        <v>37</v>
      </c>
      <c r="T161" s="57" t="s">
        <v>37</v>
      </c>
      <c r="U161" s="57" t="s">
        <v>37</v>
      </c>
      <c r="V161" s="57" t="s">
        <v>37</v>
      </c>
      <c r="W161" s="57" t="s">
        <v>37</v>
      </c>
      <c r="X161" s="57"/>
      <c r="Y161" s="57" t="s">
        <v>38</v>
      </c>
      <c r="Z161" s="57"/>
      <c r="AA161" s="57"/>
      <c r="AB161" s="57"/>
      <c r="AC161" s="57"/>
      <c r="AD161" s="57"/>
      <c r="AE161" s="57"/>
      <c r="AF161" s="57"/>
      <c r="AG161" s="103"/>
      <c r="AH161" s="103"/>
      <c r="AI161" s="103"/>
      <c r="AJ161" s="58">
        <v>10110507</v>
      </c>
      <c r="AK161" s="59">
        <v>12</v>
      </c>
      <c r="AL161" s="60">
        <f t="shared" si="137"/>
        <v>6</v>
      </c>
      <c r="AM161" s="61">
        <f t="shared" si="138"/>
        <v>12</v>
      </c>
      <c r="AN161" s="62">
        <f t="shared" si="139"/>
        <v>18</v>
      </c>
      <c r="AO161" s="62">
        <f t="shared" si="140"/>
        <v>0</v>
      </c>
      <c r="AP161" s="62">
        <f t="shared" si="122"/>
        <v>0</v>
      </c>
      <c r="AQ161" s="63">
        <f t="shared" si="123"/>
        <v>0</v>
      </c>
      <c r="AR161" s="62">
        <f t="shared" si="124"/>
        <v>0</v>
      </c>
      <c r="AS161" s="62">
        <f t="shared" si="141"/>
        <v>0</v>
      </c>
      <c r="AT161" s="64"/>
      <c r="AU161" s="64"/>
      <c r="AV161" s="65">
        <f t="shared" si="142"/>
        <v>0</v>
      </c>
      <c r="AW161" s="65">
        <f t="shared" si="143"/>
        <v>12</v>
      </c>
      <c r="AX161" s="64"/>
      <c r="AY161" s="64"/>
      <c r="AZ161" s="80"/>
      <c r="BA161" s="66">
        <f t="shared" si="127"/>
        <v>18</v>
      </c>
      <c r="BB161" s="67"/>
      <c r="BC161" s="68"/>
      <c r="BD161" s="69">
        <f>VLOOKUP($B161,[1]CN!$B$9:$DK$221,114,0)</f>
        <v>3</v>
      </c>
      <c r="BE161" s="70">
        <f t="shared" si="144"/>
        <v>27</v>
      </c>
      <c r="BF161" s="71" t="s">
        <v>353</v>
      </c>
      <c r="BG161" s="116" t="s">
        <v>34</v>
      </c>
      <c r="BH161" s="73" t="str">
        <f>VLOOKUP(B161,'[2]Bang luong_06'!$B$9:$C$333,2,0)</f>
        <v>Lê Văn Tỏa</v>
      </c>
      <c r="BI161" s="117"/>
      <c r="BJ161" s="75" t="str">
        <f>VLOOKUP($B161,'[2]Bang luong_06'!$B$10:$C$333,2,0)</f>
        <v>Lê Văn Tỏa</v>
      </c>
      <c r="BK161" s="118" t="b">
        <f t="shared" si="145"/>
        <v>1</v>
      </c>
      <c r="BM161" s="77">
        <f>+VLOOKUP(B161,'[2]Thưởng Lễ 2-9'!B27:G317,6,0)</f>
        <v>0</v>
      </c>
      <c r="BN161" s="75">
        <f t="shared" si="146"/>
        <v>115</v>
      </c>
      <c r="BO161" s="76" t="str">
        <f>+VLOOKUP(B161,'[2]Bang luong_06'!B33:D349,3,0)</f>
        <v>CNSX</v>
      </c>
      <c r="BP161" s="76" t="s">
        <v>40</v>
      </c>
      <c r="BQ161" s="76">
        <v>3</v>
      </c>
      <c r="BR161" s="76">
        <f>COUNTIF(D161:AI161,"N")+COUNTIF(D161:AI161,"N1")*1/AK161+COUNTIF(D161:AI161,"N2")*2/AK161+COUNTIF(D161:AI161,"N3")*3/AK161+COUNTIF(D161:AI161,"N4")*4/AK161+COUNTIF(D161:AI161,"N5")*5/AK161+COUNTIF(D161:AI161,"N6")*6/AK161+COUNTIF(D161:AI161,"N7")*7/AK161+COUNTIF(D161:AI161,"N8")*8/AK161+COUNTIF(D161:AI161,"N9")*9/AK161+COUNTIF(D161:AI161,"N10")*10/AK161+COUNTIF(D161:AI161,"N11")*11/AK161+COUNTIF(D161:AI161,"N12")*12/AK161+COUNTIF(D161:AI161,"Ro1")*1/AK161+COUNTIF(D161:AI161,"Ro2")*2/AK161+COUNTIF(D161:AI161,"Ro3")*3/AK161+COUNTIF(D161:AI161,"Ro3.0")*3/AK161+COUNTIF(D161:AI161,"Ro4")*4/AK161+COUNTIF(D161:AI161,"Ro4.0")*4/AK161+COUNTIF(D161:AI161,"Ro4.5")*4.5/AK161+COUNTIF(D161:AI161,"Ro5")*5/AK161+COUNTIF(D161:AI161,"Ro5.0")*5/AK161+COUNTIF(D161:AI161,"Ro5.5")*5.5/AK161+COUNTIF(D161:AI161,"Ro6")*6/AK161+COUNTIF(D161:AI161,"Ro7")*7/AK161+COUNTIF(D161:AI161,"Ro8")*8/AK161+COUNTIF(D161:AI161,"Ro8.0")*8/AK161+COUNTIF(D161:AI161,"Ro8.3")*8.3/AK161+COUNTIF(D161:AI161,"Ro8.5")*8.5/AK161+COUNTIF(D161:AI161,"Ro9")*9/AK161+COUNTIF(D161:AI161,"Ro9.5")*9.5/AK161+COUNTIF(D161:AI161,"Ro10")*10/AK161+COUNTIF(D161:AI161,"Ro10.0")*10/AK161+COUNTIF(D161:AI161,"Ro10.5")*10.5/AK161+COUNTIF(D161:AI161,"Ro11")*11/AK161+COUNTIF(D161:AI161,"Ro11.0")*11/AK161+COUNTIF(D161:AI161,"Ro11.5")*11.5/AK161+COUNTIF(D161:AI161,"P2")*0.5</f>
        <v>6</v>
      </c>
    </row>
    <row r="162" spans="1:70" s="76" customFormat="1" ht="31.5" customHeight="1" x14ac:dyDescent="0.25">
      <c r="A162" s="33">
        <f t="shared" si="133"/>
        <v>141</v>
      </c>
      <c r="B162" s="78" t="s">
        <v>354</v>
      </c>
      <c r="C162" s="55" t="s">
        <v>355</v>
      </c>
      <c r="D162" s="79">
        <v>45705</v>
      </c>
      <c r="E162" s="86" t="s">
        <v>37</v>
      </c>
      <c r="F162" s="86" t="s">
        <v>37</v>
      </c>
      <c r="G162" s="97" t="s">
        <v>37</v>
      </c>
      <c r="H162" s="86" t="s">
        <v>37</v>
      </c>
      <c r="I162" s="57" t="s">
        <v>37</v>
      </c>
      <c r="J162" s="86"/>
      <c r="K162" s="97" t="s">
        <v>38</v>
      </c>
      <c r="L162" s="97" t="s">
        <v>38</v>
      </c>
      <c r="M162" s="97" t="s">
        <v>38</v>
      </c>
      <c r="N162" s="97" t="s">
        <v>38</v>
      </c>
      <c r="O162" s="97" t="s">
        <v>38</v>
      </c>
      <c r="P162" s="57" t="s">
        <v>38</v>
      </c>
      <c r="Q162" s="97"/>
      <c r="R162" s="97" t="s">
        <v>38</v>
      </c>
      <c r="S162" s="97" t="s">
        <v>38</v>
      </c>
      <c r="T162" s="97" t="s">
        <v>38</v>
      </c>
      <c r="U162" s="97" t="s">
        <v>107</v>
      </c>
      <c r="V162" s="86" t="s">
        <v>38</v>
      </c>
      <c r="W162" s="86" t="s">
        <v>38</v>
      </c>
      <c r="X162" s="97" t="s">
        <v>506</v>
      </c>
      <c r="Y162" s="97"/>
      <c r="Z162" s="57"/>
      <c r="AA162" s="57"/>
      <c r="AB162" s="57"/>
      <c r="AC162" s="57"/>
      <c r="AD162" s="57"/>
      <c r="AE162" s="57"/>
      <c r="AF162" s="57"/>
      <c r="AG162" s="100"/>
      <c r="AH162" s="100"/>
      <c r="AI162" s="100"/>
      <c r="AJ162" s="58">
        <v>10110507</v>
      </c>
      <c r="AK162" s="59">
        <v>12</v>
      </c>
      <c r="AL162" s="60">
        <f t="shared" si="137"/>
        <v>11</v>
      </c>
      <c r="AM162" s="61">
        <f t="shared" si="138"/>
        <v>5</v>
      </c>
      <c r="AN162" s="62">
        <f t="shared" si="139"/>
        <v>16</v>
      </c>
      <c r="AO162" s="62">
        <f t="shared" si="140"/>
        <v>1</v>
      </c>
      <c r="AP162" s="62">
        <f t="shared" si="122"/>
        <v>0</v>
      </c>
      <c r="AQ162" s="63">
        <f t="shared" si="123"/>
        <v>0</v>
      </c>
      <c r="AR162" s="62">
        <f t="shared" si="124"/>
        <v>0</v>
      </c>
      <c r="AS162" s="62">
        <f t="shared" si="141"/>
        <v>0</v>
      </c>
      <c r="AT162" s="64"/>
      <c r="AU162" s="64"/>
      <c r="AV162" s="65">
        <f t="shared" si="142"/>
        <v>12</v>
      </c>
      <c r="AW162" s="65">
        <f t="shared" si="143"/>
        <v>0</v>
      </c>
      <c r="AX162" s="64"/>
      <c r="AY162" s="64"/>
      <c r="AZ162" s="80"/>
      <c r="BA162" s="66">
        <f t="shared" si="127"/>
        <v>17</v>
      </c>
      <c r="BB162" s="67"/>
      <c r="BC162" s="68"/>
      <c r="BD162" s="69">
        <f>VLOOKUP($B162,[1]CN!$B$9:$DK$221,114,0)</f>
        <v>1</v>
      </c>
      <c r="BE162" s="70">
        <f t="shared" si="144"/>
        <v>27</v>
      </c>
      <c r="BF162" s="71" t="s">
        <v>92</v>
      </c>
      <c r="BG162" s="72" t="s">
        <v>34</v>
      </c>
      <c r="BH162" s="73" t="str">
        <f>VLOOKUP(B162,'[2]Bang luong_06'!$B$9:$C$333,2,0)</f>
        <v>Liêu Thông</v>
      </c>
      <c r="BI162" s="74" t="s">
        <v>349</v>
      </c>
      <c r="BJ162" s="75" t="str">
        <f>VLOOKUP($B162,'[2]Bang luong_06'!$B$10:$C$333,2,0)</f>
        <v>Liêu Thông</v>
      </c>
      <c r="BK162" s="76" t="b">
        <f t="shared" si="145"/>
        <v>1</v>
      </c>
      <c r="BM162" s="77" t="e">
        <f>+VLOOKUP(B162,'[2]Thưởng Lễ 2-9'!B117:G405,6,0)</f>
        <v>#N/A</v>
      </c>
      <c r="BN162" s="75">
        <f t="shared" si="146"/>
        <v>-6</v>
      </c>
      <c r="BO162" s="76" t="str">
        <f>+VLOOKUP(B162,'[2]Bang luong_06'!B126:D436,3,0)</f>
        <v>CNSX</v>
      </c>
      <c r="BP162" s="76" t="s">
        <v>40</v>
      </c>
      <c r="BQ162" s="76">
        <v>0</v>
      </c>
      <c r="BR162" s="76">
        <f>COUNTIF(D162:AI162,"N")+COUNTIF(D162:AI162,"N1")*1/AK162+COUNTIF(D162:AI162,"N2")*2/AK162+COUNTIF(D162:AI162,"N3")*3/AK162+COUNTIF(D162:AI162,"N4")*4/AK162+COUNTIF(D162:AI162,"N5")*5/AK162+COUNTIF(D162:AI162,"N6")*6/AK162+COUNTIF(D162:AI162,"N7")*7/AK162+COUNTIF(D162:AI162,"N8")*8/AK162+COUNTIF(D162:AI162,"N9")*9/AK162+COUNTIF(D162:AI162,"N10")*10/AK162+COUNTIF(D162:AI162,"N11")*11/AK162+COUNTIF(D162:AI162,"N12")*12/AK162+COUNTIF(D162:AI162,"Ro1")*1/AK162+COUNTIF(D162:AI162,"Ro2")*2/AK162+COUNTIF(D162:AI162,"Ro3")*3/AK162+COUNTIF(D162:AI162,"Ro3.0")*3/AK162+COUNTIF(D162:AI162,"Ro4")*4/AK162+COUNTIF(D162:AI162,"Ro4.0")*4/AK162+COUNTIF(D162:AI162,"Ro4.5")*4.5/AK162+COUNTIF(D162:AI162,"Ro5")*5/AK162+COUNTIF(D162:AI162,"Ro5.0")*5/AK162+COUNTIF(D162:AI162,"Ro5.5")*5.5/AK162+COUNTIF(D162:AI162,"Ro6")*6/AK162+COUNTIF(D162:AI162,"Ro7")*7/AK162+COUNTIF(D162:AI162,"Ro8")*8/AK162+COUNTIF(D162:AI162,"Ro8.0")*8/AK162+COUNTIF(D162:AI162,"Ro8.3")*8.3/AK162+COUNTIF(D162:AI162,"Ro8.5")*8.5/AK162+COUNTIF(D162:AI162,"Ro9")*9/AK162+COUNTIF(D162:AI162,"Ro9.5")*9.5/AK162+COUNTIF(D162:AI162,"Ro10")*10/AK162+COUNTIF(D162:AI162,"Ro10.0")*10/AK162+COUNTIF(D162:AI162,"Ro10.5")*10.5/AK162+COUNTIF(D162:AI162,"Ro11")*11/AK162+COUNTIF(D162:AI162,"Ro11.0")*11/AK162+COUNTIF(D162:AI162,"Ro11.5")*11.5/AK162+COUNTIF(D162:AI162,"P2")*0.5</f>
        <v>11</v>
      </c>
    </row>
    <row r="163" spans="1:70" s="84" customFormat="1" ht="31.5" customHeight="1" x14ac:dyDescent="0.25">
      <c r="A163" s="33" t="str">
        <f t="shared" si="133"/>
        <v/>
      </c>
      <c r="B163" s="46"/>
      <c r="C163" s="46" t="s">
        <v>356</v>
      </c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81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96" t="s">
        <v>357</v>
      </c>
      <c r="BG163" s="92" t="s">
        <v>34</v>
      </c>
      <c r="BH163" s="73"/>
      <c r="BI163" s="73"/>
      <c r="BJ163" s="75"/>
      <c r="BK163" s="76"/>
      <c r="BM163" s="77"/>
      <c r="BN163" s="75"/>
      <c r="BO163" s="76"/>
      <c r="BP163" s="76"/>
      <c r="BQ163" s="76"/>
      <c r="BR163" s="76" t="e">
        <f t="shared" ref="BR163:BR230" si="147">COUNTIF(D163:AI163,"N")+COUNTIF(D163:AI163,"N1")*1/AK163+COUNTIF(D163:AI163,"N2")*2/AK163+COUNTIF(D163:AI163,"N3")*3/AK163+COUNTIF(D163:AI163,"N4")*4/AK163+COUNTIF(D163:AI163,"N5")*5/AK163+COUNTIF(D163:AI163,"N6")*6/AK163+COUNTIF(D163:AI163,"N7")*7/AK163+COUNTIF(D163:AI163,"N8")*8/AK163+COUNTIF(D163:AI163,"N9")*9/AK163+COUNTIF(D163:AI163,"N10")*10/AK163+COUNTIF(D163:AI163,"N11")*11/AK163+COUNTIF(D163:AI163,"N12")*12/AK163+COUNTIF(D163:AI163,"Ro1")*1/AK163+COUNTIF(D163:AI163,"Ro2")*2/AK163+COUNTIF(D163:AI163,"Ro3")*3/AK163+COUNTIF(D163:AI163,"Ro3.0")*3/AK163+COUNTIF(D163:AI163,"Ro4")*4/AK163+COUNTIF(D163:AI163,"Ro4.0")*4/AK163+COUNTIF(D163:AI163,"Ro4.5")*4.5/AK163+COUNTIF(D163:AI163,"Ro5")*5/AK163+COUNTIF(D163:AI163,"Ro5.0")*5/AK163+COUNTIF(D163:AI163,"Ro5.5")*5.5/AK163+COUNTIF(D163:AI163,"Ro6")*6/AK163+COUNTIF(D163:AI163,"Ro7")*7/AK163+COUNTIF(D163:AI163,"Ro8")*8/AK163+COUNTIF(D163:AI163,"Ro8.0")*8/AK163+COUNTIF(D163:AI163,"Ro8.3")*8.3/AK163+COUNTIF(D163:AI163,"Ro8.5")*8.5/AK163+COUNTIF(D163:AI163,"Ro9")*9/AK163+COUNTIF(D163:AI163,"Ro9.5")*9.5/AK163+COUNTIF(D163:AI163,"Ro10")*10/AK163+COUNTIF(D163:AI163,"Ro10.0")*10/AK163+COUNTIF(D163:AI163,"Ro10.5")*10.5/AK163+COUNTIF(D163:AI163,"Ro11")*11/AK163+COUNTIF(D163:AI163,"Ro11.0")*11/AK163+COUNTIF(D163:AI163,"Ro11.5")*11.5/AK163+COUNTIF(D163:AI163,"P2")*0.5</f>
        <v>#DIV/0!</v>
      </c>
    </row>
    <row r="164" spans="1:70" s="76" customFormat="1" ht="31.5" customHeight="1" x14ac:dyDescent="0.25">
      <c r="A164" s="33">
        <f t="shared" si="133"/>
        <v>142</v>
      </c>
      <c r="B164" s="124" t="s">
        <v>358</v>
      </c>
      <c r="C164" s="55" t="s">
        <v>359</v>
      </c>
      <c r="D164" s="125">
        <v>40301</v>
      </c>
      <c r="E164" s="57" t="s">
        <v>37</v>
      </c>
      <c r="F164" s="86" t="s">
        <v>37</v>
      </c>
      <c r="G164" s="57" t="s">
        <v>37</v>
      </c>
      <c r="H164" s="57" t="s">
        <v>37</v>
      </c>
      <c r="I164" s="97" t="s">
        <v>37</v>
      </c>
      <c r="J164" s="97"/>
      <c r="K164" s="97" t="s">
        <v>38</v>
      </c>
      <c r="L164" s="97" t="s">
        <v>38</v>
      </c>
      <c r="M164" s="97" t="s">
        <v>38</v>
      </c>
      <c r="N164" s="97" t="s">
        <v>38</v>
      </c>
      <c r="O164" s="97" t="s">
        <v>38</v>
      </c>
      <c r="P164" s="97" t="s">
        <v>38</v>
      </c>
      <c r="Q164" s="97" t="s">
        <v>506</v>
      </c>
      <c r="R164" s="97" t="s">
        <v>38</v>
      </c>
      <c r="S164" s="97" t="s">
        <v>38</v>
      </c>
      <c r="T164" s="97" t="s">
        <v>38</v>
      </c>
      <c r="U164" s="97" t="s">
        <v>38</v>
      </c>
      <c r="V164" s="97" t="s">
        <v>38</v>
      </c>
      <c r="W164" s="97" t="s">
        <v>38</v>
      </c>
      <c r="X164" s="97" t="s">
        <v>506</v>
      </c>
      <c r="Y164" s="97"/>
      <c r="Z164" s="57"/>
      <c r="AA164" s="57"/>
      <c r="AB164" s="57"/>
      <c r="AC164" s="57"/>
      <c r="AD164" s="57"/>
      <c r="AE164" s="57"/>
      <c r="AF164" s="57"/>
      <c r="AG164" s="100"/>
      <c r="AH164" s="100"/>
      <c r="AI164" s="100"/>
      <c r="AJ164" s="58">
        <v>10110505</v>
      </c>
      <c r="AK164" s="59">
        <v>12</v>
      </c>
      <c r="AL164" s="60">
        <f t="shared" ref="AL164:AL178" si="148">COUNTIF(D164:AI164,"N")+COUNTIF(D164:AI164,"N1")*1/AK164+COUNTIF(D164:AI164,"N2")*2/AK164+COUNTIF(D164:AI164,"N3")*3/AK164+COUNTIF(D164:AI164,"N4")*4/AK164+COUNTIF(D164:AI164,"N5")*5/AK164+COUNTIF(D164:AI164,"N6")*6/AK164+COUNTIF(D164:AI164,"N7")*7/AK164+COUNTIF(D164:AI164,"N8")*8/AK164+COUNTIF(D164:AI164,"N9")*9/AK164+COUNTIF(D164:AI164,"N10")*10/AK164+COUNTIF(D164:AI164,"N11")*11/AK164+COUNTIF(D164:AI164,"N12")*12/AK164+COUNTIF(D164:AI164,"Ro1")*1/AK164+COUNTIF(D164:AI164,"Ro2")*2/AK164+COUNTIF(D164:AI164,"Ro3")*3/AK164+COUNTIF(D164:AI164,"Ro3.0")*3/AK164+COUNTIF(D164:AI164,"Ro4")*4/AK164+COUNTIF(D164:AI164,"Ro4.0")*4/AK164+COUNTIF(D164:AI164,"Ro4.5")*4.5/AK164+COUNTIF(D164:AI164,"Ro5")*5/AK164+COUNTIF(D164:AI164,"Ro5.0")*5/AK164+COUNTIF(D164:AI164,"Ro5.5")*5.5/AK164+COUNTIF(D164:AI164,"Ro6")*6/AK164+COUNTIF(D164:AI164,"Ro7")*7/AK164+COUNTIF(D164:AI164,"Ro8")*8/AK164+COUNTIF(D164:AI164,"Ro8.0")*8/AK164+COUNTIF(D164:AI164,"Ro8.3")*8.3/AK164+COUNTIF(D164:AI164,"Ro8.5")*8.5/AK164+COUNTIF(D164:AI164,"Ro9")*9/AK164+COUNTIF(D164:AI164,"Ro9.5")*9.5/AK164+COUNTIF(D164:AI164,"Ro10")*10/AK164+COUNTIF(D164:AI164,"Ro10.0")*10/AK164+COUNTIF(D164:AI164,"Ro10.5")*10.5/AK164+COUNTIF(D164:AI164,"Ro11")*11/AK164+COUNTIF(D164:AI164,"Ro11.0")*11/AK164+COUNTIF(D164:AI164,"Ro11.5")*11.5/AK164+COUNTIF(D164:AI164,"Bu1")+COUNTIF(D164:AI164,"Bu2")+COUNTIF(D164:AI164,"Bu3")+COUNTIF(D164:AI164,"Bu4")+COUNTIF(D164:AI164,"Bu5")+COUNTIF(D164:AI164,"Bu6")+COUNTIF(D164:AI164,"Bu7")+COUNTIF(D164:AI164,"Bu8")+COUNTIF(D164:AI164,"Bu9")+COUNTIF(D164:AI164,"Bu10")+COUNTIF(D164:AI164,"Bu11")+COUNTIF(D164:AI164,"Bu")+COUNTIF(D164:AI164,"P2")*0.5</f>
        <v>12</v>
      </c>
      <c r="AM164" s="61">
        <f t="shared" ref="AM164:AM178" si="149">COUNTIF(E164:AI164,"D")+COUNTIF(E164:AI164,"D1")*1/AK164+COUNTIF(E164:AI164,"D2")*2/AK164+COUNTIF(E164:AI164,"D3")*3/AK164+COUNTIF(E164:AI164,"D4")*4/AK164+COUNTIF(E164:AI164,"D5")*5/AK164+COUNTIF(E164:AI164,"D6")*6/AK164+COUNTIF(E164:AI164,"D7")*7/AK164+COUNTIF(E164:AI164,"D8")*8/AK164+COUNTIF(E164:AI164,"D9")*9/AK164+COUNTIF(E164:AI164,"D10")*10/AK164+COUNTIF(E164:AI164,"D11")*11/AK164+COUNTIF(E164:AI164,"D12")*12/AK164</f>
        <v>5</v>
      </c>
      <c r="AN164" s="62">
        <f t="shared" ref="AN164:AN176" si="150">+AL164+AM164</f>
        <v>17</v>
      </c>
      <c r="AO164" s="62">
        <f t="shared" ref="AO164:AO178" si="151">COUNTIF(E164:AI164,"p")+COUNTIF(E164:AI164,"p1")/2+COUNTIF(E164:AI164,"p2")/2</f>
        <v>0</v>
      </c>
      <c r="AP164" s="62">
        <f t="shared" ref="AP164:AP178" si="152">COUNTIF(E164:AI164,"K")</f>
        <v>0</v>
      </c>
      <c r="AQ164" s="63">
        <f t="shared" ref="AQ164:AQ178" si="153">COUNTIF(E164:AI164,"Ro")+COUNTIF(E164:AI164,"Ro1")*11/AK164+COUNTIF(E164:AI164,"Ro2")*10/AK164+COUNTIF(E164:AI164,"Ro3")*9/AK164+COUNTIF(E164:AI164,"Ro3.0")*9/AK164+COUNTIF(E164:AI164,"Ro4")*8/AK164+COUNTIF(E164:AI164,"Ro4.0")*8/AK164+COUNTIF(E164:AI164,"Ro4.5")*7.5/AK164+COUNTIF(E164:AI164,"Ro5")*7/AK164+COUNTIF(E164:AI164,"Ro5.0")*7/AK164+COUNTIF(E164:AI164,"Ro5.5")*6.5/AK164+COUNTIF(E164:AI164,"Ro6")*6/AK164+COUNTIF(E164:AI164,"Ro7")*5/AK164+COUNTIF(E164:AI164,"Ro8")*4/AK164+COUNTIF(E164:AI164,"Ro8.0")*4/AK164+COUNTIF(E164:AI164,"Ro8.3")*3.7/AK164+COUNTIF(E164:AI164,"Ro8.5")*3.5/AK164+COUNTIF(E164:AI164,"Ro9")*3/AK164+COUNTIF(E164:AI164,"Ro10")*2/AK164+COUNTIF(E164:AI164,"Ro10.0")*2/AK164+COUNTIF(E164:AI164,"Ro10.5")*1.5/AK164+COUNTIF(E164:AI164,"Ro11.0")*1/AK164+COUNTIF(E164:AI164,"Ro11")*1/AK164+COUNTIF(E164:AI164,"Ro11.5")*0.5/AK164+COUNTIF(E164:AI164,"N1")*11/AK164+COUNTIF(E164:AI164,"N2")*10/AK164+COUNTIF(E164:AI164,"N3")*9/AK164+COUNTIF(E164:AI164,"N4")*8/AK164+COUNTIF(E164:AI164,"N5")*7/AK164+COUNTIF(E164:AI164,"N6")*6/AK164+COUNTIF(E164:AI164,"N7")*5/AK164+COUNTIF(E164:AI164,"N8")*4/AK164+COUNTIF(E164:AI164,"N9")*3/AK164+COUNTIF(E164:AI164,"N10")*2/AK164+COUNTIF(E164:AI164,"N11")*1/AK164+COUNTIF(E164:AI164,"D1")*11/AK164+COUNTIF(E164:AI164,"D2")*10/AK164+COUNTIF(E164:AI164,"D3")*9/AK164+COUNTIF(E164:AI164,"D4")*8/AK164+COUNTIF(E164:AI164,"D5")*7/AK164+COUNTIF(E164:AI164,"D6")*6/AK164+COUNTIF(E164:AI164,"D7")*5/AK164+COUNTIF(E164:AI164,"D8")*4/AK164+COUNTIF(E164:AI164,"D9")*3/AK164+COUNTIF(E164:AI164,"D10")*2/AK164+COUNTIF(E164:AI164,"D11")*1/AK164+COUNTIF(E164:AI164,"P1")*0.5</f>
        <v>0</v>
      </c>
      <c r="AR164" s="62">
        <f t="shared" ref="AR164:AR178" si="154">COUNTIF(E164:AI164,"R")</f>
        <v>0</v>
      </c>
      <c r="AS164" s="62">
        <f t="shared" ref="AS164:AS178" si="155">COUNTIF(E164:AI164,"L")</f>
        <v>0</v>
      </c>
      <c r="AT164" s="64"/>
      <c r="AU164" s="64"/>
      <c r="AV164" s="65">
        <f t="shared" ref="AV164:AV178" si="156">COUNTIF(E164:AI164,"12N")*12</f>
        <v>24</v>
      </c>
      <c r="AW164" s="65">
        <f t="shared" ref="AW164:AW178" si="157">COUNTIF(F164:AI164,"12D")*12</f>
        <v>0</v>
      </c>
      <c r="AX164" s="64"/>
      <c r="AY164" s="64"/>
      <c r="AZ164" s="80"/>
      <c r="BA164" s="66">
        <f t="shared" si="127"/>
        <v>17</v>
      </c>
      <c r="BB164" s="67"/>
      <c r="BC164" s="68"/>
      <c r="BD164" s="69">
        <f>VLOOKUP($B164,[1]CN!$B$9:$DK$221,114,0)</f>
        <v>4.5</v>
      </c>
      <c r="BE164" s="70">
        <f t="shared" ref="BE164:BE178" si="158">+$AI$8-$E$8+1-INT(($AI$8-$E$8-WEEKDAY($AI$8)+8)/7)</f>
        <v>27</v>
      </c>
      <c r="BF164" s="71" t="s">
        <v>92</v>
      </c>
      <c r="BG164" s="72" t="s">
        <v>34</v>
      </c>
      <c r="BH164" s="73" t="str">
        <f>VLOOKUP(B164,'[2]Bang luong_06'!$B$9:$C$333,2,0)</f>
        <v>Lâm Kim Long</v>
      </c>
      <c r="BI164" s="74" t="s">
        <v>358</v>
      </c>
      <c r="BJ164" s="75" t="str">
        <f>VLOOKUP($B164,'[2]Bang luong_06'!$B$10:$C$333,2,0)</f>
        <v>Lâm Kim Long</v>
      </c>
      <c r="BK164" s="76" t="b">
        <f t="shared" ref="BK164:BK178" si="159">BJ164=C164</f>
        <v>1</v>
      </c>
      <c r="BM164" s="77">
        <f>+VLOOKUP(B164,'[2]Thưởng Lễ 2-9'!B127:G415,6,0)</f>
        <v>0</v>
      </c>
      <c r="BN164" s="75">
        <f t="shared" ref="BN164:BN178" si="160">ROUND(($BN$12-D164)/30,0)</f>
        <v>174</v>
      </c>
      <c r="BO164" s="76" t="str">
        <f>+VLOOKUP(B164,'[2]Bang luong_06'!B136:D446,3,0)</f>
        <v>Tổ trưởng</v>
      </c>
      <c r="BP164" s="76" t="s">
        <v>40</v>
      </c>
      <c r="BQ164" s="76">
        <v>-0.5</v>
      </c>
      <c r="BR164" s="76">
        <f t="shared" si="147"/>
        <v>12</v>
      </c>
    </row>
    <row r="165" spans="1:70" s="76" customFormat="1" ht="31.5" customHeight="1" x14ac:dyDescent="0.25">
      <c r="A165" s="33">
        <f t="shared" si="133"/>
        <v>143</v>
      </c>
      <c r="B165" s="33" t="s">
        <v>360</v>
      </c>
      <c r="C165" s="55" t="s">
        <v>361</v>
      </c>
      <c r="D165" s="56">
        <v>43200</v>
      </c>
      <c r="E165" s="57" t="s">
        <v>37</v>
      </c>
      <c r="F165" s="86" t="s">
        <v>37</v>
      </c>
      <c r="G165" s="57" t="s">
        <v>37</v>
      </c>
      <c r="H165" s="57" t="s">
        <v>37</v>
      </c>
      <c r="I165" s="97" t="s">
        <v>37</v>
      </c>
      <c r="J165" s="97"/>
      <c r="K165" s="97" t="s">
        <v>38</v>
      </c>
      <c r="L165" s="97" t="s">
        <v>38</v>
      </c>
      <c r="M165" s="97" t="s">
        <v>38</v>
      </c>
      <c r="N165" s="97" t="s">
        <v>38</v>
      </c>
      <c r="O165" s="97" t="s">
        <v>38</v>
      </c>
      <c r="P165" s="97" t="s">
        <v>38</v>
      </c>
      <c r="Q165" s="97" t="s">
        <v>506</v>
      </c>
      <c r="R165" s="97" t="s">
        <v>38</v>
      </c>
      <c r="S165" s="97" t="s">
        <v>38</v>
      </c>
      <c r="T165" s="97" t="s">
        <v>38</v>
      </c>
      <c r="U165" s="97" t="s">
        <v>38</v>
      </c>
      <c r="V165" s="97" t="s">
        <v>38</v>
      </c>
      <c r="W165" s="97" t="s">
        <v>38</v>
      </c>
      <c r="X165" s="97" t="s">
        <v>506</v>
      </c>
      <c r="Y165" s="97"/>
      <c r="Z165" s="57"/>
      <c r="AA165" s="57"/>
      <c r="AB165" s="57"/>
      <c r="AC165" s="57"/>
      <c r="AD165" s="57"/>
      <c r="AE165" s="57"/>
      <c r="AF165" s="57"/>
      <c r="AG165" s="100"/>
      <c r="AH165" s="100"/>
      <c r="AI165" s="100"/>
      <c r="AJ165" s="58">
        <v>10110505</v>
      </c>
      <c r="AK165" s="59">
        <v>12</v>
      </c>
      <c r="AL165" s="60">
        <f t="shared" si="148"/>
        <v>12</v>
      </c>
      <c r="AM165" s="61">
        <f t="shared" si="149"/>
        <v>5</v>
      </c>
      <c r="AN165" s="62">
        <f t="shared" si="150"/>
        <v>17</v>
      </c>
      <c r="AO165" s="62">
        <f t="shared" si="151"/>
        <v>0</v>
      </c>
      <c r="AP165" s="62">
        <f t="shared" si="152"/>
        <v>0</v>
      </c>
      <c r="AQ165" s="63">
        <f t="shared" si="153"/>
        <v>0</v>
      </c>
      <c r="AR165" s="62">
        <f t="shared" si="154"/>
        <v>0</v>
      </c>
      <c r="AS165" s="62">
        <f t="shared" si="155"/>
        <v>0</v>
      </c>
      <c r="AT165" s="64"/>
      <c r="AU165" s="64"/>
      <c r="AV165" s="65">
        <f t="shared" si="156"/>
        <v>24</v>
      </c>
      <c r="AW165" s="65">
        <f t="shared" si="157"/>
        <v>0</v>
      </c>
      <c r="AX165" s="64"/>
      <c r="AY165" s="64"/>
      <c r="AZ165" s="80"/>
      <c r="BA165" s="66">
        <f t="shared" si="127"/>
        <v>17</v>
      </c>
      <c r="BB165" s="67"/>
      <c r="BC165" s="94"/>
      <c r="BD165" s="69">
        <f>VLOOKUP($B165,[1]CN!$B$9:$DK$221,114,0)</f>
        <v>4</v>
      </c>
      <c r="BE165" s="70">
        <f t="shared" si="158"/>
        <v>27</v>
      </c>
      <c r="BF165" s="71" t="s">
        <v>92</v>
      </c>
      <c r="BG165" s="72">
        <v>0</v>
      </c>
      <c r="BH165" s="73" t="str">
        <f>VLOOKUP(B165,'[2]Bang luong_06'!$B$9:$C$333,2,0)</f>
        <v>Võ Văn Ngàn</v>
      </c>
      <c r="BI165" s="74" t="s">
        <v>360</v>
      </c>
      <c r="BJ165" s="75" t="str">
        <f>VLOOKUP($B165,'[2]Bang luong_06'!$B$10:$C$333,2,0)</f>
        <v>Võ Văn Ngàn</v>
      </c>
      <c r="BK165" s="76" t="b">
        <f t="shared" si="159"/>
        <v>1</v>
      </c>
      <c r="BM165" s="77">
        <f>+VLOOKUP(B165,'[2]Thưởng Lễ 2-9'!B130:G418,6,0)</f>
        <v>0</v>
      </c>
      <c r="BN165" s="75">
        <f t="shared" si="160"/>
        <v>78</v>
      </c>
      <c r="BO165" s="76" t="str">
        <f>+VLOOKUP(B165,'[2]Bang luong_06'!B140:D449,3,0)</f>
        <v>CNSX</v>
      </c>
      <c r="BP165" s="76" t="s">
        <v>40</v>
      </c>
      <c r="BQ165" s="76">
        <v>8.5</v>
      </c>
      <c r="BR165" s="76">
        <f t="shared" si="147"/>
        <v>12</v>
      </c>
    </row>
    <row r="166" spans="1:70" s="76" customFormat="1" ht="31.5" customHeight="1" x14ac:dyDescent="0.25">
      <c r="A166" s="33">
        <f t="shared" si="133"/>
        <v>144</v>
      </c>
      <c r="B166" s="33" t="s">
        <v>362</v>
      </c>
      <c r="C166" s="55" t="s">
        <v>363</v>
      </c>
      <c r="D166" s="56">
        <v>44979</v>
      </c>
      <c r="E166" s="57" t="s">
        <v>38</v>
      </c>
      <c r="F166" s="97" t="s">
        <v>38</v>
      </c>
      <c r="G166" s="97" t="s">
        <v>38</v>
      </c>
      <c r="H166" s="97" t="s">
        <v>38</v>
      </c>
      <c r="I166" s="97" t="s">
        <v>38</v>
      </c>
      <c r="J166" s="97" t="s">
        <v>506</v>
      </c>
      <c r="K166" s="97" t="s">
        <v>37</v>
      </c>
      <c r="L166" s="97" t="s">
        <v>37</v>
      </c>
      <c r="M166" s="97" t="s">
        <v>37</v>
      </c>
      <c r="N166" s="97" t="s">
        <v>37</v>
      </c>
      <c r="O166" s="97" t="s">
        <v>37</v>
      </c>
      <c r="P166" s="97" t="s">
        <v>37</v>
      </c>
      <c r="Q166" s="97" t="s">
        <v>507</v>
      </c>
      <c r="R166" s="97" t="s">
        <v>37</v>
      </c>
      <c r="S166" s="97" t="s">
        <v>37</v>
      </c>
      <c r="T166" s="97" t="s">
        <v>37</v>
      </c>
      <c r="U166" s="97" t="s">
        <v>37</v>
      </c>
      <c r="V166" s="57" t="s">
        <v>37</v>
      </c>
      <c r="W166" s="97" t="s">
        <v>37</v>
      </c>
      <c r="X166" s="97"/>
      <c r="Y166" s="97"/>
      <c r="Z166" s="57"/>
      <c r="AA166" s="57"/>
      <c r="AB166" s="57"/>
      <c r="AC166" s="57"/>
      <c r="AD166" s="57"/>
      <c r="AE166" s="57"/>
      <c r="AF166" s="57"/>
      <c r="AG166" s="100"/>
      <c r="AH166" s="100"/>
      <c r="AI166" s="100"/>
      <c r="AJ166" s="58">
        <v>10110505</v>
      </c>
      <c r="AK166" s="59">
        <v>12</v>
      </c>
      <c r="AL166" s="60">
        <f t="shared" si="148"/>
        <v>5</v>
      </c>
      <c r="AM166" s="61">
        <f t="shared" si="149"/>
        <v>12</v>
      </c>
      <c r="AN166" s="62">
        <f t="shared" si="150"/>
        <v>17</v>
      </c>
      <c r="AO166" s="62">
        <f t="shared" si="151"/>
        <v>0</v>
      </c>
      <c r="AP166" s="62">
        <f t="shared" si="152"/>
        <v>0</v>
      </c>
      <c r="AQ166" s="63">
        <f t="shared" si="153"/>
        <v>0</v>
      </c>
      <c r="AR166" s="62">
        <f t="shared" si="154"/>
        <v>0</v>
      </c>
      <c r="AS166" s="62">
        <f t="shared" si="155"/>
        <v>0</v>
      </c>
      <c r="AT166" s="64"/>
      <c r="AU166" s="64"/>
      <c r="AV166" s="65">
        <f t="shared" si="156"/>
        <v>12</v>
      </c>
      <c r="AW166" s="65">
        <f t="shared" si="157"/>
        <v>12</v>
      </c>
      <c r="AX166" s="64"/>
      <c r="AY166" s="64"/>
      <c r="AZ166" s="80"/>
      <c r="BA166" s="66">
        <f t="shared" si="127"/>
        <v>17</v>
      </c>
      <c r="BB166" s="67"/>
      <c r="BC166" s="68"/>
      <c r="BD166" s="69">
        <f>VLOOKUP($B166,[1]CN!$B$9:$DK$221,114,0)</f>
        <v>1</v>
      </c>
      <c r="BE166" s="70">
        <f t="shared" si="158"/>
        <v>27</v>
      </c>
      <c r="BF166" s="71" t="s">
        <v>92</v>
      </c>
      <c r="BG166" s="72" t="s">
        <v>34</v>
      </c>
      <c r="BH166" s="73" t="str">
        <f>VLOOKUP(B166,'[2]Bang luong_06'!$B$9:$C$333,2,0)</f>
        <v>Lê Hoàng Tuấn</v>
      </c>
      <c r="BI166" s="74" t="s">
        <v>362</v>
      </c>
      <c r="BJ166" s="75" t="str">
        <f>VLOOKUP($B166,'[2]Bang luong_06'!$B$10:$C$333,2,0)</f>
        <v>Lê Hoàng Tuấn</v>
      </c>
      <c r="BK166" s="76" t="b">
        <f t="shared" si="159"/>
        <v>1</v>
      </c>
      <c r="BM166" s="77">
        <f>+VLOOKUP(B166,'[2]Thưởng Lễ 2-9'!B30:G320,6,0)</f>
        <v>0</v>
      </c>
      <c r="BN166" s="75">
        <f t="shared" si="160"/>
        <v>19</v>
      </c>
      <c r="BO166" s="76" t="str">
        <f>+VLOOKUP(B166,'[2]Bang luong_06'!B40:D352,3,0)</f>
        <v>CNSX</v>
      </c>
      <c r="BP166" s="76" t="s">
        <v>40</v>
      </c>
      <c r="BQ166" s="76">
        <v>3</v>
      </c>
      <c r="BR166" s="76">
        <f t="shared" si="147"/>
        <v>5</v>
      </c>
    </row>
    <row r="167" spans="1:70" s="76" customFormat="1" ht="31.5" customHeight="1" x14ac:dyDescent="0.25">
      <c r="A167" s="33">
        <f t="shared" si="133"/>
        <v>145</v>
      </c>
      <c r="B167" s="78" t="s">
        <v>364</v>
      </c>
      <c r="C167" s="55" t="s">
        <v>365</v>
      </c>
      <c r="D167" s="56">
        <v>45365</v>
      </c>
      <c r="E167" s="86" t="s">
        <v>37</v>
      </c>
      <c r="F167" s="86" t="s">
        <v>37</v>
      </c>
      <c r="G167" s="57" t="s">
        <v>37</v>
      </c>
      <c r="H167" s="57" t="s">
        <v>37</v>
      </c>
      <c r="I167" s="97" t="s">
        <v>37</v>
      </c>
      <c r="J167" s="97"/>
      <c r="K167" s="97" t="s">
        <v>38</v>
      </c>
      <c r="L167" s="97" t="s">
        <v>38</v>
      </c>
      <c r="M167" s="97" t="s">
        <v>38</v>
      </c>
      <c r="N167" s="97" t="s">
        <v>38</v>
      </c>
      <c r="O167" s="97" t="s">
        <v>38</v>
      </c>
      <c r="P167" s="97" t="s">
        <v>38</v>
      </c>
      <c r="Q167" s="97" t="s">
        <v>506</v>
      </c>
      <c r="R167" s="97" t="s">
        <v>38</v>
      </c>
      <c r="S167" s="97" t="s">
        <v>38</v>
      </c>
      <c r="T167" s="97" t="s">
        <v>38</v>
      </c>
      <c r="U167" s="97" t="s">
        <v>38</v>
      </c>
      <c r="V167" s="97" t="s">
        <v>38</v>
      </c>
      <c r="W167" s="97" t="s">
        <v>38</v>
      </c>
      <c r="X167" s="97" t="s">
        <v>506</v>
      </c>
      <c r="Y167" s="97"/>
      <c r="Z167" s="57"/>
      <c r="AA167" s="57"/>
      <c r="AB167" s="57"/>
      <c r="AC167" s="57"/>
      <c r="AD167" s="57"/>
      <c r="AE167" s="57"/>
      <c r="AF167" s="57"/>
      <c r="AG167" s="100"/>
      <c r="AH167" s="100"/>
      <c r="AI167" s="100"/>
      <c r="AJ167" s="58">
        <v>10110505</v>
      </c>
      <c r="AK167" s="59">
        <v>12</v>
      </c>
      <c r="AL167" s="60">
        <f t="shared" si="148"/>
        <v>12</v>
      </c>
      <c r="AM167" s="61">
        <f t="shared" si="149"/>
        <v>5</v>
      </c>
      <c r="AN167" s="62">
        <f t="shared" si="150"/>
        <v>17</v>
      </c>
      <c r="AO167" s="62">
        <f t="shared" si="151"/>
        <v>0</v>
      </c>
      <c r="AP167" s="62">
        <f t="shared" si="152"/>
        <v>0</v>
      </c>
      <c r="AQ167" s="63">
        <f t="shared" si="153"/>
        <v>0</v>
      </c>
      <c r="AR167" s="62">
        <f t="shared" si="154"/>
        <v>0</v>
      </c>
      <c r="AS167" s="62">
        <f t="shared" si="155"/>
        <v>0</v>
      </c>
      <c r="AT167" s="64"/>
      <c r="AU167" s="64"/>
      <c r="AV167" s="65">
        <f t="shared" si="156"/>
        <v>24</v>
      </c>
      <c r="AW167" s="65">
        <f t="shared" si="157"/>
        <v>0</v>
      </c>
      <c r="AX167" s="64"/>
      <c r="AY167" s="64"/>
      <c r="AZ167" s="80"/>
      <c r="BA167" s="66">
        <f t="shared" si="127"/>
        <v>17</v>
      </c>
      <c r="BB167" s="67"/>
      <c r="BC167" s="68"/>
      <c r="BD167" s="69">
        <f>VLOOKUP($B167,[1]CN!$B$9:$DK$221,114,0)</f>
        <v>2</v>
      </c>
      <c r="BE167" s="70">
        <f t="shared" si="158"/>
        <v>27</v>
      </c>
      <c r="BF167" s="71" t="s">
        <v>92</v>
      </c>
      <c r="BG167" s="72" t="s">
        <v>34</v>
      </c>
      <c r="BH167" s="73" t="str">
        <f>VLOOKUP(B167,'[2]Bang luong_06'!$B$9:$C$333,2,0)</f>
        <v xml:space="preserve">Nguyễn Thanh Phong </v>
      </c>
      <c r="BI167" s="74" t="s">
        <v>364</v>
      </c>
      <c r="BJ167" s="75" t="str">
        <f>VLOOKUP($B167,'[2]Bang luong_06'!$B$10:$C$333,2,0)</f>
        <v xml:space="preserve">Nguyễn Thanh Phong </v>
      </c>
      <c r="BK167" s="76" t="b">
        <f t="shared" si="159"/>
        <v>1</v>
      </c>
      <c r="BM167" s="77">
        <f>+VLOOKUP(B167,'[2]Thưởng Lễ 2-9'!B138:G426,6,0)</f>
        <v>0</v>
      </c>
      <c r="BN167" s="75">
        <f t="shared" si="160"/>
        <v>6</v>
      </c>
      <c r="BO167" s="76" t="str">
        <f>+VLOOKUP(B167,'[2]Bang luong_06'!B146:D457,3,0)</f>
        <v>CNSX</v>
      </c>
      <c r="BP167" s="76" t="s">
        <v>40</v>
      </c>
      <c r="BQ167" s="76">
        <v>1</v>
      </c>
      <c r="BR167" s="76">
        <f t="shared" si="147"/>
        <v>12</v>
      </c>
    </row>
    <row r="168" spans="1:70" s="76" customFormat="1" ht="31.5" customHeight="1" x14ac:dyDescent="0.25">
      <c r="A168" s="33">
        <f t="shared" si="133"/>
        <v>146</v>
      </c>
      <c r="B168" s="33" t="s">
        <v>366</v>
      </c>
      <c r="C168" s="55" t="s">
        <v>367</v>
      </c>
      <c r="D168" s="56">
        <v>45398</v>
      </c>
      <c r="E168" s="57" t="s">
        <v>38</v>
      </c>
      <c r="F168" s="97" t="s">
        <v>38</v>
      </c>
      <c r="G168" s="97" t="s">
        <v>38</v>
      </c>
      <c r="H168" s="97" t="s">
        <v>38</v>
      </c>
      <c r="I168" s="97" t="s">
        <v>38</v>
      </c>
      <c r="J168" s="97" t="s">
        <v>506</v>
      </c>
      <c r="K168" s="97" t="s">
        <v>37</v>
      </c>
      <c r="L168" s="97" t="s">
        <v>37</v>
      </c>
      <c r="M168" s="97" t="s">
        <v>37</v>
      </c>
      <c r="N168" s="97" t="s">
        <v>37</v>
      </c>
      <c r="O168" s="97" t="s">
        <v>37</v>
      </c>
      <c r="P168" s="97" t="s">
        <v>37</v>
      </c>
      <c r="Q168" s="97" t="s">
        <v>507</v>
      </c>
      <c r="R168" s="97" t="s">
        <v>37</v>
      </c>
      <c r="S168" s="97" t="s">
        <v>37</v>
      </c>
      <c r="T168" s="97" t="s">
        <v>37</v>
      </c>
      <c r="U168" s="97" t="s">
        <v>37</v>
      </c>
      <c r="V168" s="57" t="s">
        <v>37</v>
      </c>
      <c r="W168" s="97" t="s">
        <v>37</v>
      </c>
      <c r="X168" s="97"/>
      <c r="Y168" s="97"/>
      <c r="Z168" s="57"/>
      <c r="AA168" s="57"/>
      <c r="AB168" s="57"/>
      <c r="AC168" s="57"/>
      <c r="AD168" s="57"/>
      <c r="AE168" s="57"/>
      <c r="AF168" s="57"/>
      <c r="AG168" s="100"/>
      <c r="AH168" s="100"/>
      <c r="AI168" s="100"/>
      <c r="AJ168" s="58">
        <v>10110505</v>
      </c>
      <c r="AK168" s="59">
        <v>12</v>
      </c>
      <c r="AL168" s="60">
        <f t="shared" si="148"/>
        <v>5</v>
      </c>
      <c r="AM168" s="61">
        <f t="shared" si="149"/>
        <v>12</v>
      </c>
      <c r="AN168" s="62">
        <f t="shared" si="150"/>
        <v>17</v>
      </c>
      <c r="AO168" s="62">
        <f t="shared" si="151"/>
        <v>0</v>
      </c>
      <c r="AP168" s="62">
        <f t="shared" si="152"/>
        <v>0</v>
      </c>
      <c r="AQ168" s="63">
        <f t="shared" si="153"/>
        <v>0</v>
      </c>
      <c r="AR168" s="62">
        <f t="shared" si="154"/>
        <v>0</v>
      </c>
      <c r="AS168" s="62">
        <f t="shared" si="155"/>
        <v>0</v>
      </c>
      <c r="AT168" s="64"/>
      <c r="AU168" s="64"/>
      <c r="AV168" s="65">
        <f t="shared" si="156"/>
        <v>12</v>
      </c>
      <c r="AW168" s="65">
        <f t="shared" si="157"/>
        <v>12</v>
      </c>
      <c r="AX168" s="64"/>
      <c r="AY168" s="64"/>
      <c r="AZ168" s="80"/>
      <c r="BA168" s="66">
        <f t="shared" si="127"/>
        <v>17</v>
      </c>
      <c r="BB168" s="67"/>
      <c r="BC168" s="68"/>
      <c r="BD168" s="69">
        <f>VLOOKUP($B168,[1]CN!$B$9:$DK$221,114,0)</f>
        <v>3</v>
      </c>
      <c r="BE168" s="70">
        <f t="shared" si="158"/>
        <v>27</v>
      </c>
      <c r="BF168" s="71" t="s">
        <v>92</v>
      </c>
      <c r="BG168" s="72">
        <v>0</v>
      </c>
      <c r="BH168" s="73" t="str">
        <f>VLOOKUP(B168,'[2]Bang luong_06'!$B$9:$C$333,2,0)</f>
        <v>Đỗ Công Danh</v>
      </c>
      <c r="BI168" s="74" t="s">
        <v>366</v>
      </c>
      <c r="BJ168" s="75" t="str">
        <f>VLOOKUP($B168,'[2]Bang luong_06'!$B$10:$C$333,2,0)</f>
        <v>Đỗ Công Danh</v>
      </c>
      <c r="BK168" s="76" t="b">
        <f t="shared" si="159"/>
        <v>1</v>
      </c>
      <c r="BM168" s="77">
        <f>+VLOOKUP(B168,'[2]Thưởng Lễ 2-9'!B140:G428,6,0)</f>
        <v>0</v>
      </c>
      <c r="BN168" s="75">
        <f t="shared" si="160"/>
        <v>5</v>
      </c>
      <c r="BO168" s="76" t="str">
        <f>+VLOOKUP(B168,'[2]Bang luong_06'!B148:D459,3,0)</f>
        <v>CNSX</v>
      </c>
      <c r="BP168" s="76" t="s">
        <v>40</v>
      </c>
      <c r="BQ168" s="76">
        <v>8</v>
      </c>
      <c r="BR168" s="76">
        <f t="shared" si="147"/>
        <v>5</v>
      </c>
    </row>
    <row r="169" spans="1:70" s="76" customFormat="1" ht="31.5" customHeight="1" x14ac:dyDescent="0.25">
      <c r="A169" s="33">
        <f t="shared" si="133"/>
        <v>147</v>
      </c>
      <c r="B169" s="33" t="s">
        <v>368</v>
      </c>
      <c r="C169" s="55" t="s">
        <v>369</v>
      </c>
      <c r="D169" s="56">
        <v>41414</v>
      </c>
      <c r="E169" s="57" t="s">
        <v>38</v>
      </c>
      <c r="F169" s="97" t="s">
        <v>38</v>
      </c>
      <c r="G169" s="97" t="s">
        <v>38</v>
      </c>
      <c r="H169" s="97" t="s">
        <v>38</v>
      </c>
      <c r="I169" s="97" t="s">
        <v>38</v>
      </c>
      <c r="J169" s="57" t="s">
        <v>506</v>
      </c>
      <c r="K169" s="57" t="s">
        <v>37</v>
      </c>
      <c r="L169" s="57" t="s">
        <v>37</v>
      </c>
      <c r="M169" s="57" t="s">
        <v>37</v>
      </c>
      <c r="N169" s="97" t="s">
        <v>37</v>
      </c>
      <c r="O169" s="97" t="s">
        <v>37</v>
      </c>
      <c r="P169" s="97" t="s">
        <v>37</v>
      </c>
      <c r="Q169" s="57" t="s">
        <v>507</v>
      </c>
      <c r="R169" s="57" t="s">
        <v>37</v>
      </c>
      <c r="S169" s="57" t="s">
        <v>37</v>
      </c>
      <c r="T169" s="57" t="s">
        <v>37</v>
      </c>
      <c r="U169" s="97" t="s">
        <v>37</v>
      </c>
      <c r="V169" s="97" t="s">
        <v>37</v>
      </c>
      <c r="W169" s="97" t="s">
        <v>37</v>
      </c>
      <c r="X169" s="97"/>
      <c r="Y169" s="97"/>
      <c r="Z169" s="57"/>
      <c r="AA169" s="57"/>
      <c r="AB169" s="57"/>
      <c r="AC169" s="57"/>
      <c r="AD169" s="57"/>
      <c r="AE169" s="57"/>
      <c r="AF169" s="57"/>
      <c r="AG169" s="57"/>
      <c r="AH169" s="57"/>
      <c r="AI169" s="100"/>
      <c r="AJ169" s="58">
        <v>10110505</v>
      </c>
      <c r="AK169" s="59">
        <v>12</v>
      </c>
      <c r="AL169" s="60">
        <f t="shared" si="148"/>
        <v>5</v>
      </c>
      <c r="AM169" s="61">
        <f t="shared" si="149"/>
        <v>12</v>
      </c>
      <c r="AN169" s="62">
        <f t="shared" si="150"/>
        <v>17</v>
      </c>
      <c r="AO169" s="62">
        <f t="shared" si="151"/>
        <v>0</v>
      </c>
      <c r="AP169" s="62">
        <f t="shared" si="152"/>
        <v>0</v>
      </c>
      <c r="AQ169" s="63">
        <f t="shared" si="153"/>
        <v>0</v>
      </c>
      <c r="AR169" s="62">
        <f t="shared" si="154"/>
        <v>0</v>
      </c>
      <c r="AS169" s="62">
        <f t="shared" si="155"/>
        <v>0</v>
      </c>
      <c r="AT169" s="64"/>
      <c r="AU169" s="64"/>
      <c r="AV169" s="65">
        <f t="shared" si="156"/>
        <v>12</v>
      </c>
      <c r="AW169" s="65">
        <f t="shared" si="157"/>
        <v>12</v>
      </c>
      <c r="AX169" s="64"/>
      <c r="AY169" s="64"/>
      <c r="AZ169" s="80"/>
      <c r="BA169" s="66">
        <f t="shared" si="127"/>
        <v>17</v>
      </c>
      <c r="BB169" s="67"/>
      <c r="BC169" s="94"/>
      <c r="BD169" s="69">
        <f>VLOOKUP($B169,[1]CN!$B$9:$DK$221,114,0)</f>
        <v>5</v>
      </c>
      <c r="BE169" s="70">
        <f t="shared" si="158"/>
        <v>27</v>
      </c>
      <c r="BF169" s="71" t="s">
        <v>92</v>
      </c>
      <c r="BG169" s="72">
        <v>0</v>
      </c>
      <c r="BH169" s="73" t="str">
        <f>VLOOKUP(B169,'[2]Bang luong_06'!$B$9:$C$333,2,0)</f>
        <v>Thạch Tùng</v>
      </c>
      <c r="BI169" s="74" t="s">
        <v>368</v>
      </c>
      <c r="BJ169" s="75" t="str">
        <f>VLOOKUP($B169,'[2]Bang luong_06'!$B$10:$C$333,2,0)</f>
        <v>Thạch Tùng</v>
      </c>
      <c r="BK169" s="76" t="b">
        <f t="shared" si="159"/>
        <v>1</v>
      </c>
      <c r="BM169" s="77">
        <f>+VLOOKUP(B169,'[2]Thưởng Lễ 2-9'!B131:G419,6,0)</f>
        <v>0</v>
      </c>
      <c r="BN169" s="75">
        <f t="shared" si="160"/>
        <v>137</v>
      </c>
      <c r="BO169" s="76" t="str">
        <f>+VLOOKUP(B169,'[2]Bang luong_06'!B142:D450,3,0)</f>
        <v>CNSX</v>
      </c>
      <c r="BP169" s="76" t="s">
        <v>40</v>
      </c>
      <c r="BQ169" s="76">
        <v>8.5</v>
      </c>
      <c r="BR169" s="76">
        <f t="shared" si="147"/>
        <v>5</v>
      </c>
    </row>
    <row r="170" spans="1:70" s="76" customFormat="1" ht="31.5" customHeight="1" x14ac:dyDescent="0.25">
      <c r="A170" s="33">
        <f t="shared" si="133"/>
        <v>148</v>
      </c>
      <c r="B170" s="78" t="s">
        <v>370</v>
      </c>
      <c r="C170" s="55" t="s">
        <v>371</v>
      </c>
      <c r="D170" s="56">
        <v>43564</v>
      </c>
      <c r="E170" s="57" t="s">
        <v>38</v>
      </c>
      <c r="F170" s="97" t="s">
        <v>38</v>
      </c>
      <c r="G170" s="97" t="s">
        <v>38</v>
      </c>
      <c r="H170" s="97" t="s">
        <v>38</v>
      </c>
      <c r="I170" s="97" t="s">
        <v>38</v>
      </c>
      <c r="J170" s="97" t="s">
        <v>506</v>
      </c>
      <c r="K170" s="97" t="s">
        <v>37</v>
      </c>
      <c r="L170" s="97" t="s">
        <v>37</v>
      </c>
      <c r="M170" s="97" t="s">
        <v>37</v>
      </c>
      <c r="N170" s="97" t="s">
        <v>37</v>
      </c>
      <c r="O170" s="97" t="s">
        <v>37</v>
      </c>
      <c r="P170" s="97" t="s">
        <v>37</v>
      </c>
      <c r="Q170" s="97" t="s">
        <v>507</v>
      </c>
      <c r="R170" s="97" t="s">
        <v>37</v>
      </c>
      <c r="S170" s="97" t="s">
        <v>37</v>
      </c>
      <c r="T170" s="97" t="s">
        <v>37</v>
      </c>
      <c r="U170" s="97" t="s">
        <v>37</v>
      </c>
      <c r="V170" s="57" t="s">
        <v>37</v>
      </c>
      <c r="W170" s="97" t="s">
        <v>37</v>
      </c>
      <c r="X170" s="97"/>
      <c r="Y170" s="97"/>
      <c r="Z170" s="57"/>
      <c r="AA170" s="57"/>
      <c r="AB170" s="57"/>
      <c r="AC170" s="57"/>
      <c r="AD170" s="57"/>
      <c r="AE170" s="57"/>
      <c r="AF170" s="57"/>
      <c r="AG170" s="57"/>
      <c r="AH170" s="57"/>
      <c r="AI170" s="100"/>
      <c r="AJ170" s="58">
        <v>10110505</v>
      </c>
      <c r="AK170" s="59">
        <v>12</v>
      </c>
      <c r="AL170" s="60">
        <f t="shared" si="148"/>
        <v>5</v>
      </c>
      <c r="AM170" s="61">
        <f t="shared" si="149"/>
        <v>12</v>
      </c>
      <c r="AN170" s="62">
        <f t="shared" si="150"/>
        <v>17</v>
      </c>
      <c r="AO170" s="62">
        <f t="shared" si="151"/>
        <v>0</v>
      </c>
      <c r="AP170" s="62">
        <f t="shared" si="152"/>
        <v>0</v>
      </c>
      <c r="AQ170" s="63">
        <f t="shared" si="153"/>
        <v>0</v>
      </c>
      <c r="AR170" s="62">
        <f t="shared" si="154"/>
        <v>0</v>
      </c>
      <c r="AS170" s="62">
        <f t="shared" si="155"/>
        <v>0</v>
      </c>
      <c r="AT170" s="64"/>
      <c r="AU170" s="64"/>
      <c r="AV170" s="65">
        <f t="shared" si="156"/>
        <v>12</v>
      </c>
      <c r="AW170" s="65">
        <f t="shared" si="157"/>
        <v>12</v>
      </c>
      <c r="AX170" s="64"/>
      <c r="AY170" s="64"/>
      <c r="AZ170" s="80"/>
      <c r="BA170" s="66">
        <f t="shared" si="127"/>
        <v>17</v>
      </c>
      <c r="BB170" s="67"/>
      <c r="BC170" s="94"/>
      <c r="BD170" s="69">
        <f>VLOOKUP($B170,[1]CN!$B$9:$DK$221,114,0)</f>
        <v>6</v>
      </c>
      <c r="BE170" s="70">
        <f t="shared" si="158"/>
        <v>27</v>
      </c>
      <c r="BF170" s="71" t="s">
        <v>92</v>
      </c>
      <c r="BG170" s="72">
        <v>0</v>
      </c>
      <c r="BH170" s="73" t="str">
        <f>VLOOKUP(B170,'[2]Bang luong_06'!$B$9:$C$333,2,0)</f>
        <v xml:space="preserve">Lê Thanh Sang </v>
      </c>
      <c r="BI170" s="74" t="s">
        <v>370</v>
      </c>
      <c r="BJ170" s="75" t="str">
        <f>VLOOKUP($B170,'[2]Bang luong_06'!$B$10:$C$333,2,0)</f>
        <v xml:space="preserve">Lê Thanh Sang </v>
      </c>
      <c r="BK170" s="76" t="b">
        <f t="shared" si="159"/>
        <v>1</v>
      </c>
      <c r="BM170" s="77">
        <f>+VLOOKUP(B170,'[2]Thưởng Lễ 2-9'!B132:G420,6,0)</f>
        <v>0</v>
      </c>
      <c r="BN170" s="75">
        <f t="shared" si="160"/>
        <v>66</v>
      </c>
      <c r="BO170" s="76" t="str">
        <f>+VLOOKUP(B170,'[2]Bang luong_06'!B143:D451,3,0)</f>
        <v>Tổ trưởng</v>
      </c>
      <c r="BP170" s="76" t="s">
        <v>40</v>
      </c>
      <c r="BQ170" s="76">
        <v>8.5</v>
      </c>
      <c r="BR170" s="76">
        <f t="shared" si="147"/>
        <v>5</v>
      </c>
    </row>
    <row r="171" spans="1:70" s="76" customFormat="1" ht="31.5" customHeight="1" x14ac:dyDescent="0.25">
      <c r="A171" s="33">
        <f t="shared" si="133"/>
        <v>149</v>
      </c>
      <c r="B171" s="78" t="s">
        <v>372</v>
      </c>
      <c r="C171" s="55" t="s">
        <v>373</v>
      </c>
      <c r="D171" s="79">
        <v>42949.442970949101</v>
      </c>
      <c r="E171" s="97" t="s">
        <v>38</v>
      </c>
      <c r="F171" s="97" t="s">
        <v>38</v>
      </c>
      <c r="G171" s="97" t="s">
        <v>38</v>
      </c>
      <c r="H171" s="97" t="s">
        <v>38</v>
      </c>
      <c r="I171" s="97" t="s">
        <v>38</v>
      </c>
      <c r="J171" s="97"/>
      <c r="K171" s="97" t="s">
        <v>37</v>
      </c>
      <c r="L171" s="97" t="s">
        <v>37</v>
      </c>
      <c r="M171" s="97" t="s">
        <v>37</v>
      </c>
      <c r="N171" s="97" t="s">
        <v>37</v>
      </c>
      <c r="O171" s="97" t="s">
        <v>37</v>
      </c>
      <c r="P171" s="97" t="s">
        <v>37</v>
      </c>
      <c r="Q171" s="97"/>
      <c r="R171" s="97" t="s">
        <v>37</v>
      </c>
      <c r="S171" s="97" t="s">
        <v>37</v>
      </c>
      <c r="T171" s="97" t="s">
        <v>37</v>
      </c>
      <c r="U171" s="97" t="s">
        <v>37</v>
      </c>
      <c r="V171" s="97" t="s">
        <v>37</v>
      </c>
      <c r="W171" s="97" t="s">
        <v>37</v>
      </c>
      <c r="X171" s="97"/>
      <c r="Y171" s="97"/>
      <c r="Z171" s="57"/>
      <c r="AA171" s="57"/>
      <c r="AB171" s="57"/>
      <c r="AC171" s="57"/>
      <c r="AD171" s="57"/>
      <c r="AE171" s="57"/>
      <c r="AF171" s="57"/>
      <c r="AG171" s="57"/>
      <c r="AH171" s="57"/>
      <c r="AI171" s="100"/>
      <c r="AJ171" s="58">
        <v>10110505</v>
      </c>
      <c r="AK171" s="59">
        <v>12</v>
      </c>
      <c r="AL171" s="60">
        <f t="shared" si="148"/>
        <v>5</v>
      </c>
      <c r="AM171" s="61">
        <f t="shared" si="149"/>
        <v>12</v>
      </c>
      <c r="AN171" s="62">
        <f t="shared" si="150"/>
        <v>17</v>
      </c>
      <c r="AO171" s="62">
        <f t="shared" si="151"/>
        <v>0</v>
      </c>
      <c r="AP171" s="62">
        <f t="shared" si="152"/>
        <v>0</v>
      </c>
      <c r="AQ171" s="63">
        <f t="shared" si="153"/>
        <v>0</v>
      </c>
      <c r="AR171" s="62">
        <f t="shared" si="154"/>
        <v>0</v>
      </c>
      <c r="AS171" s="62">
        <f t="shared" si="155"/>
        <v>0</v>
      </c>
      <c r="AT171" s="64"/>
      <c r="AU171" s="64"/>
      <c r="AV171" s="65">
        <f t="shared" si="156"/>
        <v>0</v>
      </c>
      <c r="AW171" s="65">
        <f t="shared" si="157"/>
        <v>0</v>
      </c>
      <c r="AX171" s="64"/>
      <c r="AY171" s="64"/>
      <c r="AZ171" s="80"/>
      <c r="BA171" s="66">
        <f t="shared" si="127"/>
        <v>17</v>
      </c>
      <c r="BB171" s="67"/>
      <c r="BC171" s="94"/>
      <c r="BD171" s="69">
        <f>VLOOKUP($B171,[1]CN!$B$9:$DK$221,114,0)</f>
        <v>2</v>
      </c>
      <c r="BE171" s="70">
        <f t="shared" si="158"/>
        <v>27</v>
      </c>
      <c r="BF171" s="71" t="s">
        <v>92</v>
      </c>
      <c r="BG171" s="72">
        <v>0</v>
      </c>
      <c r="BH171" s="73" t="str">
        <f>VLOOKUP(B171,'[2]Bang luong_06'!$B$9:$C$333,2,0)</f>
        <v>Lưu Văn Hiếu</v>
      </c>
      <c r="BI171" s="74" t="s">
        <v>372</v>
      </c>
      <c r="BJ171" s="75" t="str">
        <f>VLOOKUP($B171,'[2]Bang luong_06'!$B$10:$C$333,2,0)</f>
        <v>Lưu Văn Hiếu</v>
      </c>
      <c r="BK171" s="76" t="b">
        <f t="shared" si="159"/>
        <v>1</v>
      </c>
      <c r="BM171" s="77">
        <f>+VLOOKUP(B171,'[2]Thưởng Lễ 2-9'!B133:G421,6,0)</f>
        <v>0</v>
      </c>
      <c r="BN171" s="75">
        <f t="shared" si="160"/>
        <v>86</v>
      </c>
      <c r="BO171" s="76" t="str">
        <f>+VLOOKUP(B171,'[2]Bang luong_06'!B143:D452,3,0)</f>
        <v>CNSX</v>
      </c>
      <c r="BP171" s="76" t="s">
        <v>40</v>
      </c>
      <c r="BQ171" s="76">
        <v>4.5</v>
      </c>
      <c r="BR171" s="76">
        <f t="shared" si="147"/>
        <v>5</v>
      </c>
    </row>
    <row r="172" spans="1:70" s="76" customFormat="1" ht="31.5" customHeight="1" x14ac:dyDescent="0.25">
      <c r="A172" s="33">
        <f t="shared" si="133"/>
        <v>150</v>
      </c>
      <c r="B172" s="78" t="s">
        <v>374</v>
      </c>
      <c r="C172" s="55" t="s">
        <v>375</v>
      </c>
      <c r="D172" s="56">
        <v>43529</v>
      </c>
      <c r="E172" s="57" t="s">
        <v>37</v>
      </c>
      <c r="F172" s="86" t="s">
        <v>37</v>
      </c>
      <c r="G172" s="57" t="s">
        <v>37</v>
      </c>
      <c r="H172" s="57" t="s">
        <v>37</v>
      </c>
      <c r="I172" s="97" t="s">
        <v>37</v>
      </c>
      <c r="J172" s="97"/>
      <c r="K172" s="97" t="s">
        <v>38</v>
      </c>
      <c r="L172" s="97" t="s">
        <v>38</v>
      </c>
      <c r="M172" s="97" t="s">
        <v>38</v>
      </c>
      <c r="N172" s="97" t="s">
        <v>38</v>
      </c>
      <c r="O172" s="97" t="s">
        <v>38</v>
      </c>
      <c r="P172" s="97" t="s">
        <v>38</v>
      </c>
      <c r="Q172" s="97" t="s">
        <v>506</v>
      </c>
      <c r="R172" s="97" t="s">
        <v>38</v>
      </c>
      <c r="S172" s="97" t="s">
        <v>38</v>
      </c>
      <c r="T172" s="97" t="s">
        <v>38</v>
      </c>
      <c r="U172" s="97" t="s">
        <v>38</v>
      </c>
      <c r="V172" s="97" t="s">
        <v>38</v>
      </c>
      <c r="W172" s="97" t="s">
        <v>38</v>
      </c>
      <c r="X172" s="97" t="s">
        <v>506</v>
      </c>
      <c r="Y172" s="97"/>
      <c r="Z172" s="57"/>
      <c r="AA172" s="57"/>
      <c r="AB172" s="57"/>
      <c r="AC172" s="57"/>
      <c r="AD172" s="57"/>
      <c r="AE172" s="57"/>
      <c r="AF172" s="57"/>
      <c r="AG172" s="57"/>
      <c r="AH172" s="57"/>
      <c r="AI172" s="100"/>
      <c r="AJ172" s="58">
        <v>10110505</v>
      </c>
      <c r="AK172" s="59">
        <v>12</v>
      </c>
      <c r="AL172" s="60">
        <f t="shared" si="148"/>
        <v>12</v>
      </c>
      <c r="AM172" s="61">
        <f t="shared" si="149"/>
        <v>5</v>
      </c>
      <c r="AN172" s="62">
        <f t="shared" si="150"/>
        <v>17</v>
      </c>
      <c r="AO172" s="62">
        <f t="shared" si="151"/>
        <v>0</v>
      </c>
      <c r="AP172" s="62">
        <f t="shared" si="152"/>
        <v>0</v>
      </c>
      <c r="AQ172" s="63">
        <f t="shared" si="153"/>
        <v>0</v>
      </c>
      <c r="AR172" s="62">
        <f t="shared" si="154"/>
        <v>0</v>
      </c>
      <c r="AS172" s="62">
        <f t="shared" si="155"/>
        <v>0</v>
      </c>
      <c r="AT172" s="64"/>
      <c r="AU172" s="64"/>
      <c r="AV172" s="65">
        <f t="shared" si="156"/>
        <v>24</v>
      </c>
      <c r="AW172" s="65">
        <f t="shared" si="157"/>
        <v>0</v>
      </c>
      <c r="AX172" s="64"/>
      <c r="AY172" s="64"/>
      <c r="AZ172" s="80"/>
      <c r="BA172" s="66">
        <f t="shared" si="127"/>
        <v>17</v>
      </c>
      <c r="BB172" s="67"/>
      <c r="BC172" s="68"/>
      <c r="BD172" s="69">
        <f>VLOOKUP($B172,[1]CN!$B$9:$DK$221,114,0)</f>
        <v>4</v>
      </c>
      <c r="BE172" s="70">
        <f t="shared" si="158"/>
        <v>27</v>
      </c>
      <c r="BF172" s="71" t="s">
        <v>92</v>
      </c>
      <c r="BG172" s="72">
        <v>0</v>
      </c>
      <c r="BH172" s="73" t="str">
        <f>VLOOKUP(B172,'[2]Bang luong_06'!$B$9:$C$333,2,0)</f>
        <v>Lê Văn Xoài</v>
      </c>
      <c r="BI172" s="74" t="s">
        <v>374</v>
      </c>
      <c r="BJ172" s="75" t="str">
        <f>VLOOKUP($B172,'[2]Bang luong_06'!$B$10:$C$333,2,0)</f>
        <v>Lê Văn Xoài</v>
      </c>
      <c r="BK172" s="76" t="b">
        <f t="shared" si="159"/>
        <v>1</v>
      </c>
      <c r="BM172" s="77">
        <f>+VLOOKUP(B172,'[2]Thưởng Lễ 2-9'!B129:G417,6,0)</f>
        <v>0</v>
      </c>
      <c r="BN172" s="75">
        <f t="shared" si="160"/>
        <v>67</v>
      </c>
      <c r="BO172" s="76" t="str">
        <f>+VLOOKUP(B172,'[2]Bang luong_06'!B139:D448,3,0)</f>
        <v>CNSX</v>
      </c>
      <c r="BP172" s="76" t="s">
        <v>40</v>
      </c>
      <c r="BQ172" s="76">
        <v>7</v>
      </c>
      <c r="BR172" s="76">
        <f t="shared" si="147"/>
        <v>12</v>
      </c>
    </row>
    <row r="173" spans="1:70" s="76" customFormat="1" ht="31.5" customHeight="1" x14ac:dyDescent="0.25">
      <c r="A173" s="33">
        <f t="shared" si="133"/>
        <v>151</v>
      </c>
      <c r="B173" s="33" t="s">
        <v>376</v>
      </c>
      <c r="C173" s="55" t="s">
        <v>377</v>
      </c>
      <c r="D173" s="56">
        <v>45388</v>
      </c>
      <c r="E173" s="97" t="s">
        <v>38</v>
      </c>
      <c r="F173" s="97" t="s">
        <v>38</v>
      </c>
      <c r="G173" s="97" t="s">
        <v>38</v>
      </c>
      <c r="H173" s="97" t="s">
        <v>38</v>
      </c>
      <c r="I173" s="97" t="s">
        <v>38</v>
      </c>
      <c r="J173" s="97" t="s">
        <v>506</v>
      </c>
      <c r="K173" s="97" t="s">
        <v>37</v>
      </c>
      <c r="L173" s="97" t="s">
        <v>37</v>
      </c>
      <c r="M173" s="97" t="s">
        <v>37</v>
      </c>
      <c r="N173" s="97" t="s">
        <v>37</v>
      </c>
      <c r="O173" s="97" t="s">
        <v>37</v>
      </c>
      <c r="P173" s="97" t="s">
        <v>37</v>
      </c>
      <c r="Q173" s="97" t="s">
        <v>507</v>
      </c>
      <c r="R173" s="97" t="s">
        <v>37</v>
      </c>
      <c r="S173" s="97" t="s">
        <v>37</v>
      </c>
      <c r="T173" s="97" t="s">
        <v>37</v>
      </c>
      <c r="U173" s="97" t="s">
        <v>37</v>
      </c>
      <c r="V173" s="57" t="s">
        <v>37</v>
      </c>
      <c r="W173" s="97" t="s">
        <v>37</v>
      </c>
      <c r="X173" s="97"/>
      <c r="Y173" s="97"/>
      <c r="Z173" s="57"/>
      <c r="AA173" s="57"/>
      <c r="AB173" s="57"/>
      <c r="AC173" s="57"/>
      <c r="AD173" s="57"/>
      <c r="AE173" s="57"/>
      <c r="AF173" s="57"/>
      <c r="AG173" s="57"/>
      <c r="AH173" s="57"/>
      <c r="AI173" s="100"/>
      <c r="AJ173" s="58">
        <v>10110505</v>
      </c>
      <c r="AK173" s="59">
        <v>12</v>
      </c>
      <c r="AL173" s="60">
        <f t="shared" si="148"/>
        <v>5</v>
      </c>
      <c r="AM173" s="61">
        <f t="shared" si="149"/>
        <v>12</v>
      </c>
      <c r="AN173" s="62">
        <f t="shared" si="150"/>
        <v>17</v>
      </c>
      <c r="AO173" s="62">
        <f t="shared" si="151"/>
        <v>0</v>
      </c>
      <c r="AP173" s="62">
        <f t="shared" si="152"/>
        <v>0</v>
      </c>
      <c r="AQ173" s="63">
        <f t="shared" si="153"/>
        <v>0</v>
      </c>
      <c r="AR173" s="62">
        <f t="shared" si="154"/>
        <v>0</v>
      </c>
      <c r="AS173" s="62">
        <f t="shared" si="155"/>
        <v>0</v>
      </c>
      <c r="AT173" s="64"/>
      <c r="AU173" s="64"/>
      <c r="AV173" s="65">
        <f t="shared" si="156"/>
        <v>12</v>
      </c>
      <c r="AW173" s="65">
        <f t="shared" si="157"/>
        <v>12</v>
      </c>
      <c r="AX173" s="64"/>
      <c r="AY173" s="64"/>
      <c r="AZ173" s="80"/>
      <c r="BA173" s="66">
        <f t="shared" si="127"/>
        <v>17</v>
      </c>
      <c r="BB173" s="67"/>
      <c r="BC173" s="68"/>
      <c r="BD173" s="69">
        <f>VLOOKUP($B173,[1]CN!$B$9:$DK$221,114,0)</f>
        <v>3</v>
      </c>
      <c r="BE173" s="70">
        <f t="shared" si="158"/>
        <v>27</v>
      </c>
      <c r="BF173" s="71" t="s">
        <v>92</v>
      </c>
      <c r="BG173" s="72">
        <v>0</v>
      </c>
      <c r="BH173" s="73" t="str">
        <f>VLOOKUP(B173,'[2]Bang luong_06'!$B$9:$C$333,2,0)</f>
        <v>Hứa Văn Hởi</v>
      </c>
      <c r="BI173" s="74" t="s">
        <v>376</v>
      </c>
      <c r="BJ173" s="75" t="str">
        <f>VLOOKUP($B173,'[2]Bang luong_06'!$B$10:$C$333,2,0)</f>
        <v>Hứa Văn Hởi</v>
      </c>
      <c r="BK173" s="76" t="b">
        <f t="shared" si="159"/>
        <v>1</v>
      </c>
      <c r="BM173" s="77">
        <f>+VLOOKUP(B173,'[2]Thưởng Lễ 2-9'!B133:G421,6,0)</f>
        <v>0</v>
      </c>
      <c r="BN173" s="75">
        <f t="shared" si="160"/>
        <v>5</v>
      </c>
      <c r="BO173" s="76" t="str">
        <f>+VLOOKUP(B173,'[2]Bang luong_06'!B143:D452,3,0)</f>
        <v>CNSX</v>
      </c>
      <c r="BP173" s="76" t="s">
        <v>40</v>
      </c>
      <c r="BQ173" s="76">
        <v>4</v>
      </c>
      <c r="BR173" s="76">
        <f>COUNTIF(D173:AI173,"N")+COUNTIF(D173:AI173,"N1")*1/AK173+COUNTIF(D173:AI173,"N2")*2/AK173+COUNTIF(D173:AI173,"N3")*3/AK173+COUNTIF(D173:AI173,"N4")*4/AK173+COUNTIF(D173:AI173,"N5")*5/AK173+COUNTIF(D173:AI173,"N6")*6/AK173+COUNTIF(D173:AI173,"N7")*7/AK173+COUNTIF(D173:AI173,"N8")*8/AK173+COUNTIF(D173:AI173,"N9")*9/AK173+COUNTIF(D173:AI173,"N10")*10/AK173+COUNTIF(D173:AI173,"N11")*11/AK173+COUNTIF(D173:AI173,"N12")*12/AK173+COUNTIF(D173:AI173,"Ro1")*1/AK173+COUNTIF(D173:AI173,"Ro2")*2/AK173+COUNTIF(D173:AI173,"Ro3")*3/AK173+COUNTIF(D173:AI173,"Ro3.0")*3/AK173+COUNTIF(D173:AI173,"Ro4")*4/AK173+COUNTIF(D173:AI173,"Ro4.0")*4/AK173+COUNTIF(D173:AI173,"Ro4.5")*4.5/AK173+COUNTIF(D173:AI173,"Ro5")*5/AK173+COUNTIF(D173:AI173,"Ro5.0")*5/AK173+COUNTIF(D173:AI173,"Ro5.5")*5.5/AK173+COUNTIF(D173:AI173,"Ro6")*6/AK173+COUNTIF(D173:AI173,"Ro7")*7/AK173+COUNTIF(D173:AI173,"Ro8")*8/AK173+COUNTIF(D173:AI173,"Ro8.0")*8/AK173+COUNTIF(D173:AI173,"Ro8.3")*8.3/AK173+COUNTIF(D173:AI173,"Ro8.5")*8.5/AK173+COUNTIF(D173:AI173,"Ro9")*9/AK173+COUNTIF(D173:AI173,"Ro9.5")*9.5/AK173+COUNTIF(D173:AI173,"Ro10")*10/AK173+COUNTIF(D173:AI173,"Ro10.0")*10/AK173+COUNTIF(D173:AI173,"Ro10.5")*10.5/AK173+COUNTIF(D173:AI173,"Ro11")*11/AK173+COUNTIF(D173:AI173,"Ro11.0")*11/AK173+COUNTIF(D173:AI173,"Ro11.5")*11.5/AK173+COUNTIF(D173:AI173,"P2")*0.5</f>
        <v>5</v>
      </c>
    </row>
    <row r="174" spans="1:70" s="76" customFormat="1" ht="31.5" customHeight="1" x14ac:dyDescent="0.25">
      <c r="A174" s="33">
        <f t="shared" si="133"/>
        <v>152</v>
      </c>
      <c r="B174" s="33" t="s">
        <v>378</v>
      </c>
      <c r="C174" s="55" t="s">
        <v>379</v>
      </c>
      <c r="D174" s="56">
        <v>45398</v>
      </c>
      <c r="E174" s="97" t="s">
        <v>38</v>
      </c>
      <c r="F174" s="97" t="s">
        <v>38</v>
      </c>
      <c r="G174" s="97" t="s">
        <v>38</v>
      </c>
      <c r="H174" s="97" t="s">
        <v>38</v>
      </c>
      <c r="I174" s="97" t="s">
        <v>38</v>
      </c>
      <c r="J174" s="97"/>
      <c r="K174" s="97" t="s">
        <v>37</v>
      </c>
      <c r="L174" s="97" t="s">
        <v>37</v>
      </c>
      <c r="M174" s="97" t="s">
        <v>37</v>
      </c>
      <c r="N174" s="97" t="s">
        <v>37</v>
      </c>
      <c r="O174" s="97" t="s">
        <v>37</v>
      </c>
      <c r="P174" s="97" t="s">
        <v>37</v>
      </c>
      <c r="Q174" s="97" t="s">
        <v>507</v>
      </c>
      <c r="R174" s="97" t="s">
        <v>37</v>
      </c>
      <c r="S174" s="97" t="s">
        <v>37</v>
      </c>
      <c r="T174" s="97" t="s">
        <v>37</v>
      </c>
      <c r="U174" s="97" t="s">
        <v>37</v>
      </c>
      <c r="V174" s="57" t="s">
        <v>37</v>
      </c>
      <c r="W174" s="97" t="s">
        <v>37</v>
      </c>
      <c r="X174" s="97"/>
      <c r="Y174" s="97"/>
      <c r="Z174" s="57"/>
      <c r="AA174" s="57"/>
      <c r="AB174" s="57"/>
      <c r="AC174" s="57"/>
      <c r="AD174" s="57"/>
      <c r="AE174" s="57"/>
      <c r="AF174" s="57"/>
      <c r="AG174" s="57"/>
      <c r="AH174" s="57"/>
      <c r="AI174" s="100"/>
      <c r="AJ174" s="58">
        <v>10110505</v>
      </c>
      <c r="AK174" s="59">
        <v>12</v>
      </c>
      <c r="AL174" s="60">
        <f t="shared" si="148"/>
        <v>5</v>
      </c>
      <c r="AM174" s="61">
        <f t="shared" si="149"/>
        <v>12</v>
      </c>
      <c r="AN174" s="62">
        <f t="shared" si="150"/>
        <v>17</v>
      </c>
      <c r="AO174" s="62">
        <f t="shared" si="151"/>
        <v>0</v>
      </c>
      <c r="AP174" s="62">
        <f t="shared" si="152"/>
        <v>0</v>
      </c>
      <c r="AQ174" s="63">
        <f t="shared" si="153"/>
        <v>0</v>
      </c>
      <c r="AR174" s="62">
        <f t="shared" si="154"/>
        <v>0</v>
      </c>
      <c r="AS174" s="62">
        <f t="shared" si="155"/>
        <v>0</v>
      </c>
      <c r="AT174" s="64"/>
      <c r="AU174" s="64"/>
      <c r="AV174" s="65">
        <f t="shared" si="156"/>
        <v>0</v>
      </c>
      <c r="AW174" s="65">
        <f t="shared" si="157"/>
        <v>12</v>
      </c>
      <c r="AX174" s="64"/>
      <c r="AY174" s="64"/>
      <c r="AZ174" s="80"/>
      <c r="BA174" s="66">
        <f t="shared" si="127"/>
        <v>17</v>
      </c>
      <c r="BB174" s="67"/>
      <c r="BC174" s="99"/>
      <c r="BD174" s="69">
        <f>VLOOKUP($B174,[1]CN!$B$9:$DK$221,114,0)</f>
        <v>3</v>
      </c>
      <c r="BE174" s="70">
        <f t="shared" si="158"/>
        <v>27</v>
      </c>
      <c r="BF174" s="71" t="s">
        <v>92</v>
      </c>
      <c r="BG174" s="72" t="s">
        <v>34</v>
      </c>
      <c r="BH174" s="73" t="str">
        <f>VLOOKUP(B174,'[2]Bang luong_06'!$B$9:$C$333,2,0)</f>
        <v>Phạm Phát Tài</v>
      </c>
      <c r="BI174" s="74" t="s">
        <v>378</v>
      </c>
      <c r="BJ174" s="75" t="str">
        <f>VLOOKUP($B174,'[2]Bang luong_06'!$B$10:$C$333,2,0)</f>
        <v>Phạm Phát Tài</v>
      </c>
      <c r="BK174" s="76" t="b">
        <f t="shared" si="159"/>
        <v>1</v>
      </c>
      <c r="BM174" s="77">
        <f>+VLOOKUP(B174,'[2]Thưởng Lễ 2-9'!B135:G423,6,0)</f>
        <v>0</v>
      </c>
      <c r="BN174" s="75">
        <f t="shared" si="160"/>
        <v>5</v>
      </c>
      <c r="BO174" s="76" t="str">
        <f>+VLOOKUP(B174,'[2]Bang luong_06'!B144:D454,3,0)</f>
        <v>CNSX</v>
      </c>
      <c r="BP174" s="76" t="s">
        <v>40</v>
      </c>
      <c r="BQ174" s="76">
        <v>1</v>
      </c>
      <c r="BR174" s="76">
        <f>COUNTIF(D174:AI174,"N")+COUNTIF(D174:AI174,"N1")*1/AK174+COUNTIF(D174:AI174,"N2")*2/AK174+COUNTIF(D174:AI174,"N3")*3/AK174+COUNTIF(D174:AI174,"N4")*4/AK174+COUNTIF(D174:AI174,"N5")*5/AK174+COUNTIF(D174:AI174,"N6")*6/AK174+COUNTIF(D174:AI174,"N7")*7/AK174+COUNTIF(D174:AI174,"N8")*8/AK174+COUNTIF(D174:AI174,"N9")*9/AK174+COUNTIF(D174:AI174,"N10")*10/AK174+COUNTIF(D174:AI174,"N11")*11/AK174+COUNTIF(D174:AI174,"N12")*12/AK174+COUNTIF(D174:AI174,"Ro1")*1/AK174+COUNTIF(D174:AI174,"Ro2")*2/AK174+COUNTIF(D174:AI174,"Ro3")*3/AK174+COUNTIF(D174:AI174,"Ro3.0")*3/AK174+COUNTIF(D174:AI174,"Ro4")*4/AK174+COUNTIF(D174:AI174,"Ro4.0")*4/AK174+COUNTIF(D174:AI174,"Ro4.5")*4.5/AK174+COUNTIF(D174:AI174,"Ro5")*5/AK174+COUNTIF(D174:AI174,"Ro5.0")*5/AK174+COUNTIF(D174:AI174,"Ro5.5")*5.5/AK174+COUNTIF(D174:AI174,"Ro6")*6/AK174+COUNTIF(D174:AI174,"Ro7")*7/AK174+COUNTIF(D174:AI174,"Ro8")*8/AK174+COUNTIF(D174:AI174,"Ro8.0")*8/AK174+COUNTIF(D174:AI174,"Ro8.3")*8.3/AK174+COUNTIF(D174:AI174,"Ro8.5")*8.5/AK174+COUNTIF(D174:AI174,"Ro9")*9/AK174+COUNTIF(D174:AI174,"Ro9.5")*9.5/AK174+COUNTIF(D174:AI174,"Ro10")*10/AK174+COUNTIF(D174:AI174,"Ro10.0")*10/AK174+COUNTIF(D174:AI174,"Ro10.5")*10.5/AK174+COUNTIF(D174:AI174,"Ro11")*11/AK174+COUNTIF(D174:AI174,"Ro11.0")*11/AK174+COUNTIF(D174:AI174,"Ro11.5")*11.5/AK174+COUNTIF(D174:AI174,"P2")*0.5</f>
        <v>5</v>
      </c>
    </row>
    <row r="175" spans="1:70" s="76" customFormat="1" ht="31.5" customHeight="1" x14ac:dyDescent="0.25">
      <c r="A175" s="33">
        <f t="shared" si="133"/>
        <v>153</v>
      </c>
      <c r="B175" s="105" t="s">
        <v>380</v>
      </c>
      <c r="C175" s="106" t="s">
        <v>381</v>
      </c>
      <c r="D175" s="107">
        <v>45493</v>
      </c>
      <c r="E175" s="57" t="s">
        <v>38</v>
      </c>
      <c r="F175" s="97" t="s">
        <v>516</v>
      </c>
      <c r="G175" s="97" t="s">
        <v>38</v>
      </c>
      <c r="H175" s="97" t="s">
        <v>38</v>
      </c>
      <c r="I175" s="97" t="s">
        <v>38</v>
      </c>
      <c r="J175" s="97" t="s">
        <v>506</v>
      </c>
      <c r="K175" s="97" t="s">
        <v>37</v>
      </c>
      <c r="L175" s="97" t="s">
        <v>37</v>
      </c>
      <c r="M175" s="97" t="s">
        <v>37</v>
      </c>
      <c r="N175" s="97" t="s">
        <v>37</v>
      </c>
      <c r="O175" s="97" t="s">
        <v>37</v>
      </c>
      <c r="P175" s="97" t="s">
        <v>37</v>
      </c>
      <c r="Q175" s="97" t="s">
        <v>507</v>
      </c>
      <c r="R175" s="97" t="s">
        <v>510</v>
      </c>
      <c r="S175" s="97" t="s">
        <v>510</v>
      </c>
      <c r="T175" s="98" t="s">
        <v>510</v>
      </c>
      <c r="U175" s="97" t="s">
        <v>510</v>
      </c>
      <c r="V175" s="57" t="s">
        <v>510</v>
      </c>
      <c r="W175" s="97" t="s">
        <v>510</v>
      </c>
      <c r="X175" s="97"/>
      <c r="Y175" s="97"/>
      <c r="Z175" s="57"/>
      <c r="AA175" s="57"/>
      <c r="AB175" s="57"/>
      <c r="AC175" s="57"/>
      <c r="AD175" s="57"/>
      <c r="AE175" s="57"/>
      <c r="AF175" s="57"/>
      <c r="AG175" s="57"/>
      <c r="AH175" s="57"/>
      <c r="AI175" s="100"/>
      <c r="AJ175" s="58">
        <v>10110507</v>
      </c>
      <c r="AK175" s="59">
        <v>12</v>
      </c>
      <c r="AL175" s="60">
        <f t="shared" si="148"/>
        <v>4.5</v>
      </c>
      <c r="AM175" s="61">
        <f t="shared" si="149"/>
        <v>6</v>
      </c>
      <c r="AN175" s="62">
        <f t="shared" si="150"/>
        <v>10.5</v>
      </c>
      <c r="AO175" s="62">
        <f t="shared" si="151"/>
        <v>0.5</v>
      </c>
      <c r="AP175" s="62">
        <f t="shared" si="152"/>
        <v>0</v>
      </c>
      <c r="AQ175" s="63">
        <f t="shared" si="153"/>
        <v>0</v>
      </c>
      <c r="AR175" s="62">
        <f t="shared" si="154"/>
        <v>0</v>
      </c>
      <c r="AS175" s="62">
        <f t="shared" si="155"/>
        <v>0</v>
      </c>
      <c r="AT175" s="64"/>
      <c r="AU175" s="64"/>
      <c r="AV175" s="65">
        <f t="shared" si="156"/>
        <v>12</v>
      </c>
      <c r="AW175" s="65">
        <f t="shared" si="157"/>
        <v>12</v>
      </c>
      <c r="AX175" s="64"/>
      <c r="AY175" s="64"/>
      <c r="AZ175" s="80"/>
      <c r="BA175" s="66">
        <f t="shared" si="127"/>
        <v>11</v>
      </c>
      <c r="BB175" s="67"/>
      <c r="BC175" s="68"/>
      <c r="BD175" s="69">
        <f>VLOOKUP($B175,[1]CN!$B$9:$DK$221,114,0)</f>
        <v>2</v>
      </c>
      <c r="BE175" s="70">
        <f t="shared" si="158"/>
        <v>27</v>
      </c>
      <c r="BF175" s="71" t="s">
        <v>39</v>
      </c>
      <c r="BG175" s="72" t="s">
        <v>34</v>
      </c>
      <c r="BH175" s="73" t="str">
        <f>VLOOKUP(B175,'[2]Bang luong_06'!$B$9:$C$333,2,0)</f>
        <v>Nguyễn Văn Cường</v>
      </c>
      <c r="BI175" s="74"/>
      <c r="BJ175" s="75" t="str">
        <f>VLOOKUP($B175,'[2]Bang luong_06'!$B$10:$C$333,2,0)</f>
        <v>Nguyễn Văn Cường</v>
      </c>
      <c r="BK175" s="76" t="b">
        <f t="shared" si="159"/>
        <v>1</v>
      </c>
      <c r="BM175" s="77">
        <f>+VLOOKUP(B175,'[2]Thưởng Lễ 2-9'!B88:G378,6,0)</f>
        <v>0</v>
      </c>
      <c r="BN175" s="75">
        <f t="shared" si="160"/>
        <v>1</v>
      </c>
      <c r="BO175" s="76" t="str">
        <f>+VLOOKUP(B175,'[2]Bang luong_06'!B98:D409,3,0)</f>
        <v>CNSX</v>
      </c>
      <c r="BP175" s="76" t="s">
        <v>40</v>
      </c>
      <c r="BQ175" s="76">
        <v>2</v>
      </c>
      <c r="BR175" s="76">
        <f>COUNTIF(D175:AI175,"N")+COUNTIF(D175:AI175,"N1")*1/AK175+COUNTIF(D175:AI175,"N2")*2/AK175+COUNTIF(D175:AI175,"N3")*3/AK175+COUNTIF(D175:AI175,"N4")*4/AK175+COUNTIF(D175:AI175,"N5")*5/AK175+COUNTIF(D175:AI175,"N6")*6/AK175+COUNTIF(D175:AI175,"N7")*7/AK175+COUNTIF(D175:AI175,"N8")*8/AK175+COUNTIF(D175:AI175,"N9")*9/AK175+COUNTIF(D175:AI175,"N10")*10/AK175+COUNTIF(D175:AI175,"N11")*11/AK175+COUNTIF(D175:AI175,"N12")*12/AK175+COUNTIF(D175:AI175,"Ro1")*1/AK175+COUNTIF(D175:AI175,"Ro2")*2/AK175+COUNTIF(D175:AI175,"Ro3")*3/AK175+COUNTIF(D175:AI175,"Ro3.0")*3/AK175+COUNTIF(D175:AI175,"Ro4")*4/AK175+COUNTIF(D175:AI175,"Ro4.0")*4/AK175+COUNTIF(D175:AI175,"Ro4.5")*4.5/AK175+COUNTIF(D175:AI175,"Ro5")*5/AK175+COUNTIF(D175:AI175,"Ro5.0")*5/AK175+COUNTIF(D175:AI175,"Ro5.5")*5.5/AK175+COUNTIF(D175:AI175,"Ro6")*6/AK175+COUNTIF(D175:AI175,"Ro7")*7/AK175+COUNTIF(D175:AI175,"Ro8")*8/AK175+COUNTIF(D175:AI175,"Ro8.0")*8/AK175+COUNTIF(D175:AI175,"Ro8.3")*8.3/AK175+COUNTIF(D175:AI175,"Ro8.5")*8.5/AK175+COUNTIF(D175:AI175,"Ro9")*9/AK175+COUNTIF(D175:AI175,"Ro9.5")*9.5/AK175+COUNTIF(D175:AI175,"Ro10")*10/AK175+COUNTIF(D175:AI175,"Ro10.0")*10/AK175+COUNTIF(D175:AI175,"Ro10.5")*10.5/AK175+COUNTIF(D175:AI175,"Ro11")*11/AK175+COUNTIF(D175:AI175,"Ro11.0")*11/AK175+COUNTIF(D175:AI175,"Ro11.5")*11.5/AK175+COUNTIF(D175:AI175,"P2")*0.5</f>
        <v>4.5</v>
      </c>
    </row>
    <row r="176" spans="1:70" s="76" customFormat="1" ht="31.5" customHeight="1" x14ac:dyDescent="0.25">
      <c r="A176" s="33">
        <f t="shared" si="133"/>
        <v>154</v>
      </c>
      <c r="B176" s="33" t="s">
        <v>382</v>
      </c>
      <c r="C176" s="55" t="s">
        <v>383</v>
      </c>
      <c r="D176" s="56">
        <v>45762</v>
      </c>
      <c r="E176" s="57" t="s">
        <v>37</v>
      </c>
      <c r="F176" s="86" t="s">
        <v>37</v>
      </c>
      <c r="G176" s="97" t="s">
        <v>37</v>
      </c>
      <c r="H176" s="57" t="s">
        <v>37</v>
      </c>
      <c r="I176" s="97" t="s">
        <v>37</v>
      </c>
      <c r="J176" s="97"/>
      <c r="K176" s="97" t="s">
        <v>38</v>
      </c>
      <c r="L176" s="97" t="s">
        <v>38</v>
      </c>
      <c r="M176" s="97" t="s">
        <v>38</v>
      </c>
      <c r="N176" s="97" t="s">
        <v>38</v>
      </c>
      <c r="O176" s="97" t="s">
        <v>38</v>
      </c>
      <c r="P176" s="97" t="s">
        <v>38</v>
      </c>
      <c r="Q176" s="97"/>
      <c r="R176" s="97" t="s">
        <v>38</v>
      </c>
      <c r="S176" s="97" t="s">
        <v>38</v>
      </c>
      <c r="T176" s="97" t="s">
        <v>38</v>
      </c>
      <c r="U176" s="97" t="s">
        <v>38</v>
      </c>
      <c r="V176" s="97" t="s">
        <v>38</v>
      </c>
      <c r="W176" s="97" t="s">
        <v>38</v>
      </c>
      <c r="X176" s="97"/>
      <c r="Y176" s="97"/>
      <c r="Z176" s="57"/>
      <c r="AA176" s="57"/>
      <c r="AB176" s="57"/>
      <c r="AC176" s="57"/>
      <c r="AD176" s="57"/>
      <c r="AE176" s="57"/>
      <c r="AF176" s="57"/>
      <c r="AG176" s="57"/>
      <c r="AH176" s="57"/>
      <c r="AI176" s="100"/>
      <c r="AJ176" s="58">
        <v>10110505</v>
      </c>
      <c r="AK176" s="59">
        <v>12</v>
      </c>
      <c r="AL176" s="60">
        <f t="shared" si="148"/>
        <v>12</v>
      </c>
      <c r="AM176" s="61">
        <f t="shared" si="149"/>
        <v>5</v>
      </c>
      <c r="AN176" s="62">
        <f t="shared" si="150"/>
        <v>17</v>
      </c>
      <c r="AO176" s="62">
        <f t="shared" si="151"/>
        <v>0</v>
      </c>
      <c r="AP176" s="62">
        <f t="shared" si="152"/>
        <v>0</v>
      </c>
      <c r="AQ176" s="63">
        <f t="shared" si="153"/>
        <v>0</v>
      </c>
      <c r="AR176" s="62">
        <f t="shared" si="154"/>
        <v>0</v>
      </c>
      <c r="AS176" s="62">
        <f t="shared" si="155"/>
        <v>0</v>
      </c>
      <c r="AT176" s="64"/>
      <c r="AU176" s="64"/>
      <c r="AV176" s="65">
        <f t="shared" si="156"/>
        <v>0</v>
      </c>
      <c r="AW176" s="65">
        <f t="shared" si="157"/>
        <v>0</v>
      </c>
      <c r="AX176" s="64"/>
      <c r="AY176" s="64"/>
      <c r="AZ176" s="80"/>
      <c r="BA176" s="66">
        <f t="shared" si="127"/>
        <v>17</v>
      </c>
      <c r="BB176" s="67"/>
      <c r="BC176" s="68"/>
      <c r="BD176" s="69">
        <f>VLOOKUP($B176,[1]CN!$B$9:$DK$221,114,0)</f>
        <v>3</v>
      </c>
      <c r="BE176" s="70">
        <f t="shared" si="158"/>
        <v>27</v>
      </c>
      <c r="BF176" s="71" t="s">
        <v>92</v>
      </c>
      <c r="BG176" s="72">
        <v>0</v>
      </c>
      <c r="BH176" s="73" t="str">
        <f>VLOOKUP(B176,'[2]Bang luong_06'!$B$9:$C$333,2,0)</f>
        <v>Trần Bé Trai</v>
      </c>
      <c r="BI176" s="74" t="s">
        <v>376</v>
      </c>
      <c r="BJ176" s="75" t="str">
        <f>VLOOKUP($B176,'[2]Bang luong_06'!$B$10:$C$333,2,0)</f>
        <v>Trần Bé Trai</v>
      </c>
      <c r="BK176" s="76" t="b">
        <f t="shared" si="159"/>
        <v>1</v>
      </c>
      <c r="BM176" s="77" t="e">
        <f>+VLOOKUP(B176,'[2]Thưởng Lễ 2-9'!B137:G425,6,0)</f>
        <v>#N/A</v>
      </c>
      <c r="BN176" s="75">
        <f t="shared" si="160"/>
        <v>-8</v>
      </c>
      <c r="BO176" s="76" t="str">
        <f>+VLOOKUP(B176,'[2]Bang luong_06'!B145:D456,3,0)</f>
        <v>CNSX</v>
      </c>
      <c r="BP176" s="76" t="s">
        <v>40</v>
      </c>
      <c r="BQ176" s="76">
        <v>4</v>
      </c>
      <c r="BR176" s="76">
        <f t="shared" si="147"/>
        <v>12</v>
      </c>
    </row>
    <row r="177" spans="1:70" s="76" customFormat="1" ht="31.5" customHeight="1" x14ac:dyDescent="0.25">
      <c r="A177" s="33">
        <f>IF(B177="","",MAX(A176:A176)+1)</f>
        <v>155</v>
      </c>
      <c r="B177" s="33" t="s">
        <v>384</v>
      </c>
      <c r="C177" s="55" t="s">
        <v>385</v>
      </c>
      <c r="D177" s="56">
        <v>45923</v>
      </c>
      <c r="E177" s="86" t="s">
        <v>37</v>
      </c>
      <c r="F177" s="86" t="s">
        <v>37</v>
      </c>
      <c r="G177" s="97" t="s">
        <v>37</v>
      </c>
      <c r="H177" s="57" t="s">
        <v>37</v>
      </c>
      <c r="I177" s="97" t="s">
        <v>37</v>
      </c>
      <c r="J177" s="97"/>
      <c r="K177" s="97" t="s">
        <v>38</v>
      </c>
      <c r="L177" s="97" t="s">
        <v>38</v>
      </c>
      <c r="M177" s="97" t="s">
        <v>38</v>
      </c>
      <c r="N177" s="97" t="s">
        <v>38</v>
      </c>
      <c r="O177" s="97" t="s">
        <v>38</v>
      </c>
      <c r="P177" s="97" t="s">
        <v>38</v>
      </c>
      <c r="Q177" s="97"/>
      <c r="R177" s="97" t="s">
        <v>38</v>
      </c>
      <c r="S177" s="97" t="s">
        <v>38</v>
      </c>
      <c r="T177" s="97" t="s">
        <v>38</v>
      </c>
      <c r="U177" s="97" t="s">
        <v>38</v>
      </c>
      <c r="V177" s="97" t="s">
        <v>38</v>
      </c>
      <c r="W177" s="97" t="s">
        <v>38</v>
      </c>
      <c r="X177" s="97"/>
      <c r="Y177" s="97"/>
      <c r="Z177" s="57"/>
      <c r="AA177" s="57"/>
      <c r="AB177" s="57"/>
      <c r="AC177" s="57"/>
      <c r="AD177" s="57"/>
      <c r="AE177" s="57"/>
      <c r="AF177" s="57"/>
      <c r="AG177" s="57"/>
      <c r="AH177" s="57"/>
      <c r="AI177" s="100"/>
      <c r="AJ177" s="58">
        <v>10110505</v>
      </c>
      <c r="AK177" s="59">
        <v>12</v>
      </c>
      <c r="AL177" s="60">
        <f t="shared" si="148"/>
        <v>12</v>
      </c>
      <c r="AM177" s="61">
        <f t="shared" si="149"/>
        <v>5</v>
      </c>
      <c r="AN177" s="62">
        <f>+AL177+AM177</f>
        <v>17</v>
      </c>
      <c r="AO177" s="62">
        <f t="shared" si="151"/>
        <v>0</v>
      </c>
      <c r="AP177" s="62">
        <f t="shared" si="152"/>
        <v>0</v>
      </c>
      <c r="AQ177" s="63">
        <f t="shared" si="153"/>
        <v>0</v>
      </c>
      <c r="AR177" s="62">
        <f t="shared" si="154"/>
        <v>0</v>
      </c>
      <c r="AS177" s="62">
        <f t="shared" si="155"/>
        <v>0</v>
      </c>
      <c r="AT177" s="64"/>
      <c r="AU177" s="64"/>
      <c r="AV177" s="65">
        <f t="shared" si="156"/>
        <v>0</v>
      </c>
      <c r="AW177" s="65">
        <f t="shared" si="157"/>
        <v>0</v>
      </c>
      <c r="AX177" s="64"/>
      <c r="AY177" s="64"/>
      <c r="AZ177" s="80"/>
      <c r="BA177" s="66">
        <f>+AN177+AR177+AS177+AO177</f>
        <v>17</v>
      </c>
      <c r="BB177" s="67"/>
      <c r="BC177" s="68"/>
      <c r="BD177" s="69">
        <f>VLOOKUP($B177,[1]CN!$B$9:$DK$221,114,0)</f>
        <v>3</v>
      </c>
      <c r="BE177" s="70">
        <f t="shared" si="158"/>
        <v>27</v>
      </c>
      <c r="BF177" s="71" t="s">
        <v>92</v>
      </c>
      <c r="BG177" s="72" t="s">
        <v>34</v>
      </c>
      <c r="BH177" s="73" t="str">
        <f>VLOOKUP(B177,'[2]Bang luong_06'!$B$9:$C$333,2,0)</f>
        <v>Nguyễn Hữu Phước</v>
      </c>
      <c r="BI177" s="74" t="s">
        <v>378</v>
      </c>
      <c r="BJ177" s="75" t="str">
        <f>VLOOKUP($B177,'[2]Bang luong_06'!$B$10:$C$333,2,0)</f>
        <v>Nguyễn Hữu Phước</v>
      </c>
      <c r="BK177" s="76" t="b">
        <f t="shared" si="159"/>
        <v>1</v>
      </c>
      <c r="BM177" s="77" t="e">
        <f>+VLOOKUP(B177,'[2]Thưởng Lễ 2-9'!B138:G426,6,0)</f>
        <v>#N/A</v>
      </c>
      <c r="BN177" s="75">
        <f t="shared" si="160"/>
        <v>-13</v>
      </c>
      <c r="BO177" s="76" t="str">
        <f>+VLOOKUP(B177,'[2]Bang luong_06'!B146:D457,3,0)</f>
        <v>CNSX</v>
      </c>
      <c r="BP177" s="76" t="s">
        <v>40</v>
      </c>
      <c r="BQ177" s="76">
        <v>1</v>
      </c>
      <c r="BR177" s="76">
        <f>COUNTIF(D177:AI177,"N")+COUNTIF(D177:AI177,"N1")*1/AK177+COUNTIF(D177:AI177,"N2")*2/AK177+COUNTIF(D177:AI177,"N3")*3/AK177+COUNTIF(D177:AI177,"N4")*4/AK177+COUNTIF(D177:AI177,"N5")*5/AK177+COUNTIF(D177:AI177,"N6")*6/AK177+COUNTIF(D177:AI177,"N7")*7/AK177+COUNTIF(D177:AI177,"N8")*8/AK177+COUNTIF(D177:AI177,"N9")*9/AK177+COUNTIF(D177:AI177,"N10")*10/AK177+COUNTIF(D177:AI177,"N11")*11/AK177+COUNTIF(D177:AI177,"N12")*12/AK177+COUNTIF(D177:AI177,"Ro1")*1/AK177+COUNTIF(D177:AI177,"Ro2")*2/AK177+COUNTIF(D177:AI177,"Ro3")*3/AK177+COUNTIF(D177:AI177,"Ro3.0")*3/AK177+COUNTIF(D177:AI177,"Ro4")*4/AK177+COUNTIF(D177:AI177,"Ro4.0")*4/AK177+COUNTIF(D177:AI177,"Ro4.5")*4.5/AK177+COUNTIF(D177:AI177,"Ro5")*5/AK177+COUNTIF(D177:AI177,"Ro5.0")*5/AK177+COUNTIF(D177:AI177,"Ro5.5")*5.5/AK177+COUNTIF(D177:AI177,"Ro6")*6/AK177+COUNTIF(D177:AI177,"Ro7")*7/AK177+COUNTIF(D177:AI177,"Ro8")*8/AK177+COUNTIF(D177:AI177,"Ro8.0")*8/AK177+COUNTIF(D177:AI177,"Ro8.3")*8.3/AK177+COUNTIF(D177:AI177,"Ro8.5")*8.5/AK177+COUNTIF(D177:AI177,"Ro9")*9/AK177+COUNTIF(D177:AI177,"Ro9.5")*9.5/AK177+COUNTIF(D177:AI177,"Ro10")*10/AK177+COUNTIF(D177:AI177,"Ro10.0")*10/AK177+COUNTIF(D177:AI177,"Ro10.5")*10.5/AK177+COUNTIF(D177:AI177,"Ro11")*11/AK177+COUNTIF(D177:AI177,"Ro11.0")*11/AK177+COUNTIF(D177:AI177,"Ro11.5")*11.5/AK177+COUNTIF(D177:AI177,"P2")*0.5</f>
        <v>12</v>
      </c>
    </row>
    <row r="178" spans="1:70" s="76" customFormat="1" ht="31.5" customHeight="1" x14ac:dyDescent="0.25">
      <c r="A178" s="33">
        <f>IF(B178="","",MAX(A177:A177)+1)</f>
        <v>156</v>
      </c>
      <c r="B178" s="115" t="s">
        <v>386</v>
      </c>
      <c r="C178" s="126" t="s">
        <v>387</v>
      </c>
      <c r="D178" s="127">
        <v>43983</v>
      </c>
      <c r="E178" s="97" t="s">
        <v>517</v>
      </c>
      <c r="F178" s="97" t="s">
        <v>38</v>
      </c>
      <c r="G178" s="97" t="s">
        <v>38</v>
      </c>
      <c r="H178" s="97" t="s">
        <v>38</v>
      </c>
      <c r="I178" s="97" t="s">
        <v>38</v>
      </c>
      <c r="J178" s="97" t="s">
        <v>506</v>
      </c>
      <c r="K178" s="97" t="s">
        <v>37</v>
      </c>
      <c r="L178" s="97" t="s">
        <v>37</v>
      </c>
      <c r="M178" s="97" t="s">
        <v>37</v>
      </c>
      <c r="N178" s="97" t="s">
        <v>37</v>
      </c>
      <c r="O178" s="97" t="s">
        <v>37</v>
      </c>
      <c r="P178" s="97" t="s">
        <v>37</v>
      </c>
      <c r="Q178" s="97"/>
      <c r="R178" s="97" t="s">
        <v>37</v>
      </c>
      <c r="S178" s="97" t="s">
        <v>37</v>
      </c>
      <c r="T178" s="97" t="s">
        <v>37</v>
      </c>
      <c r="U178" s="97" t="s">
        <v>37</v>
      </c>
      <c r="V178" s="97" t="s">
        <v>37</v>
      </c>
      <c r="W178" s="97" t="s">
        <v>37</v>
      </c>
      <c r="X178" s="97"/>
      <c r="Y178" s="9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8">
        <v>10110515</v>
      </c>
      <c r="AK178" s="59">
        <v>12</v>
      </c>
      <c r="AL178" s="60">
        <f t="shared" si="148"/>
        <v>4</v>
      </c>
      <c r="AM178" s="61">
        <f t="shared" si="149"/>
        <v>12</v>
      </c>
      <c r="AN178" s="62">
        <f>+AL178+AM178</f>
        <v>16</v>
      </c>
      <c r="AO178" s="62">
        <f t="shared" si="151"/>
        <v>1</v>
      </c>
      <c r="AP178" s="62">
        <f t="shared" si="152"/>
        <v>0</v>
      </c>
      <c r="AQ178" s="63">
        <f t="shared" si="153"/>
        <v>0</v>
      </c>
      <c r="AR178" s="62">
        <f t="shared" si="154"/>
        <v>0</v>
      </c>
      <c r="AS178" s="62">
        <f t="shared" si="155"/>
        <v>0</v>
      </c>
      <c r="AT178" s="64"/>
      <c r="AU178" s="64"/>
      <c r="AV178" s="65">
        <f t="shared" si="156"/>
        <v>12</v>
      </c>
      <c r="AW178" s="65">
        <f t="shared" si="157"/>
        <v>0</v>
      </c>
      <c r="AX178" s="64"/>
      <c r="AY178" s="64"/>
      <c r="AZ178" s="80"/>
      <c r="BA178" s="66">
        <f>+AN178+AR178+AS178+AO178</f>
        <v>17</v>
      </c>
      <c r="BB178" s="67"/>
      <c r="BC178" s="68"/>
      <c r="BD178" s="69">
        <f>VLOOKUP($B178,[1]CN!$B$9:$DK$221,114,0)</f>
        <v>4</v>
      </c>
      <c r="BE178" s="70">
        <f t="shared" si="158"/>
        <v>27</v>
      </c>
      <c r="BF178" s="71" t="s">
        <v>353</v>
      </c>
      <c r="BG178" s="72" t="s">
        <v>34</v>
      </c>
      <c r="BH178" s="73" t="str">
        <f>VLOOKUP(B178,'[2]Bang luong_06'!$B$9:$C$333,2,0)</f>
        <v>Chay Hoàng Sơn</v>
      </c>
      <c r="BI178" s="74" t="s">
        <v>386</v>
      </c>
      <c r="BJ178" s="75" t="str">
        <f>VLOOKUP($B178,'[2]Bang luong_06'!$B$10:$C$333,2,0)</f>
        <v>Chay Hoàng Sơn</v>
      </c>
      <c r="BK178" s="76" t="b">
        <f t="shared" si="159"/>
        <v>1</v>
      </c>
      <c r="BM178" s="77">
        <f>+VLOOKUP(B178,'[2]Thưởng Lễ 2-9'!B136:G425,6,0)</f>
        <v>0</v>
      </c>
      <c r="BN178" s="75">
        <f t="shared" si="160"/>
        <v>52</v>
      </c>
      <c r="BO178" s="76" t="str">
        <f>+VLOOKUP(B178,'[2]Bang luong_06'!B143:D456,3,0)</f>
        <v>CNSX</v>
      </c>
      <c r="BP178" s="76" t="s">
        <v>40</v>
      </c>
      <c r="BQ178" s="76">
        <v>8</v>
      </c>
      <c r="BR178" s="76">
        <f>COUNTIF(D178:AI178,"N")+COUNTIF(D178:AI178,"N1")*1/AK178+COUNTIF(D178:AI178,"N2")*2/AK178+COUNTIF(D178:AI178,"N3")*3/AK178+COUNTIF(D178:AI178,"N4")*4/AK178+COUNTIF(D178:AI178,"N5")*5/AK178+COUNTIF(D178:AI178,"N6")*6/AK178+COUNTIF(D178:AI178,"N7")*7/AK178+COUNTIF(D178:AI178,"N8")*8/AK178+COUNTIF(D178:AI178,"N9")*9/AK178+COUNTIF(D178:AI178,"N10")*10/AK178+COUNTIF(D178:AI178,"N11")*11/AK178+COUNTIF(D178:AI178,"N12")*12/AK178+COUNTIF(D178:AI178,"Ro1")*1/AK178+COUNTIF(D178:AI178,"Ro2")*2/AK178+COUNTIF(D178:AI178,"Ro3")*3/AK178+COUNTIF(D178:AI178,"Ro3.0")*3/AK178+COUNTIF(D178:AI178,"Ro4")*4/AK178+COUNTIF(D178:AI178,"Ro4.0")*4/AK178+COUNTIF(D178:AI178,"Ro4.5")*4.5/AK178+COUNTIF(D178:AI178,"Ro5")*5/AK178+COUNTIF(D178:AI178,"Ro5.0")*5/AK178+COUNTIF(D178:AI178,"Ro5.5")*5.5/AK178+COUNTIF(D178:AI178,"Ro6")*6/AK178+COUNTIF(D178:AI178,"Ro7")*7/AK178+COUNTIF(D178:AI178,"Ro8")*8/AK178+COUNTIF(D178:AI178,"Ro8.0")*8/AK178+COUNTIF(D178:AI178,"Ro8.3")*8.3/AK178+COUNTIF(D178:AI178,"Ro8.5")*8.5/AK178+COUNTIF(D178:AI178,"Ro9")*9/AK178+COUNTIF(D178:AI178,"Ro9.5")*9.5/AK178+COUNTIF(D178:AI178,"Ro10")*10/AK178+COUNTIF(D178:AI178,"Ro10.0")*10/AK178+COUNTIF(D178:AI178,"Ro10.5")*10.5/AK178+COUNTIF(D178:AI178,"Ro11")*11/AK178+COUNTIF(D178:AI178,"Ro11.0")*11/AK178+COUNTIF(D178:AI178,"Ro11.5")*11.5/AK178+COUNTIF(D178:AI178,"P2")*0.5</f>
        <v>4</v>
      </c>
    </row>
    <row r="179" spans="1:70" s="84" customFormat="1" ht="31.5" customHeight="1" x14ac:dyDescent="0.25">
      <c r="A179" s="33" t="str">
        <f t="shared" si="133"/>
        <v/>
      </c>
      <c r="B179" s="46"/>
      <c r="C179" s="46" t="s">
        <v>388</v>
      </c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81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82"/>
      <c r="BE179" s="46"/>
      <c r="BF179" s="96" t="s">
        <v>389</v>
      </c>
      <c r="BG179" s="92" t="s">
        <v>34</v>
      </c>
      <c r="BH179" s="73"/>
      <c r="BI179" s="73"/>
      <c r="BJ179" s="75"/>
      <c r="BK179" s="76"/>
      <c r="BM179" s="77"/>
      <c r="BN179" s="75"/>
      <c r="BO179" s="76"/>
      <c r="BP179" s="76"/>
      <c r="BQ179" s="76"/>
      <c r="BR179" s="76" t="e">
        <f t="shared" si="147"/>
        <v>#DIV/0!</v>
      </c>
    </row>
    <row r="180" spans="1:70" s="76" customFormat="1" ht="31.5" customHeight="1" x14ac:dyDescent="0.25">
      <c r="A180" s="33">
        <f t="shared" si="133"/>
        <v>157</v>
      </c>
      <c r="B180" s="33" t="s">
        <v>390</v>
      </c>
      <c r="C180" s="55" t="s">
        <v>391</v>
      </c>
      <c r="D180" s="56">
        <v>45450</v>
      </c>
      <c r="E180" s="86" t="s">
        <v>38</v>
      </c>
      <c r="F180" s="57" t="s">
        <v>38</v>
      </c>
      <c r="G180" s="57" t="s">
        <v>38</v>
      </c>
      <c r="H180" s="91" t="s">
        <v>38</v>
      </c>
      <c r="I180" s="91" t="s">
        <v>38</v>
      </c>
      <c r="J180" s="91">
        <v>9</v>
      </c>
      <c r="K180" s="91" t="s">
        <v>38</v>
      </c>
      <c r="L180" s="57" t="s">
        <v>38</v>
      </c>
      <c r="M180" s="91" t="s">
        <v>38</v>
      </c>
      <c r="N180" s="91" t="s">
        <v>38</v>
      </c>
      <c r="O180" s="91" t="s">
        <v>38</v>
      </c>
      <c r="P180" s="91" t="s">
        <v>38</v>
      </c>
      <c r="Q180" s="91"/>
      <c r="R180" s="91" t="s">
        <v>38</v>
      </c>
      <c r="S180" s="57" t="s">
        <v>38</v>
      </c>
      <c r="T180" s="91" t="s">
        <v>38</v>
      </c>
      <c r="U180" s="57" t="s">
        <v>38</v>
      </c>
      <c r="V180" s="128" t="s">
        <v>38</v>
      </c>
      <c r="W180" s="91" t="s">
        <v>38</v>
      </c>
      <c r="X180" s="91">
        <v>9</v>
      </c>
      <c r="Y180" s="57"/>
      <c r="Z180" s="91"/>
      <c r="AA180" s="91"/>
      <c r="AB180" s="57"/>
      <c r="AC180" s="57"/>
      <c r="AD180" s="91"/>
      <c r="AE180" s="57"/>
      <c r="AF180" s="91"/>
      <c r="AG180" s="91"/>
      <c r="AH180" s="91"/>
      <c r="AI180" s="85"/>
      <c r="AJ180" s="58">
        <v>10100403</v>
      </c>
      <c r="AK180" s="59">
        <v>12</v>
      </c>
      <c r="AL180" s="60">
        <f t="shared" ref="AL180:AL215" si="161">COUNTIF(D180:AI180,"N")+COUNTIF(D180:AI180,"N1")*1/AK180+COUNTIF(D180:AI180,"N2")*2/AK180+COUNTIF(D180:AI180,"N3")*3/AK180+COUNTIF(D180:AI180,"N4")*4/AK180+COUNTIF(D180:AI180,"N5")*5/AK180+COUNTIF(D180:AI180,"N6")*6/AK180+COUNTIF(D180:AI180,"N7")*7/AK180+COUNTIF(D180:AI180,"N8")*8/AK180+COUNTIF(D180:AI180,"N9")*9/AK180+COUNTIF(D180:AI180,"N10")*10/AK180+COUNTIF(D180:AI180,"N11")*11/AK180+COUNTIF(D180:AI180,"N12")*12/AK180+COUNTIF(D180:AI180,"Ro1")*1/AK180+COUNTIF(D180:AI180,"Ro2")*2/AK180+COUNTIF(D180:AI180,"Ro3")*3/AK180+COUNTIF(D180:AI180,"Ro3.0")*3/AK180+COUNTIF(D180:AI180,"Ro4")*4/AK180+COUNTIF(D180:AI180,"Ro4.0")*4/AK180+COUNTIF(D180:AI180,"Ro4.5")*4.5/AK180+COUNTIF(D180:AI180,"Ro5")*5/AK180+COUNTIF(D180:AI180,"Ro5.0")*5/AK180+COUNTIF(D180:AI180,"Ro5.5")*5.5/AK180+COUNTIF(D180:AI180,"Ro6")*6/AK180+COUNTIF(D180:AI180,"Ro7")*7/AK180+COUNTIF(D180:AI180,"Ro8")*8/AK180+COUNTIF(D180:AI180,"Ro8.0")*8/AK180+COUNTIF(D180:AI180,"Ro8.3")*8.3/AK180+COUNTIF(D180:AI180,"Ro8.5")*8.5/AK180+COUNTIF(D180:AI180,"Ro9")*9/AK180+COUNTIF(D180:AI180,"Ro9.5")*9.5/AK180+COUNTIF(D180:AI180,"Ro10")*10/AK180+COUNTIF(D180:AI180,"Ro10.0")*10/AK180+COUNTIF(D180:AI180,"Ro10.5")*10.5/AK180+COUNTIF(D180:AI180,"Ro11")*11/AK180+COUNTIF(D180:AI180,"Ro11.0")*11/AK180+COUNTIF(D180:AI180,"Ro11.5")*11.5/AK180+COUNTIF(D180:AI180,"Bu1")+COUNTIF(D180:AI180,"Bu2")+COUNTIF(D180:AI180,"Bu3")+COUNTIF(D180:AI180,"Bu4")+COUNTIF(D180:AI180,"Bu5")+COUNTIF(D180:AI180,"Bu6")+COUNTIF(D180:AI180,"Bu7")+COUNTIF(D180:AI180,"Bu8")+COUNTIF(D180:AI180,"Bu9")+COUNTIF(D180:AI180,"Bu10")+COUNTIF(D180:AI180,"Bu11")+COUNTIF(D180:AI180,"Bu")+COUNTIF(D180:AI180,"P2")*0.5</f>
        <v>17</v>
      </c>
      <c r="AM180" s="61">
        <f t="shared" ref="AM180:AM215" si="162">COUNTIF(E180:AI180,"D")+COUNTIF(E180:AI180,"D1")*1/AK180+COUNTIF(E180:AI180,"D2")*2/AK180+COUNTIF(E180:AI180,"D3")*3/AK180+COUNTIF(E180:AI180,"D4")*4/AK180+COUNTIF(E180:AI180,"D5")*5/AK180+COUNTIF(E180:AI180,"D6")*6/AK180+COUNTIF(E180:AI180,"D7")*7/AK180+COUNTIF(E180:AI180,"D8")*8/AK180+COUNTIF(E180:AI180,"D9")*9/AK180+COUNTIF(E180:AI180,"D10")*10/AK180+COUNTIF(E180:AI180,"D11")*11/AK180+COUNTIF(E180:AI180,"D12")*12/AK180</f>
        <v>0</v>
      </c>
      <c r="AN180" s="62">
        <f t="shared" ref="AN180:AN215" si="163">+AL180+AM180</f>
        <v>17</v>
      </c>
      <c r="AO180" s="62">
        <f t="shared" ref="AO180:AO215" si="164">COUNTIF(E180:AI180,"p")+COUNTIF(E180:AI180,"p1")/2+COUNTIF(E180:AI180,"p2")/2</f>
        <v>0</v>
      </c>
      <c r="AP180" s="62">
        <f t="shared" ref="AP180:AP215" si="165">COUNTIF(E180:AI180,"K")</f>
        <v>0</v>
      </c>
      <c r="AQ180" s="63">
        <f t="shared" ref="AQ180:AQ215" si="166">COUNTIF(E180:AI180,"Ro")+COUNTIF(E180:AI180,"Ro1")*11/AK180+COUNTIF(E180:AI180,"Ro2")*10/AK180+COUNTIF(E180:AI180,"Ro3")*9/AK180+COUNTIF(E180:AI180,"Ro3.0")*9/AK180+COUNTIF(E180:AI180,"Ro4")*8/AK180+COUNTIF(E180:AI180,"Ro4.0")*8/AK180+COUNTIF(E180:AI180,"Ro4.5")*7.5/AK180+COUNTIF(E180:AI180,"Ro5")*7/AK180+COUNTIF(E180:AI180,"Ro5.0")*7/AK180+COUNTIF(E180:AI180,"Ro5.5")*6.5/AK180+COUNTIF(E180:AI180,"Ro6")*6/AK180+COUNTIF(E180:AI180,"Ro7")*5/AK180+COUNTIF(E180:AI180,"Ro8")*4/AK180+COUNTIF(E180:AI180,"Ro8.0")*4/AK180+COUNTIF(E180:AI180,"Ro8.3")*3.7/AK180+COUNTIF(E180:AI180,"Ro8.5")*3.5/AK180+COUNTIF(E180:AI180,"Ro9")*3/AK180+COUNTIF(E180:AI180,"Ro10")*2/AK180+COUNTIF(E180:AI180,"Ro10.0")*2/AK180+COUNTIF(E180:AI180,"Ro10.5")*1.5/AK180+COUNTIF(E180:AI180,"Ro11.0")*1/AK180+COUNTIF(E180:AI180,"Ro11")*1/AK180+COUNTIF(E180:AI180,"Ro11.5")*0.5/AK180+COUNTIF(E180:AI180,"N1")*11/AK180+COUNTIF(E180:AI180,"N2")*10/AK180+COUNTIF(E180:AI180,"N3")*9/AK180+COUNTIF(E180:AI180,"N4")*8/AK180+COUNTIF(E180:AI180,"N5")*7/AK180+COUNTIF(E180:AI180,"N6")*6/AK180+COUNTIF(E180:AI180,"N7")*5/AK180+COUNTIF(E180:AI180,"N8")*4/AK180+COUNTIF(E180:AI180,"N9")*3/AK180+COUNTIF(E180:AI180,"N10")*2/AK180+COUNTIF(E180:AI180,"N11")*1/AK180+COUNTIF(E180:AI180,"D1")*11/AK180+COUNTIF(E180:AI180,"D2")*10/AK180+COUNTIF(E180:AI180,"D3")*9/AK180+COUNTIF(E180:AI180,"D4")*8/AK180+COUNTIF(E180:AI180,"D5")*7/AK180+COUNTIF(E180:AI180,"D6")*6/AK180+COUNTIF(E180:AI180,"D7")*5/AK180+COUNTIF(E180:AI180,"D8")*4/AK180+COUNTIF(E180:AI180,"D9")*3/AK180+COUNTIF(E180:AI180,"D10")*2/AK180+COUNTIF(E180:AI180,"D11")*1/AK180+COUNTIF(E180:AI180,"P1")*0.5</f>
        <v>0</v>
      </c>
      <c r="AR180" s="62">
        <f t="shared" ref="AR180:AR215" si="167">COUNTIF(E180:AI180,"R")</f>
        <v>0</v>
      </c>
      <c r="AS180" s="62">
        <f t="shared" ref="AS180:AS215" si="168">COUNTIF(E180:AI180,"L")</f>
        <v>0</v>
      </c>
      <c r="AT180" s="64">
        <v>4</v>
      </c>
      <c r="AU180" s="64"/>
      <c r="AV180" s="65">
        <f t="shared" ref="AV180:AV215" si="169">COUNTIF(E180:AI180,"12N")*12</f>
        <v>0</v>
      </c>
      <c r="AW180" s="65">
        <f t="shared" ref="AW180:AW215" si="170">COUNTIF(F180:AI180,"12D")*12</f>
        <v>0</v>
      </c>
      <c r="AX180" s="64"/>
      <c r="AY180" s="64"/>
      <c r="AZ180" s="80"/>
      <c r="BA180" s="66">
        <f t="shared" si="127"/>
        <v>17</v>
      </c>
      <c r="BB180" s="67"/>
      <c r="BC180" s="68"/>
      <c r="BD180" s="69">
        <f>VLOOKUP($B180,[1]CN!$B$9:$DK$221,114,0)</f>
        <v>0</v>
      </c>
      <c r="BE180" s="70">
        <f t="shared" ref="BE180:BE215" si="171">+$AI$8-$E$8+1-INT(($AI$8-$E$8-WEEKDAY($AI$8)+8)/7)</f>
        <v>27</v>
      </c>
      <c r="BF180" s="71" t="s">
        <v>389</v>
      </c>
      <c r="BG180" s="72">
        <v>0</v>
      </c>
      <c r="BH180" s="73" t="str">
        <f>VLOOKUP(B180,'[2]Bang luong_06'!$B$9:$C$333,2,0)</f>
        <v>Danh Vích</v>
      </c>
      <c r="BI180" s="74" t="s">
        <v>390</v>
      </c>
      <c r="BJ180" s="75" t="str">
        <f>VLOOKUP($B180,'[2]Bang luong_06'!$B$10:$C$333,2,0)</f>
        <v>Danh Vích</v>
      </c>
      <c r="BK180" s="76" t="b">
        <f>BJ180=C180</f>
        <v>1</v>
      </c>
      <c r="BM180" s="77">
        <f>+VLOOKUP(B180,'[2]Thưởng Lễ 2-9'!B177:G466,6,0)</f>
        <v>0</v>
      </c>
      <c r="BN180" s="75">
        <f>ROUND(($BN$12-D180)/30,0)</f>
        <v>3</v>
      </c>
      <c r="BO180" s="76" t="e">
        <f>+VLOOKUP(B180,'[2]Bang luong_06'!#REF!,3,0)</f>
        <v>#REF!</v>
      </c>
      <c r="BP180" s="76" t="s">
        <v>40</v>
      </c>
      <c r="BQ180" s="76">
        <v>1</v>
      </c>
      <c r="BR180" s="76">
        <f t="shared" si="147"/>
        <v>17</v>
      </c>
    </row>
    <row r="181" spans="1:70" s="76" customFormat="1" ht="31.5" customHeight="1" x14ac:dyDescent="0.25">
      <c r="A181" s="33">
        <f t="shared" si="133"/>
        <v>158</v>
      </c>
      <c r="B181" s="33" t="s">
        <v>392</v>
      </c>
      <c r="C181" s="55" t="s">
        <v>393</v>
      </c>
      <c r="D181" s="56">
        <v>39629</v>
      </c>
      <c r="E181" s="86" t="s">
        <v>38</v>
      </c>
      <c r="F181" s="86" t="s">
        <v>38</v>
      </c>
      <c r="G181" s="57" t="s">
        <v>38</v>
      </c>
      <c r="H181" s="91" t="s">
        <v>38</v>
      </c>
      <c r="I181" s="91" t="s">
        <v>38</v>
      </c>
      <c r="J181" s="91"/>
      <c r="K181" s="91" t="s">
        <v>107</v>
      </c>
      <c r="L181" s="91" t="s">
        <v>38</v>
      </c>
      <c r="M181" s="91" t="s">
        <v>38</v>
      </c>
      <c r="N181" s="91" t="s">
        <v>38</v>
      </c>
      <c r="O181" s="91" t="s">
        <v>38</v>
      </c>
      <c r="P181" s="91" t="s">
        <v>38</v>
      </c>
      <c r="Q181" s="91"/>
      <c r="R181" s="91" t="s">
        <v>38</v>
      </c>
      <c r="S181" s="57" t="s">
        <v>38</v>
      </c>
      <c r="T181" s="57" t="s">
        <v>38</v>
      </c>
      <c r="U181" s="57" t="s">
        <v>38</v>
      </c>
      <c r="V181" s="57" t="s">
        <v>38</v>
      </c>
      <c r="W181" s="91" t="s">
        <v>38</v>
      </c>
      <c r="X181" s="91"/>
      <c r="Y181" s="91"/>
      <c r="Z181" s="91"/>
      <c r="AA181" s="91"/>
      <c r="AB181" s="57"/>
      <c r="AC181" s="57"/>
      <c r="AD181" s="91"/>
      <c r="AE181" s="91"/>
      <c r="AF181" s="91"/>
      <c r="AG181" s="91"/>
      <c r="AH181" s="91"/>
      <c r="AI181" s="85"/>
      <c r="AJ181" s="58">
        <v>10110513</v>
      </c>
      <c r="AK181" s="59">
        <v>12</v>
      </c>
      <c r="AL181" s="60">
        <f t="shared" si="161"/>
        <v>16</v>
      </c>
      <c r="AM181" s="61">
        <f t="shared" si="162"/>
        <v>0</v>
      </c>
      <c r="AN181" s="62">
        <f t="shared" si="163"/>
        <v>16</v>
      </c>
      <c r="AO181" s="62">
        <f t="shared" si="164"/>
        <v>1</v>
      </c>
      <c r="AP181" s="62">
        <f t="shared" si="165"/>
        <v>0</v>
      </c>
      <c r="AQ181" s="63">
        <f t="shared" si="166"/>
        <v>0</v>
      </c>
      <c r="AR181" s="62">
        <f t="shared" si="167"/>
        <v>0</v>
      </c>
      <c r="AS181" s="62">
        <f t="shared" si="168"/>
        <v>0</v>
      </c>
      <c r="AT181" s="64">
        <v>8</v>
      </c>
      <c r="AU181" s="64"/>
      <c r="AV181" s="65">
        <f t="shared" si="169"/>
        <v>0</v>
      </c>
      <c r="AW181" s="65">
        <f t="shared" si="170"/>
        <v>0</v>
      </c>
      <c r="AX181" s="64"/>
      <c r="AY181" s="64"/>
      <c r="AZ181" s="80"/>
      <c r="BA181" s="66">
        <f t="shared" si="127"/>
        <v>17</v>
      </c>
      <c r="BB181" s="67"/>
      <c r="BC181" s="68"/>
      <c r="BD181" s="69">
        <f>VLOOKUP($B181,[1]CN!$B$9:$DK$221,114,0)</f>
        <v>5</v>
      </c>
      <c r="BE181" s="70">
        <f t="shared" si="171"/>
        <v>27</v>
      </c>
      <c r="BF181" s="71" t="s">
        <v>389</v>
      </c>
      <c r="BG181" s="72" t="s">
        <v>34</v>
      </c>
      <c r="BH181" s="73" t="str">
        <f>VLOOKUP(B181,'[2]Bang luong_06'!$B$9:$C$333,2,0)</f>
        <v>Nguyễn Diệu Hiền</v>
      </c>
      <c r="BI181" s="74" t="s">
        <v>392</v>
      </c>
      <c r="BJ181" s="75" t="str">
        <f>VLOOKUP($B181,'[2]Bang luong_06'!$B$10:$C$333,2,0)</f>
        <v>Nguyễn Diệu Hiền</v>
      </c>
      <c r="BK181" s="76" t="b">
        <f>BJ181=C181</f>
        <v>1</v>
      </c>
      <c r="BM181" s="77">
        <f>+VLOOKUP(B181,'[2]Thưởng Lễ 2-9'!B146:G434,6,0)</f>
        <v>0</v>
      </c>
      <c r="BN181" s="75">
        <f>ROUND(($BN$12-D181)/30,0)</f>
        <v>197</v>
      </c>
      <c r="BO181" s="76" t="str">
        <f>+VLOOKUP(B181,'[2]Bang luong_06'!B154:D465,3,0)</f>
        <v>CN Đóng gói</v>
      </c>
      <c r="BP181" s="76" t="s">
        <v>40</v>
      </c>
      <c r="BQ181" s="76">
        <v>7</v>
      </c>
      <c r="BR181" s="76">
        <f>COUNTIF(D181:AI181,"N")+COUNTIF(D181:AI181,"N1")*1/AK181+COUNTIF(D181:AI181,"N2")*2/AK181+COUNTIF(D181:AI181,"N3")*3/AK181+COUNTIF(D181:AI181,"N4")*4/AK181+COUNTIF(D181:AI181,"N5")*5/AK181+COUNTIF(D181:AI181,"N6")*6/AK181+COUNTIF(D181:AI181,"N7")*7/AK181+COUNTIF(D181:AI181,"N8")*8/AK181+COUNTIF(D181:AI181,"N9")*9/AK181+COUNTIF(D181:AI181,"N10")*10/AK181+COUNTIF(D181:AI181,"N11")*11/AK181+COUNTIF(D181:AI181,"N12")*12/AK181+COUNTIF(D181:AI181,"Ro1")*1/AK181+COUNTIF(D181:AI181,"Ro2")*2/AK181+COUNTIF(D181:AI181,"Ro3")*3/AK181+COUNTIF(D181:AI181,"Ro3.0")*3/AK181+COUNTIF(D181:AI181,"Ro4")*4/AK181+COUNTIF(D181:AI181,"Ro4.0")*4/AK181+COUNTIF(D181:AI181,"Ro4.5")*4.5/AK181+COUNTIF(D181:AI181,"Ro5")*5/AK181+COUNTIF(D181:AI181,"Ro5.0")*5/AK181+COUNTIF(D181:AI181,"Ro5.5")*5.5/AK181+COUNTIF(D181:AI181,"Ro6")*6/AK181+COUNTIF(D181:AI181,"Ro7")*7/AK181+COUNTIF(D181:AI181,"Ro8")*8/AK181+COUNTIF(D181:AI181,"Ro8.0")*8/AK181+COUNTIF(D181:AI181,"Ro8.3")*8.3/AK181+COUNTIF(D181:AI181,"Ro8.5")*8.5/AK181+COUNTIF(D181:AI181,"Ro9")*9/AK181+COUNTIF(D181:AI181,"Ro9.5")*9.5/AK181+COUNTIF(D181:AI181,"Ro10")*10/AK181+COUNTIF(D181:AI181,"Ro10.0")*10/AK181+COUNTIF(D181:AI181,"Ro10.5")*10.5/AK181+COUNTIF(D181:AI181,"Ro11")*11/AK181+COUNTIF(D181:AI181,"Ro11.0")*11/AK181+COUNTIF(D181:AI181,"Ro11.5")*11.5/AK181+COUNTIF(D181:AI181,"P2")*0.5</f>
        <v>16</v>
      </c>
    </row>
    <row r="182" spans="1:70" s="76" customFormat="1" ht="31.5" customHeight="1" x14ac:dyDescent="0.25">
      <c r="A182" s="33">
        <f t="shared" si="133"/>
        <v>159</v>
      </c>
      <c r="B182" s="33" t="s">
        <v>394</v>
      </c>
      <c r="C182" s="55" t="s">
        <v>395</v>
      </c>
      <c r="D182" s="56">
        <v>43866</v>
      </c>
      <c r="E182" s="86" t="s">
        <v>38</v>
      </c>
      <c r="F182" s="86" t="s">
        <v>38</v>
      </c>
      <c r="G182" s="57" t="s">
        <v>38</v>
      </c>
      <c r="H182" s="91" t="s">
        <v>38</v>
      </c>
      <c r="I182" s="91" t="s">
        <v>38</v>
      </c>
      <c r="J182" s="91">
        <v>9</v>
      </c>
      <c r="K182" s="91" t="s">
        <v>38</v>
      </c>
      <c r="L182" s="91" t="s">
        <v>38</v>
      </c>
      <c r="M182" s="91" t="s">
        <v>38</v>
      </c>
      <c r="N182" s="91" t="s">
        <v>38</v>
      </c>
      <c r="O182" s="91" t="s">
        <v>38</v>
      </c>
      <c r="P182" s="91" t="s">
        <v>38</v>
      </c>
      <c r="Q182" s="91">
        <v>9</v>
      </c>
      <c r="R182" s="91" t="s">
        <v>38</v>
      </c>
      <c r="S182" s="91" t="s">
        <v>38</v>
      </c>
      <c r="T182" s="57" t="s">
        <v>38</v>
      </c>
      <c r="U182" s="91" t="s">
        <v>38</v>
      </c>
      <c r="V182" s="57" t="s">
        <v>38</v>
      </c>
      <c r="W182" s="91" t="s">
        <v>38</v>
      </c>
      <c r="X182" s="91">
        <v>9</v>
      </c>
      <c r="Y182" s="91"/>
      <c r="Z182" s="91"/>
      <c r="AA182" s="57"/>
      <c r="AB182" s="57"/>
      <c r="AC182" s="57"/>
      <c r="AD182" s="91"/>
      <c r="AE182" s="91"/>
      <c r="AF182" s="91"/>
      <c r="AG182" s="91"/>
      <c r="AH182" s="91"/>
      <c r="AI182" s="85"/>
      <c r="AJ182" s="58">
        <v>10110513</v>
      </c>
      <c r="AK182" s="59">
        <v>12</v>
      </c>
      <c r="AL182" s="60">
        <f t="shared" si="161"/>
        <v>17</v>
      </c>
      <c r="AM182" s="61">
        <f t="shared" si="162"/>
        <v>0</v>
      </c>
      <c r="AN182" s="62">
        <f t="shared" si="163"/>
        <v>17</v>
      </c>
      <c r="AO182" s="62">
        <f t="shared" si="164"/>
        <v>0</v>
      </c>
      <c r="AP182" s="62">
        <f t="shared" si="165"/>
        <v>0</v>
      </c>
      <c r="AQ182" s="63">
        <f t="shared" si="166"/>
        <v>0</v>
      </c>
      <c r="AR182" s="62">
        <f t="shared" si="167"/>
        <v>0</v>
      </c>
      <c r="AS182" s="62">
        <f t="shared" si="168"/>
        <v>0</v>
      </c>
      <c r="AT182" s="64">
        <v>12</v>
      </c>
      <c r="AU182" s="64"/>
      <c r="AV182" s="65">
        <f t="shared" si="169"/>
        <v>0</v>
      </c>
      <c r="AW182" s="65">
        <f t="shared" si="170"/>
        <v>0</v>
      </c>
      <c r="AX182" s="64"/>
      <c r="AY182" s="64"/>
      <c r="AZ182" s="80"/>
      <c r="BA182" s="66">
        <f t="shared" si="127"/>
        <v>17</v>
      </c>
      <c r="BB182" s="67"/>
      <c r="BC182" s="68"/>
      <c r="BD182" s="69">
        <f>VLOOKUP($B182,[1]CN!$B$9:$DK$221,114,0)</f>
        <v>4</v>
      </c>
      <c r="BE182" s="70">
        <f t="shared" si="171"/>
        <v>27</v>
      </c>
      <c r="BF182" s="71" t="s">
        <v>389</v>
      </c>
      <c r="BG182" s="72" t="s">
        <v>34</v>
      </c>
      <c r="BH182" s="73" t="str">
        <f>VLOOKUP(B182,'[2]Bang luong_06'!$B$9:$C$333,2,0)</f>
        <v>Danh Thị Thanh</v>
      </c>
      <c r="BI182" s="74" t="s">
        <v>392</v>
      </c>
      <c r="BJ182" s="75" t="str">
        <f>VLOOKUP($B182,'[2]Bang luong_06'!$B$10:$C$333,2,0)</f>
        <v>Danh Thị Thanh</v>
      </c>
      <c r="BK182" s="76" t="b">
        <f t="shared" ref="BK182:BK215" si="172">BJ182=C182</f>
        <v>1</v>
      </c>
      <c r="BM182" s="77">
        <f>+VLOOKUP(B182,'[2]Thưởng Lễ 2-9'!B147:G435,6,0)</f>
        <v>0</v>
      </c>
      <c r="BN182" s="75">
        <f t="shared" ref="BN182:BN215" si="173">ROUND(($BN$12-D182)/30,0)</f>
        <v>56</v>
      </c>
      <c r="BO182" s="76" t="str">
        <f>+VLOOKUP(B182,'[2]Bang luong_06'!B155:D466,3,0)</f>
        <v>CN Đóng gói</v>
      </c>
      <c r="BP182" s="76" t="s">
        <v>40</v>
      </c>
      <c r="BQ182" s="76">
        <v>7</v>
      </c>
      <c r="BR182" s="76">
        <f t="shared" si="147"/>
        <v>17</v>
      </c>
    </row>
    <row r="183" spans="1:70" s="76" customFormat="1" ht="31.5" customHeight="1" x14ac:dyDescent="0.25">
      <c r="A183" s="33">
        <f t="shared" si="133"/>
        <v>160</v>
      </c>
      <c r="B183" s="33" t="s">
        <v>396</v>
      </c>
      <c r="C183" s="55" t="s">
        <v>397</v>
      </c>
      <c r="D183" s="56">
        <v>43726</v>
      </c>
      <c r="E183" s="86" t="s">
        <v>38</v>
      </c>
      <c r="F183" s="57" t="s">
        <v>38</v>
      </c>
      <c r="G183" s="57" t="s">
        <v>38</v>
      </c>
      <c r="H183" s="91" t="s">
        <v>38</v>
      </c>
      <c r="I183" s="91" t="s">
        <v>516</v>
      </c>
      <c r="J183" s="91">
        <v>9</v>
      </c>
      <c r="K183" s="91" t="s">
        <v>38</v>
      </c>
      <c r="L183" s="57" t="s">
        <v>38</v>
      </c>
      <c r="M183" s="91" t="s">
        <v>38</v>
      </c>
      <c r="N183" s="91" t="s">
        <v>38</v>
      </c>
      <c r="O183" s="91" t="s">
        <v>38</v>
      </c>
      <c r="P183" s="91" t="s">
        <v>38</v>
      </c>
      <c r="Q183" s="91">
        <v>9</v>
      </c>
      <c r="R183" s="91" t="s">
        <v>38</v>
      </c>
      <c r="S183" s="57" t="s">
        <v>38</v>
      </c>
      <c r="T183" s="57" t="s">
        <v>38</v>
      </c>
      <c r="U183" s="91" t="s">
        <v>38</v>
      </c>
      <c r="V183" s="128" t="s">
        <v>38</v>
      </c>
      <c r="W183" s="91" t="s">
        <v>38</v>
      </c>
      <c r="X183" s="91"/>
      <c r="Y183" s="91"/>
      <c r="Z183" s="91"/>
      <c r="AA183" s="57"/>
      <c r="AB183" s="57"/>
      <c r="AC183" s="57"/>
      <c r="AD183" s="91"/>
      <c r="AE183" s="91"/>
      <c r="AF183" s="57"/>
      <c r="AG183" s="91"/>
      <c r="AH183" s="91"/>
      <c r="AI183" s="85"/>
      <c r="AJ183" s="58">
        <v>10110513</v>
      </c>
      <c r="AK183" s="59">
        <v>12</v>
      </c>
      <c r="AL183" s="60">
        <f t="shared" si="161"/>
        <v>16.5</v>
      </c>
      <c r="AM183" s="61">
        <f t="shared" si="162"/>
        <v>0</v>
      </c>
      <c r="AN183" s="62">
        <f t="shared" si="163"/>
        <v>16.5</v>
      </c>
      <c r="AO183" s="62">
        <f t="shared" si="164"/>
        <v>0.5</v>
      </c>
      <c r="AP183" s="62">
        <f t="shared" si="165"/>
        <v>0</v>
      </c>
      <c r="AQ183" s="63">
        <f t="shared" si="166"/>
        <v>0</v>
      </c>
      <c r="AR183" s="62">
        <f t="shared" si="167"/>
        <v>0</v>
      </c>
      <c r="AS183" s="62">
        <f t="shared" si="168"/>
        <v>0</v>
      </c>
      <c r="AT183" s="64">
        <v>11</v>
      </c>
      <c r="AU183" s="64"/>
      <c r="AV183" s="65">
        <f t="shared" si="169"/>
        <v>0</v>
      </c>
      <c r="AW183" s="65">
        <f t="shared" si="170"/>
        <v>0</v>
      </c>
      <c r="AX183" s="64"/>
      <c r="AY183" s="64"/>
      <c r="AZ183" s="80"/>
      <c r="BA183" s="66">
        <f t="shared" si="127"/>
        <v>17</v>
      </c>
      <c r="BB183" s="67"/>
      <c r="BC183" s="68"/>
      <c r="BD183" s="69">
        <f>VLOOKUP($B183,[1]CN!$B$9:$DK$221,114,0)</f>
        <v>3</v>
      </c>
      <c r="BE183" s="70">
        <f t="shared" si="171"/>
        <v>27</v>
      </c>
      <c r="BF183" s="71" t="s">
        <v>389</v>
      </c>
      <c r="BG183" s="72" t="s">
        <v>34</v>
      </c>
      <c r="BH183" s="73" t="str">
        <f>VLOOKUP(B183,'[2]Bang luong_06'!$B$9:$C$333,2,0)</f>
        <v>Phan Kim Tâm</v>
      </c>
      <c r="BI183" s="74" t="s">
        <v>398</v>
      </c>
      <c r="BJ183" s="75" t="str">
        <f>VLOOKUP($B183,'[2]Bang luong_06'!$B$10:$C$333,2,0)</f>
        <v>Phan Kim Tâm</v>
      </c>
      <c r="BK183" s="76" t="b">
        <f t="shared" si="172"/>
        <v>1</v>
      </c>
      <c r="BM183" s="77">
        <f>+VLOOKUP(B183,'[2]Thưởng Lễ 2-9'!B149:G438,6,0)</f>
        <v>0</v>
      </c>
      <c r="BN183" s="75">
        <f t="shared" si="173"/>
        <v>60</v>
      </c>
      <c r="BO183" s="76" t="str">
        <f>+VLOOKUP(B183,'[2]Bang luong_06'!B161:D469,3,0)</f>
        <v>CN Đóng gói</v>
      </c>
      <c r="BP183" s="76" t="s">
        <v>40</v>
      </c>
      <c r="BQ183" s="76">
        <v>1</v>
      </c>
      <c r="BR183" s="76">
        <f t="shared" si="147"/>
        <v>16.5</v>
      </c>
    </row>
    <row r="184" spans="1:70" s="76" customFormat="1" ht="31.5" customHeight="1" x14ac:dyDescent="0.25">
      <c r="A184" s="33">
        <f t="shared" si="133"/>
        <v>161</v>
      </c>
      <c r="B184" s="78" t="s">
        <v>399</v>
      </c>
      <c r="C184" s="55" t="s">
        <v>400</v>
      </c>
      <c r="D184" s="79">
        <v>41347</v>
      </c>
      <c r="E184" s="91" t="s">
        <v>38</v>
      </c>
      <c r="F184" s="91" t="s">
        <v>38</v>
      </c>
      <c r="G184" s="57" t="s">
        <v>38</v>
      </c>
      <c r="H184" s="91" t="s">
        <v>38</v>
      </c>
      <c r="I184" s="91" t="s">
        <v>38</v>
      </c>
      <c r="J184" s="91">
        <v>9</v>
      </c>
      <c r="K184" s="91" t="s">
        <v>38</v>
      </c>
      <c r="L184" s="91" t="s">
        <v>38</v>
      </c>
      <c r="M184" s="91" t="s">
        <v>38</v>
      </c>
      <c r="N184" s="91" t="s">
        <v>38</v>
      </c>
      <c r="O184" s="91" t="s">
        <v>38</v>
      </c>
      <c r="P184" s="91" t="s">
        <v>38</v>
      </c>
      <c r="Q184" s="91">
        <v>9</v>
      </c>
      <c r="R184" s="91" t="s">
        <v>38</v>
      </c>
      <c r="S184" s="91" t="s">
        <v>38</v>
      </c>
      <c r="T184" s="57" t="s">
        <v>38</v>
      </c>
      <c r="U184" s="57" t="s">
        <v>38</v>
      </c>
      <c r="V184" s="57" t="s">
        <v>38</v>
      </c>
      <c r="W184" s="91" t="s">
        <v>38</v>
      </c>
      <c r="X184" s="91">
        <v>9</v>
      </c>
      <c r="Y184" s="91"/>
      <c r="Z184" s="91"/>
      <c r="AA184" s="57"/>
      <c r="AB184" s="57"/>
      <c r="AC184" s="57"/>
      <c r="AD184" s="91"/>
      <c r="AE184" s="91"/>
      <c r="AF184" s="91"/>
      <c r="AG184" s="91"/>
      <c r="AH184" s="57"/>
      <c r="AI184" s="85"/>
      <c r="AJ184" s="58">
        <v>10110513</v>
      </c>
      <c r="AK184" s="59">
        <v>12</v>
      </c>
      <c r="AL184" s="60">
        <f t="shared" si="161"/>
        <v>17</v>
      </c>
      <c r="AM184" s="61">
        <f t="shared" si="162"/>
        <v>0</v>
      </c>
      <c r="AN184" s="62">
        <f t="shared" si="163"/>
        <v>17</v>
      </c>
      <c r="AO184" s="62">
        <f t="shared" si="164"/>
        <v>0</v>
      </c>
      <c r="AP184" s="62">
        <f t="shared" si="165"/>
        <v>0</v>
      </c>
      <c r="AQ184" s="63">
        <f t="shared" si="166"/>
        <v>0</v>
      </c>
      <c r="AR184" s="62">
        <f t="shared" si="167"/>
        <v>0</v>
      </c>
      <c r="AS184" s="62">
        <f t="shared" si="168"/>
        <v>0</v>
      </c>
      <c r="AT184" s="64">
        <v>16</v>
      </c>
      <c r="AU184" s="64"/>
      <c r="AV184" s="65">
        <f t="shared" si="169"/>
        <v>0</v>
      </c>
      <c r="AW184" s="65">
        <f t="shared" si="170"/>
        <v>0</v>
      </c>
      <c r="AX184" s="64"/>
      <c r="AY184" s="64"/>
      <c r="AZ184" s="80"/>
      <c r="BA184" s="66">
        <f t="shared" si="127"/>
        <v>17</v>
      </c>
      <c r="BB184" s="67"/>
      <c r="BC184" s="68"/>
      <c r="BD184" s="69">
        <f>VLOOKUP($B184,[1]CN!$B$9:$DK$221,114,0)</f>
        <v>6</v>
      </c>
      <c r="BE184" s="70">
        <f t="shared" si="171"/>
        <v>27</v>
      </c>
      <c r="BF184" s="71" t="s">
        <v>389</v>
      </c>
      <c r="BG184" s="72">
        <v>0</v>
      </c>
      <c r="BH184" s="73" t="str">
        <f>VLOOKUP(B184,'[2]Bang luong_06'!$B$9:$C$333,2,0)</f>
        <v>Hà Phước Thanh</v>
      </c>
      <c r="BI184" s="74" t="s">
        <v>396</v>
      </c>
      <c r="BJ184" s="75" t="str">
        <f>VLOOKUP($B184,'[2]Bang luong_06'!$B$10:$C$333,2,0)</f>
        <v>Hà Phước Thanh</v>
      </c>
      <c r="BK184" s="76" t="b">
        <f t="shared" si="172"/>
        <v>1</v>
      </c>
      <c r="BM184" s="77">
        <f>+VLOOKUP(B184,'[2]Thưởng Lễ 2-9'!B150:G439,6,0)</f>
        <v>0</v>
      </c>
      <c r="BN184" s="75">
        <f t="shared" si="173"/>
        <v>140</v>
      </c>
      <c r="BO184" s="76" t="str">
        <f>+VLOOKUP(B184,'[2]Bang luong_06'!B162:D470,3,0)</f>
        <v>Tổ phó</v>
      </c>
      <c r="BP184" s="76" t="s">
        <v>40</v>
      </c>
      <c r="BQ184" s="76">
        <v>6</v>
      </c>
      <c r="BR184" s="76">
        <f t="shared" si="147"/>
        <v>17</v>
      </c>
    </row>
    <row r="185" spans="1:70" s="76" customFormat="1" ht="31.5" customHeight="1" x14ac:dyDescent="0.25">
      <c r="A185" s="33">
        <f t="shared" si="133"/>
        <v>162</v>
      </c>
      <c r="B185" s="78" t="s">
        <v>401</v>
      </c>
      <c r="C185" s="55" t="s">
        <v>402</v>
      </c>
      <c r="D185" s="56">
        <v>43000.624019294002</v>
      </c>
      <c r="E185" s="86" t="s">
        <v>38</v>
      </c>
      <c r="F185" s="57" t="s">
        <v>38</v>
      </c>
      <c r="G185" s="57" t="s">
        <v>38</v>
      </c>
      <c r="H185" s="91" t="s">
        <v>38</v>
      </c>
      <c r="I185" s="91" t="s">
        <v>38</v>
      </c>
      <c r="J185" s="91">
        <v>9</v>
      </c>
      <c r="K185" s="91" t="s">
        <v>38</v>
      </c>
      <c r="L185" s="91" t="s">
        <v>38</v>
      </c>
      <c r="M185" s="91" t="s">
        <v>38</v>
      </c>
      <c r="N185" s="91" t="s">
        <v>38</v>
      </c>
      <c r="O185" s="91" t="s">
        <v>38</v>
      </c>
      <c r="P185" s="91" t="s">
        <v>38</v>
      </c>
      <c r="Q185" s="91">
        <v>9</v>
      </c>
      <c r="R185" s="91" t="s">
        <v>38</v>
      </c>
      <c r="S185" s="91" t="s">
        <v>38</v>
      </c>
      <c r="T185" s="57" t="s">
        <v>38</v>
      </c>
      <c r="U185" s="91" t="s">
        <v>38</v>
      </c>
      <c r="V185" s="57" t="s">
        <v>38</v>
      </c>
      <c r="W185" s="91" t="s">
        <v>38</v>
      </c>
      <c r="X185" s="91">
        <v>9</v>
      </c>
      <c r="Y185" s="91"/>
      <c r="Z185" s="91"/>
      <c r="AA185" s="57"/>
      <c r="AB185" s="57"/>
      <c r="AC185" s="57"/>
      <c r="AD185" s="91"/>
      <c r="AE185" s="91"/>
      <c r="AF185" s="91"/>
      <c r="AG185" s="91"/>
      <c r="AH185" s="91"/>
      <c r="AI185" s="85"/>
      <c r="AJ185" s="58">
        <v>10110513</v>
      </c>
      <c r="AK185" s="59">
        <v>12</v>
      </c>
      <c r="AL185" s="60">
        <f t="shared" si="161"/>
        <v>17</v>
      </c>
      <c r="AM185" s="61">
        <f t="shared" si="162"/>
        <v>0</v>
      </c>
      <c r="AN185" s="62">
        <f t="shared" si="163"/>
        <v>17</v>
      </c>
      <c r="AO185" s="62">
        <f t="shared" si="164"/>
        <v>0</v>
      </c>
      <c r="AP185" s="62">
        <f t="shared" si="165"/>
        <v>0</v>
      </c>
      <c r="AQ185" s="63">
        <f t="shared" si="166"/>
        <v>0</v>
      </c>
      <c r="AR185" s="62">
        <f t="shared" si="167"/>
        <v>0</v>
      </c>
      <c r="AS185" s="62">
        <f t="shared" si="168"/>
        <v>0</v>
      </c>
      <c r="AT185" s="64">
        <v>10</v>
      </c>
      <c r="AU185" s="64"/>
      <c r="AV185" s="65">
        <f t="shared" si="169"/>
        <v>0</v>
      </c>
      <c r="AW185" s="65">
        <f t="shared" si="170"/>
        <v>0</v>
      </c>
      <c r="AX185" s="64"/>
      <c r="AY185" s="64"/>
      <c r="AZ185" s="80"/>
      <c r="BA185" s="66">
        <f t="shared" si="127"/>
        <v>17</v>
      </c>
      <c r="BB185" s="67"/>
      <c r="BC185" s="68"/>
      <c r="BD185" s="69">
        <f>VLOOKUP($B185,[1]CN!$B$9:$DK$221,114,0)</f>
        <v>4</v>
      </c>
      <c r="BE185" s="70">
        <f t="shared" si="171"/>
        <v>27</v>
      </c>
      <c r="BF185" s="71" t="s">
        <v>389</v>
      </c>
      <c r="BG185" s="72" t="s">
        <v>34</v>
      </c>
      <c r="BH185" s="73" t="str">
        <f>VLOOKUP(B185,'[2]Bang luong_06'!$B$9:$C$333,2,0)</f>
        <v>Trương Văn Dũng</v>
      </c>
      <c r="BI185" s="74" t="s">
        <v>403</v>
      </c>
      <c r="BJ185" s="75" t="str">
        <f>VLOOKUP($B185,'[2]Bang luong_06'!$B$10:$C$333,2,0)</f>
        <v>Trương Văn Dũng</v>
      </c>
      <c r="BK185" s="76" t="b">
        <f>BJ185=C185</f>
        <v>1</v>
      </c>
      <c r="BM185" s="77">
        <f>+VLOOKUP(B185,'[2]Thưởng Lễ 2-9'!B12:G449,6,0)</f>
        <v>0</v>
      </c>
      <c r="BN185" s="75">
        <f>ROUND(($BN$12-D185)/30,0)</f>
        <v>84</v>
      </c>
      <c r="BO185" s="76" t="str">
        <f>+VLOOKUP(B185,'[2]Bang luong_06'!B170:D480,3,0)</f>
        <v>CN Đóng gói</v>
      </c>
      <c r="BP185" s="76" t="s">
        <v>40</v>
      </c>
      <c r="BQ185" s="76">
        <v>1</v>
      </c>
      <c r="BR185" s="76">
        <f t="shared" si="147"/>
        <v>17</v>
      </c>
    </row>
    <row r="186" spans="1:70" s="76" customFormat="1" ht="31.5" customHeight="1" x14ac:dyDescent="0.25">
      <c r="A186" s="33">
        <f t="shared" si="133"/>
        <v>163</v>
      </c>
      <c r="B186" s="78" t="s">
        <v>404</v>
      </c>
      <c r="C186" s="55" t="s">
        <v>405</v>
      </c>
      <c r="D186" s="56">
        <v>43159</v>
      </c>
      <c r="E186" s="91" t="s">
        <v>38</v>
      </c>
      <c r="F186" s="91" t="s">
        <v>38</v>
      </c>
      <c r="G186" s="91" t="s">
        <v>38</v>
      </c>
      <c r="H186" s="91" t="s">
        <v>38</v>
      </c>
      <c r="I186" s="91" t="s">
        <v>38</v>
      </c>
      <c r="J186" s="91">
        <v>9</v>
      </c>
      <c r="K186" s="91" t="s">
        <v>38</v>
      </c>
      <c r="L186" s="91" t="s">
        <v>38</v>
      </c>
      <c r="M186" s="91" t="s">
        <v>38</v>
      </c>
      <c r="N186" s="91" t="s">
        <v>38</v>
      </c>
      <c r="O186" s="91" t="s">
        <v>38</v>
      </c>
      <c r="P186" s="91" t="s">
        <v>38</v>
      </c>
      <c r="Q186" s="91">
        <v>9</v>
      </c>
      <c r="R186" s="91" t="s">
        <v>38</v>
      </c>
      <c r="S186" s="91" t="s">
        <v>38</v>
      </c>
      <c r="T186" s="91" t="s">
        <v>38</v>
      </c>
      <c r="U186" s="91" t="s">
        <v>38</v>
      </c>
      <c r="V186" s="128" t="s">
        <v>107</v>
      </c>
      <c r="W186" s="91" t="s">
        <v>107</v>
      </c>
      <c r="X186" s="91"/>
      <c r="Y186" s="91"/>
      <c r="Z186" s="91"/>
      <c r="AA186" s="57"/>
      <c r="AB186" s="57"/>
      <c r="AC186" s="57"/>
      <c r="AD186" s="91"/>
      <c r="AE186" s="91"/>
      <c r="AF186" s="91"/>
      <c r="AG186" s="91"/>
      <c r="AH186" s="57"/>
      <c r="AI186" s="85"/>
      <c r="AJ186" s="58">
        <v>10110513</v>
      </c>
      <c r="AK186" s="59">
        <v>12</v>
      </c>
      <c r="AL186" s="60">
        <f t="shared" si="161"/>
        <v>15</v>
      </c>
      <c r="AM186" s="61">
        <f t="shared" si="162"/>
        <v>0</v>
      </c>
      <c r="AN186" s="62">
        <f t="shared" si="163"/>
        <v>15</v>
      </c>
      <c r="AO186" s="62">
        <f t="shared" si="164"/>
        <v>2</v>
      </c>
      <c r="AP186" s="62">
        <f t="shared" si="165"/>
        <v>0</v>
      </c>
      <c r="AQ186" s="63">
        <f t="shared" si="166"/>
        <v>0</v>
      </c>
      <c r="AR186" s="62">
        <f t="shared" si="167"/>
        <v>0</v>
      </c>
      <c r="AS186" s="62">
        <f t="shared" si="168"/>
        <v>0</v>
      </c>
      <c r="AT186" s="64">
        <v>8</v>
      </c>
      <c r="AU186" s="64"/>
      <c r="AV186" s="65">
        <f t="shared" si="169"/>
        <v>0</v>
      </c>
      <c r="AW186" s="65">
        <f t="shared" si="170"/>
        <v>0</v>
      </c>
      <c r="AX186" s="64"/>
      <c r="AY186" s="64"/>
      <c r="AZ186" s="80"/>
      <c r="BA186" s="66">
        <f t="shared" si="127"/>
        <v>17</v>
      </c>
      <c r="BB186" s="67"/>
      <c r="BC186" s="99"/>
      <c r="BD186" s="69">
        <f>VLOOKUP($B186,[1]CN!$B$9:$DK$221,114,0)</f>
        <v>3</v>
      </c>
      <c r="BE186" s="70">
        <f t="shared" si="171"/>
        <v>27</v>
      </c>
      <c r="BF186" s="71" t="s">
        <v>389</v>
      </c>
      <c r="BG186" s="72" t="s">
        <v>34</v>
      </c>
      <c r="BH186" s="73" t="str">
        <f>VLOOKUP(B186,'[2]Bang luong_06'!$B$9:$C$333,2,0)</f>
        <v>Mai Thị Bé Ly</v>
      </c>
      <c r="BI186" s="74" t="s">
        <v>406</v>
      </c>
      <c r="BJ186" s="75" t="str">
        <f>VLOOKUP($B186,'[2]Bang luong_06'!$B$10:$C$333,2,0)</f>
        <v>Mai Thị Bé Ly</v>
      </c>
      <c r="BK186" s="76" t="b">
        <f>BJ186=C186</f>
        <v>1</v>
      </c>
      <c r="BM186" s="77">
        <f>+VLOOKUP(B186,'[2]Thưởng Lễ 2-9'!B158:G446,6,0)</f>
        <v>0</v>
      </c>
      <c r="BN186" s="75">
        <f>ROUND(($BN$12-D186)/30,0)</f>
        <v>79</v>
      </c>
      <c r="BO186" s="76" t="str">
        <f>+VLOOKUP(B186,'[2]Bang luong_06'!B168:D477,3,0)</f>
        <v>Tổ phó</v>
      </c>
      <c r="BP186" s="76" t="s">
        <v>40</v>
      </c>
      <c r="BQ186" s="76">
        <v>-2</v>
      </c>
      <c r="BR186" s="76">
        <f t="shared" si="147"/>
        <v>15</v>
      </c>
    </row>
    <row r="187" spans="1:70" s="76" customFormat="1" ht="31.5" customHeight="1" x14ac:dyDescent="0.25">
      <c r="A187" s="33">
        <f t="shared" si="133"/>
        <v>164</v>
      </c>
      <c r="B187" s="33" t="s">
        <v>407</v>
      </c>
      <c r="C187" s="55" t="s">
        <v>408</v>
      </c>
      <c r="D187" s="56">
        <v>43633</v>
      </c>
      <c r="E187" s="86" t="s">
        <v>38</v>
      </c>
      <c r="F187" s="86" t="s">
        <v>38</v>
      </c>
      <c r="G187" s="57" t="s">
        <v>38</v>
      </c>
      <c r="H187" s="91" t="s">
        <v>38</v>
      </c>
      <c r="I187" s="91" t="s">
        <v>38</v>
      </c>
      <c r="J187" s="91"/>
      <c r="K187" s="91" t="s">
        <v>38</v>
      </c>
      <c r="L187" s="91" t="s">
        <v>38</v>
      </c>
      <c r="M187" s="91" t="s">
        <v>38</v>
      </c>
      <c r="N187" s="91" t="s">
        <v>38</v>
      </c>
      <c r="O187" s="91" t="s">
        <v>38</v>
      </c>
      <c r="P187" s="91" t="s">
        <v>38</v>
      </c>
      <c r="Q187" s="91"/>
      <c r="R187" s="91" t="s">
        <v>38</v>
      </c>
      <c r="S187" s="91" t="s">
        <v>38</v>
      </c>
      <c r="T187" s="91" t="s">
        <v>38</v>
      </c>
      <c r="U187" s="91" t="s">
        <v>38</v>
      </c>
      <c r="V187" s="128" t="s">
        <v>38</v>
      </c>
      <c r="W187" s="91" t="s">
        <v>38</v>
      </c>
      <c r="X187" s="91">
        <v>9</v>
      </c>
      <c r="Y187" s="91"/>
      <c r="Z187" s="91"/>
      <c r="AA187" s="91"/>
      <c r="AB187" s="57"/>
      <c r="AC187" s="57"/>
      <c r="AD187" s="91"/>
      <c r="AE187" s="91"/>
      <c r="AF187" s="91"/>
      <c r="AG187" s="91"/>
      <c r="AH187" s="91"/>
      <c r="AI187" s="85"/>
      <c r="AJ187" s="58">
        <v>10110513</v>
      </c>
      <c r="AK187" s="59">
        <v>12</v>
      </c>
      <c r="AL187" s="60">
        <f t="shared" si="161"/>
        <v>17</v>
      </c>
      <c r="AM187" s="61">
        <f t="shared" si="162"/>
        <v>0</v>
      </c>
      <c r="AN187" s="62">
        <f t="shared" si="163"/>
        <v>17</v>
      </c>
      <c r="AO187" s="62">
        <f t="shared" si="164"/>
        <v>0</v>
      </c>
      <c r="AP187" s="62">
        <f t="shared" si="165"/>
        <v>0</v>
      </c>
      <c r="AQ187" s="63">
        <f t="shared" si="166"/>
        <v>0</v>
      </c>
      <c r="AR187" s="62">
        <f t="shared" si="167"/>
        <v>0</v>
      </c>
      <c r="AS187" s="62">
        <f t="shared" si="168"/>
        <v>0</v>
      </c>
      <c r="AT187" s="64">
        <v>2</v>
      </c>
      <c r="AU187" s="64"/>
      <c r="AV187" s="65">
        <f t="shared" si="169"/>
        <v>0</v>
      </c>
      <c r="AW187" s="65">
        <f t="shared" si="170"/>
        <v>0</v>
      </c>
      <c r="AX187" s="64"/>
      <c r="AY187" s="64"/>
      <c r="AZ187" s="80"/>
      <c r="BA187" s="66">
        <f t="shared" si="127"/>
        <v>17</v>
      </c>
      <c r="BB187" s="67"/>
      <c r="BC187" s="68"/>
      <c r="BD187" s="69">
        <f>VLOOKUP($B187,[1]CN!$B$9:$DK$221,114,0)</f>
        <v>2</v>
      </c>
      <c r="BE187" s="70">
        <f t="shared" si="171"/>
        <v>27</v>
      </c>
      <c r="BF187" s="71" t="s">
        <v>389</v>
      </c>
      <c r="BG187" s="72" t="s">
        <v>34</v>
      </c>
      <c r="BH187" s="73" t="str">
        <f>VLOOKUP(B187,'[2]Bang luong_06'!$B$9:$C$333,2,0)</f>
        <v>Nguyễn Văn Minh</v>
      </c>
      <c r="BI187" s="74" t="s">
        <v>399</v>
      </c>
      <c r="BJ187" s="75" t="str">
        <f>VLOOKUP($B187,'[2]Bang luong_06'!$B$10:$C$333,2,0)</f>
        <v>Nguyễn Văn Minh</v>
      </c>
      <c r="BK187" s="76" t="b">
        <f t="shared" si="172"/>
        <v>1</v>
      </c>
      <c r="BM187" s="77">
        <f>+VLOOKUP(B187,'[2]Thưởng Lễ 2-9'!B151:G440,6,0)</f>
        <v>0</v>
      </c>
      <c r="BN187" s="75">
        <f t="shared" si="173"/>
        <v>63</v>
      </c>
      <c r="BO187" s="76" t="str">
        <f>+VLOOKUP(B187,'[2]Bang luong_06'!B163:D471,3,0)</f>
        <v>CN Đóng gói</v>
      </c>
      <c r="BP187" s="76" t="s">
        <v>40</v>
      </c>
      <c r="BQ187" s="76">
        <v>15</v>
      </c>
      <c r="BR187" s="76">
        <f t="shared" si="147"/>
        <v>17</v>
      </c>
    </row>
    <row r="188" spans="1:70" s="76" customFormat="1" ht="31.5" customHeight="1" x14ac:dyDescent="0.25">
      <c r="A188" s="33">
        <f t="shared" si="133"/>
        <v>165</v>
      </c>
      <c r="B188" s="33" t="s">
        <v>409</v>
      </c>
      <c r="C188" s="55" t="s">
        <v>410</v>
      </c>
      <c r="D188" s="56">
        <v>43976</v>
      </c>
      <c r="E188" s="91" t="s">
        <v>38</v>
      </c>
      <c r="F188" s="91" t="s">
        <v>38</v>
      </c>
      <c r="G188" s="57" t="s">
        <v>38</v>
      </c>
      <c r="H188" s="91" t="s">
        <v>38</v>
      </c>
      <c r="I188" s="91" t="s">
        <v>38</v>
      </c>
      <c r="J188" s="91">
        <v>10</v>
      </c>
      <c r="K188" s="91" t="s">
        <v>159</v>
      </c>
      <c r="L188" s="91" t="s">
        <v>38</v>
      </c>
      <c r="M188" s="91" t="s">
        <v>38</v>
      </c>
      <c r="N188" s="91" t="s">
        <v>38</v>
      </c>
      <c r="O188" s="91" t="s">
        <v>38</v>
      </c>
      <c r="P188" s="91" t="s">
        <v>38</v>
      </c>
      <c r="Q188" s="91">
        <v>10</v>
      </c>
      <c r="R188" s="91" t="s">
        <v>38</v>
      </c>
      <c r="S188" s="91" t="s">
        <v>38</v>
      </c>
      <c r="T188" s="57" t="s">
        <v>38</v>
      </c>
      <c r="U188" s="57" t="s">
        <v>38</v>
      </c>
      <c r="V188" s="57" t="s">
        <v>38</v>
      </c>
      <c r="W188" s="91" t="s">
        <v>38</v>
      </c>
      <c r="X188" s="91">
        <v>10</v>
      </c>
      <c r="Y188" s="91"/>
      <c r="Z188" s="91"/>
      <c r="AA188" s="57"/>
      <c r="AB188" s="57"/>
      <c r="AC188" s="57"/>
      <c r="AD188" s="57"/>
      <c r="AE188" s="86"/>
      <c r="AF188" s="86"/>
      <c r="AG188" s="91"/>
      <c r="AH188" s="57"/>
      <c r="AI188" s="85"/>
      <c r="AJ188" s="58">
        <v>10110513</v>
      </c>
      <c r="AK188" s="59">
        <v>12</v>
      </c>
      <c r="AL188" s="60">
        <f t="shared" si="161"/>
        <v>16.75</v>
      </c>
      <c r="AM188" s="61">
        <f t="shared" si="162"/>
        <v>0</v>
      </c>
      <c r="AN188" s="62">
        <f t="shared" si="163"/>
        <v>16.75</v>
      </c>
      <c r="AO188" s="62">
        <f t="shared" si="164"/>
        <v>0</v>
      </c>
      <c r="AP188" s="62">
        <f t="shared" si="165"/>
        <v>0</v>
      </c>
      <c r="AQ188" s="63">
        <f t="shared" si="166"/>
        <v>0.25</v>
      </c>
      <c r="AR188" s="62">
        <f t="shared" si="167"/>
        <v>0</v>
      </c>
      <c r="AS188" s="62">
        <f t="shared" si="168"/>
        <v>0</v>
      </c>
      <c r="AT188" s="64">
        <v>16</v>
      </c>
      <c r="AU188" s="64"/>
      <c r="AV188" s="65">
        <f t="shared" si="169"/>
        <v>0</v>
      </c>
      <c r="AW188" s="65">
        <f t="shared" si="170"/>
        <v>0</v>
      </c>
      <c r="AX188" s="64"/>
      <c r="AY188" s="64"/>
      <c r="AZ188" s="80"/>
      <c r="BA188" s="66">
        <f t="shared" si="127"/>
        <v>16.75</v>
      </c>
      <c r="BB188" s="67"/>
      <c r="BC188" s="68"/>
      <c r="BD188" s="69">
        <f>VLOOKUP($B188,[1]CN!$B$9:$DK$221,114,0)</f>
        <v>3</v>
      </c>
      <c r="BE188" s="70">
        <f t="shared" si="171"/>
        <v>27</v>
      </c>
      <c r="BF188" s="71" t="s">
        <v>389</v>
      </c>
      <c r="BG188" s="72">
        <v>0</v>
      </c>
      <c r="BH188" s="73" t="str">
        <f>VLOOKUP(B188,'[2]Bang luong_06'!$B$9:$C$333,2,0)</f>
        <v>Phạm Thành Tiên</v>
      </c>
      <c r="BI188" s="74" t="s">
        <v>401</v>
      </c>
      <c r="BJ188" s="75" t="str">
        <f>VLOOKUP($B188,'[2]Bang luong_06'!$B$10:$C$333,2,0)</f>
        <v>Phạm Thành Tiên</v>
      </c>
      <c r="BK188" s="76" t="b">
        <f t="shared" si="172"/>
        <v>1</v>
      </c>
      <c r="BM188" s="77">
        <f>+VLOOKUP(B188,'[2]Thưởng Lễ 2-9'!B152:G441,6,0)</f>
        <v>0</v>
      </c>
      <c r="BN188" s="75">
        <f t="shared" si="173"/>
        <v>52</v>
      </c>
      <c r="BO188" s="76" t="str">
        <f>+VLOOKUP(B188,'[2]Bang luong_06'!B163:D472,3,0)</f>
        <v>Tổ trưởng đóng gói</v>
      </c>
      <c r="BP188" s="76" t="s">
        <v>40</v>
      </c>
      <c r="BQ188" s="76">
        <v>8</v>
      </c>
      <c r="BR188" s="76">
        <f t="shared" si="147"/>
        <v>16.75</v>
      </c>
    </row>
    <row r="189" spans="1:70" s="76" customFormat="1" ht="31.5" customHeight="1" x14ac:dyDescent="0.25">
      <c r="A189" s="33">
        <f t="shared" si="133"/>
        <v>166</v>
      </c>
      <c r="B189" s="33" t="s">
        <v>411</v>
      </c>
      <c r="C189" s="55" t="s">
        <v>412</v>
      </c>
      <c r="D189" s="56">
        <v>44336</v>
      </c>
      <c r="E189" s="91" t="s">
        <v>38</v>
      </c>
      <c r="F189" s="57" t="s">
        <v>38</v>
      </c>
      <c r="G189" s="57" t="s">
        <v>38</v>
      </c>
      <c r="H189" s="91" t="s">
        <v>38</v>
      </c>
      <c r="I189" s="91" t="s">
        <v>38</v>
      </c>
      <c r="J189" s="91">
        <v>9</v>
      </c>
      <c r="K189" s="91" t="s">
        <v>38</v>
      </c>
      <c r="L189" s="91" t="s">
        <v>38</v>
      </c>
      <c r="M189" s="91" t="s">
        <v>38</v>
      </c>
      <c r="N189" s="91" t="s">
        <v>38</v>
      </c>
      <c r="O189" s="91" t="s">
        <v>38</v>
      </c>
      <c r="P189" s="91" t="s">
        <v>38</v>
      </c>
      <c r="Q189" s="91">
        <v>9</v>
      </c>
      <c r="R189" s="91" t="s">
        <v>38</v>
      </c>
      <c r="S189" s="91" t="s">
        <v>38</v>
      </c>
      <c r="T189" s="57" t="s">
        <v>38</v>
      </c>
      <c r="U189" s="57" t="s">
        <v>38</v>
      </c>
      <c r="V189" s="57" t="s">
        <v>38</v>
      </c>
      <c r="W189" s="91" t="s">
        <v>38</v>
      </c>
      <c r="X189" s="91">
        <v>9</v>
      </c>
      <c r="Y189" s="91"/>
      <c r="Z189" s="91"/>
      <c r="AA189" s="57"/>
      <c r="AB189" s="57"/>
      <c r="AC189" s="57"/>
      <c r="AD189" s="91"/>
      <c r="AE189" s="91"/>
      <c r="AF189" s="91"/>
      <c r="AG189" s="91"/>
      <c r="AH189" s="85"/>
      <c r="AI189" s="85"/>
      <c r="AJ189" s="58">
        <v>10110513</v>
      </c>
      <c r="AK189" s="59">
        <v>12</v>
      </c>
      <c r="AL189" s="60">
        <f t="shared" si="161"/>
        <v>17</v>
      </c>
      <c r="AM189" s="61">
        <f t="shared" si="162"/>
        <v>0</v>
      </c>
      <c r="AN189" s="62">
        <f t="shared" si="163"/>
        <v>17</v>
      </c>
      <c r="AO189" s="62">
        <f t="shared" si="164"/>
        <v>0</v>
      </c>
      <c r="AP189" s="62">
        <f t="shared" si="165"/>
        <v>0</v>
      </c>
      <c r="AQ189" s="63">
        <f t="shared" si="166"/>
        <v>0</v>
      </c>
      <c r="AR189" s="62">
        <f t="shared" si="167"/>
        <v>0</v>
      </c>
      <c r="AS189" s="62">
        <f t="shared" si="168"/>
        <v>0</v>
      </c>
      <c r="AT189" s="64">
        <v>14</v>
      </c>
      <c r="AU189" s="64"/>
      <c r="AV189" s="65">
        <f t="shared" si="169"/>
        <v>0</v>
      </c>
      <c r="AW189" s="65">
        <f t="shared" si="170"/>
        <v>0</v>
      </c>
      <c r="AX189" s="64"/>
      <c r="AY189" s="64"/>
      <c r="AZ189" s="80"/>
      <c r="BA189" s="66">
        <f t="shared" si="127"/>
        <v>17</v>
      </c>
      <c r="BB189" s="67"/>
      <c r="BC189" s="68"/>
      <c r="BD189" s="69">
        <f>VLOOKUP($B189,[1]CN!$B$9:$DK$221,114,0)</f>
        <v>4</v>
      </c>
      <c r="BE189" s="70">
        <f t="shared" si="171"/>
        <v>27</v>
      </c>
      <c r="BF189" s="71" t="s">
        <v>389</v>
      </c>
      <c r="BG189" s="72">
        <v>0</v>
      </c>
      <c r="BH189" s="73" t="str">
        <f>VLOOKUP(B189,'[2]Bang luong_06'!$B$9:$C$333,2,0)</f>
        <v>Đặng Thị Ngọc Trà</v>
      </c>
      <c r="BI189" s="74" t="s">
        <v>404</v>
      </c>
      <c r="BJ189" s="75" t="str">
        <f>VLOOKUP($B189,'[2]Bang luong_06'!$B$10:$C$333,2,0)</f>
        <v>Đặng Thị Ngọc Trà</v>
      </c>
      <c r="BK189" s="76" t="b">
        <f t="shared" si="172"/>
        <v>1</v>
      </c>
      <c r="BM189" s="77">
        <f>+VLOOKUP(B189,'[2]Thưởng Lễ 2-9'!B153:G442,6,0)</f>
        <v>0</v>
      </c>
      <c r="BN189" s="75">
        <f t="shared" si="173"/>
        <v>40</v>
      </c>
      <c r="BO189" s="76" t="str">
        <f>+VLOOKUP(B189,'[2]Bang luong_06'!B164:D473,3,0)</f>
        <v>CN Đóng gói</v>
      </c>
      <c r="BP189" s="76" t="s">
        <v>40</v>
      </c>
      <c r="BQ189" s="76">
        <v>5</v>
      </c>
      <c r="BR189" s="76">
        <f t="shared" si="147"/>
        <v>17</v>
      </c>
    </row>
    <row r="190" spans="1:70" s="76" customFormat="1" ht="31.5" customHeight="1" x14ac:dyDescent="0.25">
      <c r="A190" s="33">
        <f t="shared" si="133"/>
        <v>167</v>
      </c>
      <c r="B190" s="33" t="s">
        <v>413</v>
      </c>
      <c r="C190" s="55" t="s">
        <v>414</v>
      </c>
      <c r="D190" s="56">
        <v>44977</v>
      </c>
      <c r="E190" s="86" t="s">
        <v>38</v>
      </c>
      <c r="F190" s="86" t="s">
        <v>38</v>
      </c>
      <c r="G190" s="57" t="s">
        <v>38</v>
      </c>
      <c r="H190" s="91" t="s">
        <v>38</v>
      </c>
      <c r="I190" s="91" t="s">
        <v>38</v>
      </c>
      <c r="J190" s="91"/>
      <c r="K190" s="91" t="s">
        <v>38</v>
      </c>
      <c r="L190" s="91" t="s">
        <v>38</v>
      </c>
      <c r="M190" s="91" t="s">
        <v>38</v>
      </c>
      <c r="N190" s="91" t="s">
        <v>38</v>
      </c>
      <c r="O190" s="91" t="s">
        <v>38</v>
      </c>
      <c r="P190" s="91" t="s">
        <v>38</v>
      </c>
      <c r="Q190" s="91"/>
      <c r="R190" s="91" t="s">
        <v>38</v>
      </c>
      <c r="S190" s="57" t="s">
        <v>38</v>
      </c>
      <c r="T190" s="57" t="s">
        <v>38</v>
      </c>
      <c r="U190" s="57" t="s">
        <v>38</v>
      </c>
      <c r="V190" s="57" t="s">
        <v>38</v>
      </c>
      <c r="W190" s="91" t="s">
        <v>38</v>
      </c>
      <c r="X190" s="91"/>
      <c r="Y190" s="91"/>
      <c r="Z190" s="91"/>
      <c r="AA190" s="91"/>
      <c r="AB190" s="57"/>
      <c r="AC190" s="57"/>
      <c r="AD190" s="91"/>
      <c r="AE190" s="91"/>
      <c r="AF190" s="91"/>
      <c r="AG190" s="91"/>
      <c r="AH190" s="91"/>
      <c r="AI190" s="85"/>
      <c r="AJ190" s="58">
        <v>10110513</v>
      </c>
      <c r="AK190" s="59">
        <v>12</v>
      </c>
      <c r="AL190" s="60">
        <f t="shared" si="161"/>
        <v>17</v>
      </c>
      <c r="AM190" s="61">
        <f t="shared" si="162"/>
        <v>0</v>
      </c>
      <c r="AN190" s="62">
        <f t="shared" si="163"/>
        <v>17</v>
      </c>
      <c r="AO190" s="62">
        <f t="shared" si="164"/>
        <v>0</v>
      </c>
      <c r="AP190" s="62">
        <f t="shared" si="165"/>
        <v>0</v>
      </c>
      <c r="AQ190" s="63">
        <f t="shared" si="166"/>
        <v>0</v>
      </c>
      <c r="AR190" s="62">
        <f t="shared" si="167"/>
        <v>0</v>
      </c>
      <c r="AS190" s="62">
        <f t="shared" si="168"/>
        <v>0</v>
      </c>
      <c r="AT190" s="64">
        <v>8</v>
      </c>
      <c r="AU190" s="64"/>
      <c r="AV190" s="65">
        <f t="shared" si="169"/>
        <v>0</v>
      </c>
      <c r="AW190" s="65">
        <f t="shared" si="170"/>
        <v>0</v>
      </c>
      <c r="AX190" s="64"/>
      <c r="AY190" s="64"/>
      <c r="AZ190" s="80"/>
      <c r="BA190" s="66">
        <f t="shared" si="127"/>
        <v>17</v>
      </c>
      <c r="BB190" s="67"/>
      <c r="BC190" s="68"/>
      <c r="BD190" s="69">
        <f>VLOOKUP($B190,[1]CN!$B$9:$DK$221,114,0)</f>
        <v>3</v>
      </c>
      <c r="BE190" s="70">
        <f t="shared" si="171"/>
        <v>27</v>
      </c>
      <c r="BF190" s="71" t="s">
        <v>389</v>
      </c>
      <c r="BG190" s="72" t="s">
        <v>34</v>
      </c>
      <c r="BH190" s="73" t="str">
        <f>VLOOKUP(B190,'[2]Bang luong_06'!$B$9:$C$333,2,0)</f>
        <v>Trương Minh Định</v>
      </c>
      <c r="BI190" s="74" t="s">
        <v>407</v>
      </c>
      <c r="BJ190" s="75" t="str">
        <f>VLOOKUP($B190,'[2]Bang luong_06'!$B$10:$C$333,2,0)</f>
        <v>Trương Minh Định</v>
      </c>
      <c r="BK190" s="76" t="b">
        <f t="shared" si="172"/>
        <v>1</v>
      </c>
      <c r="BM190" s="77">
        <f>+VLOOKUP(B190,'[2]Thưởng Lễ 2-9'!B155:G443,6,0)</f>
        <v>0</v>
      </c>
      <c r="BN190" s="75">
        <f t="shared" si="173"/>
        <v>19</v>
      </c>
      <c r="BO190" s="76" t="str">
        <f>+VLOOKUP(B190,'[2]Bang luong_06'!B165:D474,3,0)</f>
        <v>CN Đóng gói</v>
      </c>
      <c r="BP190" s="76" t="s">
        <v>40</v>
      </c>
      <c r="BQ190" s="76">
        <v>2</v>
      </c>
      <c r="BR190" s="76">
        <f t="shared" si="147"/>
        <v>17</v>
      </c>
    </row>
    <row r="191" spans="1:70" s="76" customFormat="1" ht="31.5" customHeight="1" x14ac:dyDescent="0.25">
      <c r="A191" s="33">
        <f>IF(B191="","",MAX(A190:A190)+1)</f>
        <v>168</v>
      </c>
      <c r="B191" s="105" t="s">
        <v>415</v>
      </c>
      <c r="C191" s="55" t="s">
        <v>416</v>
      </c>
      <c r="D191" s="56">
        <v>45617</v>
      </c>
      <c r="E191" s="91" t="s">
        <v>38</v>
      </c>
      <c r="F191" s="91" t="s">
        <v>38</v>
      </c>
      <c r="G191" s="57" t="s">
        <v>38</v>
      </c>
      <c r="H191" s="91" t="s">
        <v>38</v>
      </c>
      <c r="I191" s="91" t="s">
        <v>38</v>
      </c>
      <c r="J191" s="91">
        <v>9</v>
      </c>
      <c r="K191" s="91" t="s">
        <v>38</v>
      </c>
      <c r="L191" s="91" t="s">
        <v>38</v>
      </c>
      <c r="M191" s="91" t="s">
        <v>38</v>
      </c>
      <c r="N191" s="91" t="s">
        <v>38</v>
      </c>
      <c r="O191" s="91" t="s">
        <v>38</v>
      </c>
      <c r="P191" s="91" t="s">
        <v>38</v>
      </c>
      <c r="Q191" s="91">
        <v>9</v>
      </c>
      <c r="R191" s="91" t="s">
        <v>38</v>
      </c>
      <c r="S191" s="91" t="s">
        <v>38</v>
      </c>
      <c r="T191" s="57" t="s">
        <v>38</v>
      </c>
      <c r="U191" s="57" t="s">
        <v>38</v>
      </c>
      <c r="V191" s="57" t="s">
        <v>38</v>
      </c>
      <c r="W191" s="91" t="s">
        <v>38</v>
      </c>
      <c r="X191" s="91"/>
      <c r="Y191" s="91"/>
      <c r="Z191" s="91"/>
      <c r="AA191" s="57"/>
      <c r="AB191" s="57"/>
      <c r="AC191" s="57"/>
      <c r="AD191" s="91"/>
      <c r="AE191" s="91"/>
      <c r="AF191" s="91"/>
      <c r="AG191" s="91"/>
      <c r="AH191" s="57"/>
      <c r="AI191" s="85"/>
      <c r="AJ191" s="58">
        <v>10110513</v>
      </c>
      <c r="AK191" s="59">
        <v>12</v>
      </c>
      <c r="AL191" s="60">
        <f t="shared" si="161"/>
        <v>17</v>
      </c>
      <c r="AM191" s="61">
        <f t="shared" si="162"/>
        <v>0</v>
      </c>
      <c r="AN191" s="62">
        <f t="shared" si="163"/>
        <v>17</v>
      </c>
      <c r="AO191" s="62">
        <f t="shared" si="164"/>
        <v>0</v>
      </c>
      <c r="AP191" s="62">
        <f t="shared" si="165"/>
        <v>0</v>
      </c>
      <c r="AQ191" s="63">
        <f t="shared" si="166"/>
        <v>0</v>
      </c>
      <c r="AR191" s="62">
        <f t="shared" si="167"/>
        <v>0</v>
      </c>
      <c r="AS191" s="62">
        <f t="shared" si="168"/>
        <v>0</v>
      </c>
      <c r="AT191" s="64">
        <v>16</v>
      </c>
      <c r="AU191" s="64"/>
      <c r="AV191" s="65">
        <f t="shared" si="169"/>
        <v>0</v>
      </c>
      <c r="AW191" s="65">
        <f t="shared" si="170"/>
        <v>0</v>
      </c>
      <c r="AX191" s="64"/>
      <c r="AY191" s="64"/>
      <c r="AZ191" s="80"/>
      <c r="BA191" s="66">
        <f t="shared" si="127"/>
        <v>17</v>
      </c>
      <c r="BB191" s="67"/>
      <c r="BC191" s="68"/>
      <c r="BD191" s="69">
        <f>VLOOKUP($B191,[1]CN!$B$9:$DK$221,114,0)</f>
        <v>4</v>
      </c>
      <c r="BE191" s="70">
        <f t="shared" si="171"/>
        <v>27</v>
      </c>
      <c r="BF191" s="71" t="s">
        <v>389</v>
      </c>
      <c r="BG191" s="72" t="s">
        <v>34</v>
      </c>
      <c r="BH191" s="73" t="str">
        <f>VLOOKUP(B191,'[2]Bang luong_06'!$B$9:$C$333,2,0)</f>
        <v>Kim Sô Phoi</v>
      </c>
      <c r="BI191" s="74" t="s">
        <v>411</v>
      </c>
      <c r="BJ191" s="75" t="str">
        <f>VLOOKUP($B191,'[2]Bang luong_06'!$B$10:$C$333,2,0)</f>
        <v>Kim Sô Phoi</v>
      </c>
      <c r="BK191" s="76" t="b">
        <f t="shared" si="172"/>
        <v>1</v>
      </c>
      <c r="BM191" s="77" t="e">
        <f>+VLOOKUP(B191,'[2]Thưởng Lễ 2-9'!B157:G445,6,0)</f>
        <v>#N/A</v>
      </c>
      <c r="BN191" s="75">
        <f t="shared" si="173"/>
        <v>-3</v>
      </c>
      <c r="BO191" s="76" t="str">
        <f>+VLOOKUP(B191,'[2]Bang luong_06'!B167:D476,3,0)</f>
        <v>CN Đóng gói</v>
      </c>
      <c r="BP191" s="76" t="s">
        <v>40</v>
      </c>
      <c r="BQ191" s="76">
        <v>6</v>
      </c>
      <c r="BR191" s="76">
        <f t="shared" si="147"/>
        <v>17</v>
      </c>
    </row>
    <row r="192" spans="1:70" s="76" customFormat="1" ht="31.5" customHeight="1" x14ac:dyDescent="0.25">
      <c r="A192" s="33">
        <f>IF(B192="","",MAX(A191:A191)+1)</f>
        <v>169</v>
      </c>
      <c r="B192" s="105" t="s">
        <v>417</v>
      </c>
      <c r="C192" s="106" t="s">
        <v>418</v>
      </c>
      <c r="D192" s="107">
        <v>45617</v>
      </c>
      <c r="E192" s="91" t="s">
        <v>38</v>
      </c>
      <c r="F192" s="91" t="s">
        <v>38</v>
      </c>
      <c r="G192" s="57" t="s">
        <v>38</v>
      </c>
      <c r="H192" s="91" t="s">
        <v>38</v>
      </c>
      <c r="I192" s="91" t="s">
        <v>38</v>
      </c>
      <c r="J192" s="91">
        <v>9</v>
      </c>
      <c r="K192" s="91" t="s">
        <v>38</v>
      </c>
      <c r="L192" s="91" t="s">
        <v>38</v>
      </c>
      <c r="M192" s="91" t="s">
        <v>38</v>
      </c>
      <c r="N192" s="91" t="s">
        <v>38</v>
      </c>
      <c r="O192" s="91" t="s">
        <v>38</v>
      </c>
      <c r="P192" s="91" t="s">
        <v>38</v>
      </c>
      <c r="Q192" s="91">
        <v>9</v>
      </c>
      <c r="R192" s="91" t="s">
        <v>38</v>
      </c>
      <c r="S192" s="91" t="s">
        <v>38</v>
      </c>
      <c r="T192" s="57" t="s">
        <v>38</v>
      </c>
      <c r="U192" s="57" t="s">
        <v>38</v>
      </c>
      <c r="V192" s="57" t="s">
        <v>38</v>
      </c>
      <c r="W192" s="91" t="s">
        <v>38</v>
      </c>
      <c r="X192" s="91"/>
      <c r="Y192" s="91"/>
      <c r="Z192" s="91"/>
      <c r="AA192" s="57"/>
      <c r="AB192" s="57"/>
      <c r="AC192" s="57"/>
      <c r="AD192" s="91"/>
      <c r="AE192" s="91"/>
      <c r="AF192" s="91"/>
      <c r="AG192" s="91"/>
      <c r="AH192" s="57"/>
      <c r="AI192" s="85"/>
      <c r="AJ192" s="58">
        <v>10110507</v>
      </c>
      <c r="AK192" s="59">
        <v>12</v>
      </c>
      <c r="AL192" s="60">
        <f t="shared" si="161"/>
        <v>17</v>
      </c>
      <c r="AM192" s="61">
        <f t="shared" si="162"/>
        <v>0</v>
      </c>
      <c r="AN192" s="62">
        <f t="shared" si="163"/>
        <v>17</v>
      </c>
      <c r="AO192" s="62">
        <f t="shared" si="164"/>
        <v>0</v>
      </c>
      <c r="AP192" s="62">
        <f t="shared" si="165"/>
        <v>0</v>
      </c>
      <c r="AQ192" s="63">
        <f t="shared" si="166"/>
        <v>0</v>
      </c>
      <c r="AR192" s="62">
        <f t="shared" si="167"/>
        <v>0</v>
      </c>
      <c r="AS192" s="62">
        <f t="shared" si="168"/>
        <v>0</v>
      </c>
      <c r="AT192" s="64">
        <v>16</v>
      </c>
      <c r="AU192" s="64"/>
      <c r="AV192" s="65">
        <f t="shared" si="169"/>
        <v>0</v>
      </c>
      <c r="AW192" s="65">
        <f t="shared" si="170"/>
        <v>0</v>
      </c>
      <c r="AX192" s="64"/>
      <c r="AY192" s="64"/>
      <c r="AZ192" s="80"/>
      <c r="BA192" s="66">
        <f t="shared" si="127"/>
        <v>17</v>
      </c>
      <c r="BB192" s="67"/>
      <c r="BC192" s="68"/>
      <c r="BD192" s="69">
        <f>VLOOKUP($B192,[1]CN!$B$9:$DK$221,114,0)</f>
        <v>2</v>
      </c>
      <c r="BE192" s="70">
        <f t="shared" si="171"/>
        <v>27</v>
      </c>
      <c r="BF192" s="71" t="s">
        <v>389</v>
      </c>
      <c r="BG192" s="72">
        <v>0</v>
      </c>
      <c r="BH192" s="73" t="str">
        <f>VLOOKUP(B192,'[2]Bang luong_06'!$B$9:$C$333,2,0)</f>
        <v>Thạch Thị Dung</v>
      </c>
      <c r="BI192" s="74" t="s">
        <v>413</v>
      </c>
      <c r="BJ192" s="75" t="str">
        <f>VLOOKUP($B192,'[2]Bang luong_06'!$B$10:$C$333,2,0)</f>
        <v>Thạch Thị Dung</v>
      </c>
      <c r="BK192" s="76" t="b">
        <f t="shared" si="172"/>
        <v>1</v>
      </c>
      <c r="BM192" s="77" t="e">
        <f>+VLOOKUP(B192,'[2]Thưởng Lễ 2-9'!B160:G448,6,0)</f>
        <v>#N/A</v>
      </c>
      <c r="BN192" s="75">
        <f t="shared" si="173"/>
        <v>-3</v>
      </c>
      <c r="BO192" s="76" t="str">
        <f>+VLOOKUP(B192,'[2]Bang luong_06'!B169:D479,3,0)</f>
        <v>CN Đóng gói</v>
      </c>
      <c r="BP192" s="76" t="s">
        <v>40</v>
      </c>
      <c r="BQ192" s="76">
        <v>11</v>
      </c>
      <c r="BR192" s="76">
        <f t="shared" si="147"/>
        <v>17</v>
      </c>
    </row>
    <row r="193" spans="1:70" s="76" customFormat="1" ht="31.5" customHeight="1" x14ac:dyDescent="0.25">
      <c r="A193" s="33">
        <f t="shared" si="133"/>
        <v>170</v>
      </c>
      <c r="B193" s="105" t="s">
        <v>419</v>
      </c>
      <c r="C193" s="55" t="s">
        <v>420</v>
      </c>
      <c r="D193" s="56">
        <v>45600</v>
      </c>
      <c r="E193" s="86" t="s">
        <v>38</v>
      </c>
      <c r="F193" s="86" t="s">
        <v>38</v>
      </c>
      <c r="G193" s="57" t="s">
        <v>38</v>
      </c>
      <c r="H193" s="91" t="s">
        <v>38</v>
      </c>
      <c r="I193" s="91" t="s">
        <v>38</v>
      </c>
      <c r="J193" s="91"/>
      <c r="K193" s="91" t="s">
        <v>37</v>
      </c>
      <c r="L193" s="91" t="s">
        <v>37</v>
      </c>
      <c r="M193" s="91" t="s">
        <v>37</v>
      </c>
      <c r="N193" s="91" t="s">
        <v>37</v>
      </c>
      <c r="O193" s="91" t="s">
        <v>37</v>
      </c>
      <c r="P193" s="91" t="s">
        <v>271</v>
      </c>
      <c r="Q193" s="91"/>
      <c r="R193" s="91" t="s">
        <v>37</v>
      </c>
      <c r="S193" s="91" t="s">
        <v>37</v>
      </c>
      <c r="T193" s="91" t="s">
        <v>37</v>
      </c>
      <c r="U193" s="91" t="s">
        <v>37</v>
      </c>
      <c r="V193" s="128" t="s">
        <v>37</v>
      </c>
      <c r="W193" s="91" t="s">
        <v>213</v>
      </c>
      <c r="X193" s="91"/>
      <c r="Y193" s="91" t="s">
        <v>38</v>
      </c>
      <c r="Z193" s="57"/>
      <c r="AA193" s="91"/>
      <c r="AB193" s="91"/>
      <c r="AC193" s="91"/>
      <c r="AD193" s="91"/>
      <c r="AE193" s="91"/>
      <c r="AF193" s="91"/>
      <c r="AG193" s="91"/>
      <c r="AH193" s="91"/>
      <c r="AI193" s="85"/>
      <c r="AJ193" s="58">
        <v>10110513</v>
      </c>
      <c r="AK193" s="59">
        <v>12</v>
      </c>
      <c r="AL193" s="60">
        <f t="shared" si="161"/>
        <v>6</v>
      </c>
      <c r="AM193" s="61">
        <f t="shared" si="162"/>
        <v>10</v>
      </c>
      <c r="AN193" s="62">
        <f t="shared" si="163"/>
        <v>16</v>
      </c>
      <c r="AO193" s="62">
        <f t="shared" si="164"/>
        <v>0</v>
      </c>
      <c r="AP193" s="62">
        <f t="shared" si="165"/>
        <v>1</v>
      </c>
      <c r="AQ193" s="63">
        <f t="shared" si="166"/>
        <v>1</v>
      </c>
      <c r="AR193" s="62">
        <f t="shared" si="167"/>
        <v>0</v>
      </c>
      <c r="AS193" s="62">
        <f t="shared" si="168"/>
        <v>0</v>
      </c>
      <c r="AT193" s="64"/>
      <c r="AU193" s="64"/>
      <c r="AV193" s="65">
        <f t="shared" si="169"/>
        <v>0</v>
      </c>
      <c r="AW193" s="65">
        <f t="shared" si="170"/>
        <v>0</v>
      </c>
      <c r="AX193" s="64"/>
      <c r="AY193" s="64"/>
      <c r="AZ193" s="80"/>
      <c r="BA193" s="66">
        <f t="shared" si="127"/>
        <v>16</v>
      </c>
      <c r="BB193" s="67"/>
      <c r="BC193" s="68"/>
      <c r="BD193" s="69">
        <f>VLOOKUP($B193,[1]CN!$B$9:$DK$221,114,0)</f>
        <v>3</v>
      </c>
      <c r="BE193" s="70">
        <f t="shared" si="171"/>
        <v>27</v>
      </c>
      <c r="BF193" s="71" t="s">
        <v>389</v>
      </c>
      <c r="BG193" s="72">
        <v>0</v>
      </c>
      <c r="BH193" s="73" t="str">
        <f>VLOOKUP(B193,'[2]Bang luong_06'!$B$9:$C$333,2,0)</f>
        <v>Tô Thanh Lừng</v>
      </c>
      <c r="BI193" s="74" t="s">
        <v>421</v>
      </c>
      <c r="BJ193" s="75" t="str">
        <f>VLOOKUP($B193,'[2]Bang luong_06'!$B$10:$C$333,2,0)</f>
        <v>Tô Thanh Lừng</v>
      </c>
      <c r="BK193" s="76" t="b">
        <f t="shared" si="172"/>
        <v>1</v>
      </c>
      <c r="BM193" s="77" t="e">
        <f>+VLOOKUP(B193,'[2]Thưởng Lễ 2-9'!B163:G451,6,0)</f>
        <v>#N/A</v>
      </c>
      <c r="BN193" s="75">
        <f t="shared" si="173"/>
        <v>-2</v>
      </c>
      <c r="BO193" s="76" t="str">
        <f>+VLOOKUP(B193,'[2]Bang luong_06'!B172:D482,3,0)</f>
        <v>CN Đóng gói</v>
      </c>
      <c r="BP193" s="76" t="s">
        <v>40</v>
      </c>
      <c r="BQ193" s="76">
        <v>0</v>
      </c>
      <c r="BR193" s="76">
        <f t="shared" si="147"/>
        <v>6</v>
      </c>
    </row>
    <row r="194" spans="1:70" s="76" customFormat="1" ht="31.5" customHeight="1" x14ac:dyDescent="0.25">
      <c r="A194" s="33">
        <f t="shared" si="133"/>
        <v>171</v>
      </c>
      <c r="B194" s="105" t="s">
        <v>422</v>
      </c>
      <c r="C194" s="55" t="s">
        <v>423</v>
      </c>
      <c r="D194" s="56">
        <v>45587</v>
      </c>
      <c r="E194" s="91" t="s">
        <v>38</v>
      </c>
      <c r="F194" s="57" t="s">
        <v>38</v>
      </c>
      <c r="G194" s="57" t="s">
        <v>38</v>
      </c>
      <c r="H194" s="91" t="s">
        <v>38</v>
      </c>
      <c r="I194" s="91" t="s">
        <v>38</v>
      </c>
      <c r="J194" s="91">
        <v>9</v>
      </c>
      <c r="K194" s="91" t="s">
        <v>38</v>
      </c>
      <c r="L194" s="91" t="s">
        <v>38</v>
      </c>
      <c r="M194" s="91" t="s">
        <v>38</v>
      </c>
      <c r="N194" s="91" t="s">
        <v>38</v>
      </c>
      <c r="O194" s="91" t="s">
        <v>38</v>
      </c>
      <c r="P194" s="91" t="s">
        <v>38</v>
      </c>
      <c r="Q194" s="91"/>
      <c r="R194" s="91" t="s">
        <v>38</v>
      </c>
      <c r="S194" s="91" t="s">
        <v>38</v>
      </c>
      <c r="T194" s="57" t="s">
        <v>38</v>
      </c>
      <c r="U194" s="57" t="s">
        <v>38</v>
      </c>
      <c r="V194" s="57" t="s">
        <v>38</v>
      </c>
      <c r="W194" s="91" t="s">
        <v>38</v>
      </c>
      <c r="X194" s="91">
        <v>9</v>
      </c>
      <c r="Y194" s="91"/>
      <c r="Z194" s="91"/>
      <c r="AA194" s="57"/>
      <c r="AB194" s="57"/>
      <c r="AC194" s="57"/>
      <c r="AD194" s="91"/>
      <c r="AE194" s="91"/>
      <c r="AF194" s="91"/>
      <c r="AG194" s="91"/>
      <c r="AH194" s="91"/>
      <c r="AI194" s="85"/>
      <c r="AJ194" s="58">
        <v>10110513</v>
      </c>
      <c r="AK194" s="59">
        <v>12</v>
      </c>
      <c r="AL194" s="60">
        <f t="shared" si="161"/>
        <v>17</v>
      </c>
      <c r="AM194" s="61">
        <f t="shared" si="162"/>
        <v>0</v>
      </c>
      <c r="AN194" s="62">
        <f t="shared" si="163"/>
        <v>17</v>
      </c>
      <c r="AO194" s="62">
        <f t="shared" si="164"/>
        <v>0</v>
      </c>
      <c r="AP194" s="62">
        <f t="shared" si="165"/>
        <v>0</v>
      </c>
      <c r="AQ194" s="63">
        <f t="shared" si="166"/>
        <v>0</v>
      </c>
      <c r="AR194" s="62">
        <f t="shared" si="167"/>
        <v>0</v>
      </c>
      <c r="AS194" s="62">
        <f t="shared" si="168"/>
        <v>0</v>
      </c>
      <c r="AT194" s="64">
        <v>14</v>
      </c>
      <c r="AU194" s="64"/>
      <c r="AV194" s="65">
        <f t="shared" si="169"/>
        <v>0</v>
      </c>
      <c r="AW194" s="65">
        <f t="shared" si="170"/>
        <v>0</v>
      </c>
      <c r="AX194" s="64"/>
      <c r="AY194" s="64"/>
      <c r="AZ194" s="80"/>
      <c r="BA194" s="66">
        <f t="shared" si="127"/>
        <v>17</v>
      </c>
      <c r="BB194" s="67"/>
      <c r="BC194" s="68"/>
      <c r="BD194" s="69">
        <f>VLOOKUP($B194,[1]CN!$B$9:$DK$221,114,0)</f>
        <v>3</v>
      </c>
      <c r="BE194" s="70">
        <f t="shared" si="171"/>
        <v>27</v>
      </c>
      <c r="BF194" s="71" t="s">
        <v>389</v>
      </c>
      <c r="BG194" s="72" t="s">
        <v>34</v>
      </c>
      <c r="BH194" s="73" t="str">
        <f>VLOOKUP(B194,'[2]Bang luong_06'!$B$9:$C$333,2,0)</f>
        <v xml:space="preserve">Neàng Cà Chia </v>
      </c>
      <c r="BI194" s="74"/>
      <c r="BJ194" s="75" t="str">
        <f>VLOOKUP($B194,'[2]Bang luong_06'!$B$10:$C$333,2,0)</f>
        <v xml:space="preserve">Neàng Cà Chia </v>
      </c>
      <c r="BK194" s="76" t="b">
        <f t="shared" si="172"/>
        <v>1</v>
      </c>
      <c r="BM194" s="77" t="e">
        <f>+VLOOKUP(B194,'[2]Thưởng Lễ 2-9'!B91:G381,6,0)</f>
        <v>#N/A</v>
      </c>
      <c r="BN194" s="75">
        <f t="shared" si="173"/>
        <v>-2</v>
      </c>
      <c r="BO194" s="76" t="str">
        <f>+VLOOKUP(B194,'[2]Bang luong_06'!B101:D412,3,0)</f>
        <v>CN Đóng gói</v>
      </c>
      <c r="BP194" s="76" t="s">
        <v>40</v>
      </c>
      <c r="BQ194" s="76">
        <v>2</v>
      </c>
      <c r="BR194" s="76">
        <f t="shared" si="147"/>
        <v>17</v>
      </c>
    </row>
    <row r="195" spans="1:70" s="76" customFormat="1" ht="31.5" customHeight="1" x14ac:dyDescent="0.25">
      <c r="A195" s="33">
        <f t="shared" si="133"/>
        <v>172</v>
      </c>
      <c r="B195" s="105" t="s">
        <v>424</v>
      </c>
      <c r="C195" s="55" t="s">
        <v>425</v>
      </c>
      <c r="D195" s="56">
        <v>45712</v>
      </c>
      <c r="E195" s="86" t="s">
        <v>146</v>
      </c>
      <c r="F195" s="86" t="s">
        <v>146</v>
      </c>
      <c r="G195" s="86" t="s">
        <v>146</v>
      </c>
      <c r="H195" s="86" t="s">
        <v>146</v>
      </c>
      <c r="I195" s="86" t="s">
        <v>146</v>
      </c>
      <c r="J195" s="86"/>
      <c r="K195" s="91" t="s">
        <v>146</v>
      </c>
      <c r="L195" s="86" t="s">
        <v>146</v>
      </c>
      <c r="M195" s="86" t="s">
        <v>146</v>
      </c>
      <c r="N195" s="86" t="s">
        <v>146</v>
      </c>
      <c r="O195" s="86" t="s">
        <v>146</v>
      </c>
      <c r="P195" s="86" t="s">
        <v>146</v>
      </c>
      <c r="Q195" s="86"/>
      <c r="R195" s="91" t="s">
        <v>146</v>
      </c>
      <c r="S195" s="86" t="s">
        <v>146</v>
      </c>
      <c r="T195" s="86" t="s">
        <v>146</v>
      </c>
      <c r="U195" s="86" t="s">
        <v>146</v>
      </c>
      <c r="V195" s="86" t="s">
        <v>146</v>
      </c>
      <c r="W195" s="86" t="s">
        <v>146</v>
      </c>
      <c r="X195" s="86"/>
      <c r="Y195" s="86"/>
      <c r="Z195" s="91"/>
      <c r="AA195" s="91"/>
      <c r="AB195" s="91"/>
      <c r="AC195" s="86"/>
      <c r="AD195" s="91"/>
      <c r="AE195" s="91"/>
      <c r="AF195" s="91"/>
      <c r="AG195" s="91"/>
      <c r="AH195" s="91"/>
      <c r="AI195" s="91"/>
      <c r="AJ195" s="58">
        <v>10110513</v>
      </c>
      <c r="AK195" s="59">
        <v>12</v>
      </c>
      <c r="AL195" s="60">
        <f t="shared" si="161"/>
        <v>0</v>
      </c>
      <c r="AM195" s="61">
        <f t="shared" si="162"/>
        <v>0</v>
      </c>
      <c r="AN195" s="62">
        <f t="shared" si="163"/>
        <v>0</v>
      </c>
      <c r="AO195" s="62">
        <f t="shared" si="164"/>
        <v>0</v>
      </c>
      <c r="AP195" s="62">
        <f t="shared" si="165"/>
        <v>0</v>
      </c>
      <c r="AQ195" s="63">
        <f t="shared" si="166"/>
        <v>0</v>
      </c>
      <c r="AR195" s="62">
        <f t="shared" si="167"/>
        <v>0</v>
      </c>
      <c r="AS195" s="62">
        <f t="shared" si="168"/>
        <v>0</v>
      </c>
      <c r="AT195" s="64"/>
      <c r="AU195" s="64"/>
      <c r="AV195" s="65">
        <f t="shared" si="169"/>
        <v>0</v>
      </c>
      <c r="AW195" s="65">
        <f t="shared" si="170"/>
        <v>0</v>
      </c>
      <c r="AX195" s="64"/>
      <c r="AY195" s="64"/>
      <c r="AZ195" s="80"/>
      <c r="BA195" s="66">
        <f t="shared" si="127"/>
        <v>0</v>
      </c>
      <c r="BB195" s="67"/>
      <c r="BC195" s="68"/>
      <c r="BD195" s="69">
        <f>VLOOKUP($B195,[1]CN!$B$9:$DK$221,114,0)</f>
        <v>0</v>
      </c>
      <c r="BE195" s="70">
        <f t="shared" si="171"/>
        <v>27</v>
      </c>
      <c r="BF195" s="71" t="s">
        <v>389</v>
      </c>
      <c r="BG195" s="72">
        <v>0</v>
      </c>
      <c r="BH195" s="73" t="str">
        <f>VLOOKUP(B195,'[2]Bang luong_06'!$B$9:$C$333,2,0)</f>
        <v>Lê Thị Kiều Diễm</v>
      </c>
      <c r="BI195" s="74" t="s">
        <v>426</v>
      </c>
      <c r="BJ195" s="75" t="str">
        <f>VLOOKUP($B195,'[2]Bang luong_06'!$B$10:$C$333,2,0)</f>
        <v>Lê Thị Kiều Diễm</v>
      </c>
      <c r="BK195" s="76" t="b">
        <f t="shared" si="172"/>
        <v>1</v>
      </c>
      <c r="BM195" s="77" t="e">
        <f>+VLOOKUP(B195,'[2]Thưởng Lễ 2-9'!B168:G456,6,0)</f>
        <v>#N/A</v>
      </c>
      <c r="BN195" s="75">
        <f t="shared" si="173"/>
        <v>-6</v>
      </c>
      <c r="BO195" s="76" t="str">
        <f>+VLOOKUP(B195,'[2]Bang luong_06'!B174:D487,3,0)</f>
        <v>CN Đóng gói</v>
      </c>
      <c r="BP195" s="76" t="s">
        <v>40</v>
      </c>
      <c r="BQ195" s="76">
        <v>1</v>
      </c>
      <c r="BR195" s="76">
        <f t="shared" si="147"/>
        <v>0</v>
      </c>
    </row>
    <row r="196" spans="1:70" s="145" customFormat="1" ht="31.5" customHeight="1" x14ac:dyDescent="0.25">
      <c r="A196" s="34">
        <f t="shared" si="133"/>
        <v>173</v>
      </c>
      <c r="B196" s="267" t="s">
        <v>427</v>
      </c>
      <c r="C196" s="268" t="s">
        <v>428</v>
      </c>
      <c r="D196" s="269">
        <v>45712</v>
      </c>
      <c r="E196" s="270" t="s">
        <v>38</v>
      </c>
      <c r="F196" s="245" t="s">
        <v>38</v>
      </c>
      <c r="G196" s="270" t="s">
        <v>38</v>
      </c>
      <c r="H196" s="270" t="s">
        <v>38</v>
      </c>
      <c r="I196" s="270" t="s">
        <v>38</v>
      </c>
      <c r="J196" s="270"/>
      <c r="K196" s="270" t="s">
        <v>38</v>
      </c>
      <c r="L196" s="245" t="s">
        <v>38</v>
      </c>
      <c r="M196" s="270" t="s">
        <v>38</v>
      </c>
      <c r="N196" s="270" t="s">
        <v>143</v>
      </c>
      <c r="O196" s="270" t="s">
        <v>143</v>
      </c>
      <c r="P196" s="270" t="s">
        <v>143</v>
      </c>
      <c r="Q196" s="270"/>
      <c r="R196" s="270" t="s">
        <v>143</v>
      </c>
      <c r="S196" s="270" t="s">
        <v>143</v>
      </c>
      <c r="T196" s="270" t="s">
        <v>143</v>
      </c>
      <c r="U196" s="270" t="s">
        <v>143</v>
      </c>
      <c r="V196" s="270" t="s">
        <v>143</v>
      </c>
      <c r="W196" s="270" t="s">
        <v>143</v>
      </c>
      <c r="X196" s="270"/>
      <c r="Y196" s="270" t="s">
        <v>143</v>
      </c>
      <c r="Z196" s="270" t="s">
        <v>143</v>
      </c>
      <c r="AA196" s="270" t="s">
        <v>143</v>
      </c>
      <c r="AB196" s="270" t="s">
        <v>143</v>
      </c>
      <c r="AC196" s="270" t="s">
        <v>143</v>
      </c>
      <c r="AD196" s="270" t="s">
        <v>143</v>
      </c>
      <c r="AE196" s="270"/>
      <c r="AF196" s="270" t="s">
        <v>143</v>
      </c>
      <c r="AG196" s="270" t="s">
        <v>143</v>
      </c>
      <c r="AH196" s="270" t="s">
        <v>143</v>
      </c>
      <c r="AI196" s="270" t="s">
        <v>143</v>
      </c>
      <c r="AJ196" s="246">
        <v>10110513</v>
      </c>
      <c r="AK196" s="247">
        <v>12</v>
      </c>
      <c r="AL196" s="248">
        <f t="shared" si="161"/>
        <v>8</v>
      </c>
      <c r="AM196" s="249">
        <f t="shared" si="162"/>
        <v>0</v>
      </c>
      <c r="AN196" s="250">
        <f t="shared" si="163"/>
        <v>8</v>
      </c>
      <c r="AO196" s="250">
        <f t="shared" si="164"/>
        <v>0</v>
      </c>
      <c r="AP196" s="250">
        <f t="shared" si="165"/>
        <v>0</v>
      </c>
      <c r="AQ196" s="251">
        <f t="shared" si="166"/>
        <v>0</v>
      </c>
      <c r="AR196" s="250">
        <f t="shared" si="167"/>
        <v>0</v>
      </c>
      <c r="AS196" s="250">
        <f t="shared" si="168"/>
        <v>0</v>
      </c>
      <c r="AT196" s="252"/>
      <c r="AU196" s="252"/>
      <c r="AV196" s="253">
        <f t="shared" si="169"/>
        <v>0</v>
      </c>
      <c r="AW196" s="253">
        <f t="shared" si="170"/>
        <v>0</v>
      </c>
      <c r="AX196" s="252"/>
      <c r="AY196" s="252"/>
      <c r="AZ196" s="254"/>
      <c r="BA196" s="255">
        <f t="shared" si="127"/>
        <v>8</v>
      </c>
      <c r="BB196" s="256"/>
      <c r="BC196" s="257"/>
      <c r="BD196" s="258">
        <f>VLOOKUP($B196,[1]CN!$B$9:$DK$221,114,0)</f>
        <v>4</v>
      </c>
      <c r="BE196" s="259">
        <f t="shared" si="171"/>
        <v>27</v>
      </c>
      <c r="BF196" s="260" t="s">
        <v>389</v>
      </c>
      <c r="BG196" s="261">
        <v>0</v>
      </c>
      <c r="BH196" s="262" t="str">
        <f>VLOOKUP(B196,'[2]Bang luong_06'!$B$9:$C$333,2,0)</f>
        <v>Sơn Thanh Phong</v>
      </c>
      <c r="BI196" s="263" t="s">
        <v>426</v>
      </c>
      <c r="BJ196" s="264" t="str">
        <f>VLOOKUP($B196,'[2]Bang luong_06'!$B$10:$C$333,2,0)</f>
        <v>Sơn Thanh Phong</v>
      </c>
      <c r="BK196" s="145" t="b">
        <f t="shared" si="172"/>
        <v>1</v>
      </c>
      <c r="BM196" s="265" t="e">
        <f>+VLOOKUP(B196,'[2]Thưởng Lễ 2-9'!B163:G451,6,0)</f>
        <v>#N/A</v>
      </c>
      <c r="BN196" s="264">
        <f t="shared" si="173"/>
        <v>-6</v>
      </c>
      <c r="BO196" s="145" t="str">
        <f>+VLOOKUP(B196,'[2]Bang luong_06'!B172:D482,3,0)</f>
        <v>CN Đóng gói</v>
      </c>
      <c r="BP196" s="145" t="s">
        <v>40</v>
      </c>
      <c r="BQ196" s="145">
        <v>-1</v>
      </c>
      <c r="BR196" s="145">
        <f t="shared" si="147"/>
        <v>8</v>
      </c>
    </row>
    <row r="197" spans="1:70" s="76" customFormat="1" ht="31.5" customHeight="1" x14ac:dyDescent="0.25">
      <c r="A197" s="33">
        <f t="shared" si="133"/>
        <v>174</v>
      </c>
      <c r="B197" s="105" t="s">
        <v>429</v>
      </c>
      <c r="C197" s="55" t="s">
        <v>430</v>
      </c>
      <c r="D197" s="56">
        <v>45723</v>
      </c>
      <c r="E197" s="86" t="s">
        <v>38</v>
      </c>
      <c r="F197" s="57" t="s">
        <v>38</v>
      </c>
      <c r="G197" s="91" t="s">
        <v>38</v>
      </c>
      <c r="H197" s="91" t="s">
        <v>271</v>
      </c>
      <c r="I197" s="91" t="s">
        <v>38</v>
      </c>
      <c r="J197" s="91"/>
      <c r="K197" s="91" t="s">
        <v>38</v>
      </c>
      <c r="L197" s="91" t="s">
        <v>38</v>
      </c>
      <c r="M197" s="91" t="s">
        <v>38</v>
      </c>
      <c r="N197" s="91" t="s">
        <v>38</v>
      </c>
      <c r="O197" s="91" t="s">
        <v>38</v>
      </c>
      <c r="P197" s="91" t="s">
        <v>159</v>
      </c>
      <c r="Q197" s="91"/>
      <c r="R197" s="91" t="s">
        <v>38</v>
      </c>
      <c r="S197" s="91" t="s">
        <v>38</v>
      </c>
      <c r="T197" s="91" t="s">
        <v>38</v>
      </c>
      <c r="U197" s="91" t="s">
        <v>271</v>
      </c>
      <c r="V197" s="128" t="s">
        <v>38</v>
      </c>
      <c r="W197" s="91" t="s">
        <v>38</v>
      </c>
      <c r="X197" s="91"/>
      <c r="Y197" s="91"/>
      <c r="Z197" s="57"/>
      <c r="AA197" s="57"/>
      <c r="AB197" s="57"/>
      <c r="AC197" s="57"/>
      <c r="AD197" s="91"/>
      <c r="AE197" s="57"/>
      <c r="AF197" s="91"/>
      <c r="AG197" s="91"/>
      <c r="AH197" s="85"/>
      <c r="AI197" s="85"/>
      <c r="AJ197" s="58">
        <v>10110513</v>
      </c>
      <c r="AK197" s="59">
        <v>12</v>
      </c>
      <c r="AL197" s="60">
        <f t="shared" si="161"/>
        <v>14.75</v>
      </c>
      <c r="AM197" s="61">
        <f t="shared" si="162"/>
        <v>0</v>
      </c>
      <c r="AN197" s="62">
        <f t="shared" si="163"/>
        <v>14.75</v>
      </c>
      <c r="AO197" s="62">
        <f t="shared" si="164"/>
        <v>0</v>
      </c>
      <c r="AP197" s="62">
        <f t="shared" si="165"/>
        <v>2</v>
      </c>
      <c r="AQ197" s="63">
        <f t="shared" si="166"/>
        <v>0.25</v>
      </c>
      <c r="AR197" s="62">
        <f t="shared" si="167"/>
        <v>0</v>
      </c>
      <c r="AS197" s="62">
        <f t="shared" si="168"/>
        <v>0</v>
      </c>
      <c r="AT197" s="64"/>
      <c r="AU197" s="64"/>
      <c r="AV197" s="65">
        <f t="shared" si="169"/>
        <v>0</v>
      </c>
      <c r="AW197" s="65">
        <f t="shared" si="170"/>
        <v>0</v>
      </c>
      <c r="AX197" s="64"/>
      <c r="AY197" s="64"/>
      <c r="AZ197" s="80"/>
      <c r="BA197" s="66">
        <f t="shared" si="127"/>
        <v>14.75</v>
      </c>
      <c r="BB197" s="67"/>
      <c r="BC197" s="68"/>
      <c r="BD197" s="69">
        <f>VLOOKUP($B197,[1]CN!$B$9:$DK$221,114,0)</f>
        <v>1</v>
      </c>
      <c r="BE197" s="70">
        <f t="shared" si="171"/>
        <v>27</v>
      </c>
      <c r="BF197" s="71" t="s">
        <v>389</v>
      </c>
      <c r="BG197" s="72">
        <v>0</v>
      </c>
      <c r="BH197" s="73" t="str">
        <f>VLOOKUP(B197,'[2]Bang luong_06'!$B$9:$C$333,2,0)</f>
        <v>Thái Văn Phúc</v>
      </c>
      <c r="BI197" s="74" t="s">
        <v>426</v>
      </c>
      <c r="BJ197" s="75" t="str">
        <f>VLOOKUP($B197,'[2]Bang luong_06'!$B$10:$C$333,2,0)</f>
        <v>Thái Văn Phúc</v>
      </c>
      <c r="BK197" s="76" t="b">
        <f t="shared" si="172"/>
        <v>1</v>
      </c>
      <c r="BM197" s="77" t="e">
        <f>+VLOOKUP(B197,'[2]Thưởng Lễ 2-9'!B164:G452,6,0)</f>
        <v>#N/A</v>
      </c>
      <c r="BN197" s="75">
        <f t="shared" si="173"/>
        <v>-6</v>
      </c>
      <c r="BO197" s="76" t="str">
        <f>+VLOOKUP(B197,'[2]Bang luong_06'!B172:D483,3,0)</f>
        <v>CN Đóng gói</v>
      </c>
      <c r="BP197" s="76" t="s">
        <v>40</v>
      </c>
      <c r="BQ197" s="76">
        <v>2</v>
      </c>
      <c r="BR197" s="76">
        <f t="shared" si="147"/>
        <v>14.75</v>
      </c>
    </row>
    <row r="198" spans="1:70" s="76" customFormat="1" ht="31.5" customHeight="1" x14ac:dyDescent="0.25">
      <c r="A198" s="33">
        <f t="shared" si="133"/>
        <v>175</v>
      </c>
      <c r="B198" s="105" t="s">
        <v>431</v>
      </c>
      <c r="C198" s="106" t="s">
        <v>432</v>
      </c>
      <c r="D198" s="107">
        <v>45772</v>
      </c>
      <c r="E198" s="91" t="s">
        <v>38</v>
      </c>
      <c r="F198" s="86" t="s">
        <v>38</v>
      </c>
      <c r="G198" s="91" t="s">
        <v>38</v>
      </c>
      <c r="H198" s="91" t="s">
        <v>38</v>
      </c>
      <c r="I198" s="91" t="s">
        <v>38</v>
      </c>
      <c r="J198" s="91" t="s">
        <v>506</v>
      </c>
      <c r="K198" s="91" t="s">
        <v>37</v>
      </c>
      <c r="L198" s="91" t="s">
        <v>37</v>
      </c>
      <c r="M198" s="91" t="s">
        <v>37</v>
      </c>
      <c r="N198" s="91" t="s">
        <v>37</v>
      </c>
      <c r="O198" s="91" t="s">
        <v>37</v>
      </c>
      <c r="P198" s="91" t="s">
        <v>37</v>
      </c>
      <c r="Q198" s="91"/>
      <c r="R198" s="91" t="s">
        <v>213</v>
      </c>
      <c r="S198" s="91" t="s">
        <v>37</v>
      </c>
      <c r="T198" s="91" t="s">
        <v>433</v>
      </c>
      <c r="U198" s="91" t="s">
        <v>37</v>
      </c>
      <c r="V198" s="128" t="s">
        <v>37</v>
      </c>
      <c r="W198" s="91" t="s">
        <v>37</v>
      </c>
      <c r="X198" s="91"/>
      <c r="Y198" s="91" t="s">
        <v>38</v>
      </c>
      <c r="Z198" s="57"/>
      <c r="AA198" s="91"/>
      <c r="AB198" s="91"/>
      <c r="AC198" s="91"/>
      <c r="AD198" s="91"/>
      <c r="AE198" s="91"/>
      <c r="AF198" s="91"/>
      <c r="AG198" s="85"/>
      <c r="AH198" s="128"/>
      <c r="AI198" s="85"/>
      <c r="AJ198" s="58">
        <v>10110507</v>
      </c>
      <c r="AK198" s="59">
        <v>12</v>
      </c>
      <c r="AL198" s="60">
        <f t="shared" si="161"/>
        <v>6</v>
      </c>
      <c r="AM198" s="61">
        <f t="shared" si="162"/>
        <v>10.5</v>
      </c>
      <c r="AN198" s="62">
        <f t="shared" si="163"/>
        <v>16.5</v>
      </c>
      <c r="AO198" s="62">
        <f t="shared" si="164"/>
        <v>0</v>
      </c>
      <c r="AP198" s="62">
        <f t="shared" si="165"/>
        <v>0</v>
      </c>
      <c r="AQ198" s="63">
        <f t="shared" si="166"/>
        <v>1.5</v>
      </c>
      <c r="AR198" s="62">
        <f t="shared" si="167"/>
        <v>0</v>
      </c>
      <c r="AS198" s="62">
        <f t="shared" si="168"/>
        <v>0</v>
      </c>
      <c r="AT198" s="64"/>
      <c r="AU198" s="64"/>
      <c r="AV198" s="65">
        <f t="shared" si="169"/>
        <v>12</v>
      </c>
      <c r="AW198" s="65">
        <f t="shared" si="170"/>
        <v>0</v>
      </c>
      <c r="AX198" s="64"/>
      <c r="AY198" s="64"/>
      <c r="AZ198" s="80"/>
      <c r="BA198" s="66">
        <f t="shared" si="127"/>
        <v>16.5</v>
      </c>
      <c r="BB198" s="67"/>
      <c r="BC198" s="68"/>
      <c r="BD198" s="69">
        <f>VLOOKUP($B198,[1]CN!$B$9:$DK$221,114,0)</f>
        <v>1</v>
      </c>
      <c r="BE198" s="70">
        <f t="shared" si="171"/>
        <v>27</v>
      </c>
      <c r="BF198" s="71" t="s">
        <v>389</v>
      </c>
      <c r="BG198" s="72">
        <v>0</v>
      </c>
      <c r="BH198" s="73" t="str">
        <f>VLOOKUP(B198,'[2]Bang luong_06'!$B$9:$C$333,2,0)</f>
        <v>Trần Tuấn Kiệt</v>
      </c>
      <c r="BI198" s="74" t="s">
        <v>426</v>
      </c>
      <c r="BJ198" s="75" t="str">
        <f>VLOOKUP($B198,'[2]Bang luong_06'!$B$10:$C$333,2,0)</f>
        <v>Trần Tuấn Kiệt</v>
      </c>
      <c r="BK198" s="76" t="b">
        <f t="shared" si="172"/>
        <v>1</v>
      </c>
      <c r="BM198" s="77" t="e">
        <f>+VLOOKUP(B198,'[2]Thưởng Lễ 2-9'!B166:G454,6,0)</f>
        <v>#N/A</v>
      </c>
      <c r="BN198" s="75">
        <f t="shared" si="173"/>
        <v>-8</v>
      </c>
      <c r="BO198" s="76" t="str">
        <f>+VLOOKUP(B198,'[2]Bang luong_06'!B173:D485,3,0)</f>
        <v>CN Đóng gói</v>
      </c>
      <c r="BP198" s="76" t="s">
        <v>40</v>
      </c>
      <c r="BQ198" s="76">
        <v>0</v>
      </c>
      <c r="BR198" s="76">
        <f t="shared" si="147"/>
        <v>6</v>
      </c>
    </row>
    <row r="199" spans="1:70" s="76" customFormat="1" ht="31.5" customHeight="1" x14ac:dyDescent="0.25">
      <c r="A199" s="33">
        <f t="shared" si="133"/>
        <v>176</v>
      </c>
      <c r="B199" s="105" t="s">
        <v>434</v>
      </c>
      <c r="C199" s="55" t="s">
        <v>435</v>
      </c>
      <c r="D199" s="56">
        <v>45784</v>
      </c>
      <c r="E199" s="86" t="s">
        <v>38</v>
      </c>
      <c r="F199" s="57" t="s">
        <v>38</v>
      </c>
      <c r="G199" s="57" t="s">
        <v>38</v>
      </c>
      <c r="H199" s="91" t="s">
        <v>38</v>
      </c>
      <c r="I199" s="91" t="s">
        <v>38</v>
      </c>
      <c r="J199" s="91">
        <v>9</v>
      </c>
      <c r="K199" s="91" t="s">
        <v>38</v>
      </c>
      <c r="L199" s="91" t="s">
        <v>38</v>
      </c>
      <c r="M199" s="91" t="s">
        <v>38</v>
      </c>
      <c r="N199" s="91" t="s">
        <v>38</v>
      </c>
      <c r="O199" s="91" t="s">
        <v>38</v>
      </c>
      <c r="P199" s="91" t="s">
        <v>38</v>
      </c>
      <c r="Q199" s="91">
        <v>9</v>
      </c>
      <c r="R199" s="91" t="s">
        <v>38</v>
      </c>
      <c r="S199" s="91" t="s">
        <v>38</v>
      </c>
      <c r="T199" s="57" t="s">
        <v>38</v>
      </c>
      <c r="U199" s="57" t="s">
        <v>38</v>
      </c>
      <c r="V199" s="57" t="s">
        <v>38</v>
      </c>
      <c r="W199" s="91" t="s">
        <v>38</v>
      </c>
      <c r="X199" s="91">
        <v>9</v>
      </c>
      <c r="Y199" s="91"/>
      <c r="Z199" s="91"/>
      <c r="AA199" s="57"/>
      <c r="AB199" s="57"/>
      <c r="AC199" s="57"/>
      <c r="AD199" s="91"/>
      <c r="AE199" s="91"/>
      <c r="AF199" s="91"/>
      <c r="AG199" s="91"/>
      <c r="AH199" s="91"/>
      <c r="AI199" s="85"/>
      <c r="AJ199" s="58">
        <v>10110513</v>
      </c>
      <c r="AK199" s="59">
        <v>12</v>
      </c>
      <c r="AL199" s="60">
        <f t="shared" si="161"/>
        <v>17</v>
      </c>
      <c r="AM199" s="61">
        <f t="shared" si="162"/>
        <v>0</v>
      </c>
      <c r="AN199" s="62">
        <f t="shared" si="163"/>
        <v>17</v>
      </c>
      <c r="AO199" s="62">
        <f t="shared" si="164"/>
        <v>0</v>
      </c>
      <c r="AP199" s="62">
        <f t="shared" si="165"/>
        <v>0</v>
      </c>
      <c r="AQ199" s="63">
        <f t="shared" si="166"/>
        <v>0</v>
      </c>
      <c r="AR199" s="62">
        <f t="shared" si="167"/>
        <v>0</v>
      </c>
      <c r="AS199" s="62">
        <f t="shared" si="168"/>
        <v>0</v>
      </c>
      <c r="AT199" s="64">
        <v>14</v>
      </c>
      <c r="AU199" s="64"/>
      <c r="AV199" s="65">
        <f t="shared" si="169"/>
        <v>0</v>
      </c>
      <c r="AW199" s="65">
        <f t="shared" si="170"/>
        <v>0</v>
      </c>
      <c r="AX199" s="64"/>
      <c r="AY199" s="64"/>
      <c r="AZ199" s="80"/>
      <c r="BA199" s="66">
        <f t="shared" si="127"/>
        <v>17</v>
      </c>
      <c r="BB199" s="67"/>
      <c r="BC199" s="68"/>
      <c r="BD199" s="69">
        <f>VLOOKUP($B199,[1]CN!$B$9:$DK$221,114,0)</f>
        <v>3</v>
      </c>
      <c r="BE199" s="70">
        <f t="shared" si="171"/>
        <v>27</v>
      </c>
      <c r="BF199" s="71" t="s">
        <v>389</v>
      </c>
      <c r="BG199" s="72">
        <v>0</v>
      </c>
      <c r="BH199" s="73" t="str">
        <f>VLOOKUP(B199,'[2]Bang luong_06'!$B$9:$C$333,2,0)</f>
        <v>Danh Thị Phượng</v>
      </c>
      <c r="BI199" s="74" t="s">
        <v>426</v>
      </c>
      <c r="BJ199" s="75" t="str">
        <f>VLOOKUP($B199,'[2]Bang luong_06'!$B$10:$C$333,2,0)</f>
        <v>Danh Thị Phượng</v>
      </c>
      <c r="BK199" s="76" t="b">
        <f t="shared" si="172"/>
        <v>1</v>
      </c>
      <c r="BM199" s="77" t="e">
        <f>+VLOOKUP(B199,'[2]Thưởng Lễ 2-9'!B164:G452,6,0)</f>
        <v>#N/A</v>
      </c>
      <c r="BN199" s="75">
        <f t="shared" si="173"/>
        <v>-8</v>
      </c>
      <c r="BO199" s="76" t="str">
        <f>+VLOOKUP(B199,'[2]Bang luong_06'!B171:D483,3,0)</f>
        <v>CN Đóng gói</v>
      </c>
      <c r="BP199" s="76" t="s">
        <v>40</v>
      </c>
      <c r="BQ199" s="76">
        <v>0</v>
      </c>
      <c r="BR199" s="76">
        <f t="shared" si="147"/>
        <v>17</v>
      </c>
    </row>
    <row r="200" spans="1:70" s="76" customFormat="1" ht="31.5" customHeight="1" x14ac:dyDescent="0.25">
      <c r="A200" s="33">
        <f t="shared" si="133"/>
        <v>177</v>
      </c>
      <c r="B200" s="105" t="s">
        <v>436</v>
      </c>
      <c r="C200" s="106" t="s">
        <v>437</v>
      </c>
      <c r="D200" s="107">
        <v>45796</v>
      </c>
      <c r="E200" s="91" t="s">
        <v>38</v>
      </c>
      <c r="F200" s="91" t="s">
        <v>38</v>
      </c>
      <c r="G200" s="57" t="s">
        <v>38</v>
      </c>
      <c r="H200" s="91" t="s">
        <v>38</v>
      </c>
      <c r="I200" s="91" t="s">
        <v>38</v>
      </c>
      <c r="J200" s="91">
        <v>9</v>
      </c>
      <c r="K200" s="91" t="s">
        <v>38</v>
      </c>
      <c r="L200" s="91" t="s">
        <v>38</v>
      </c>
      <c r="M200" s="91" t="s">
        <v>38</v>
      </c>
      <c r="N200" s="91" t="s">
        <v>38</v>
      </c>
      <c r="O200" s="91" t="s">
        <v>38</v>
      </c>
      <c r="P200" s="91" t="s">
        <v>38</v>
      </c>
      <c r="Q200" s="91">
        <v>9</v>
      </c>
      <c r="R200" s="91" t="s">
        <v>38</v>
      </c>
      <c r="S200" s="91" t="s">
        <v>38</v>
      </c>
      <c r="T200" s="57" t="s">
        <v>38</v>
      </c>
      <c r="U200" s="57" t="s">
        <v>38</v>
      </c>
      <c r="V200" s="57" t="s">
        <v>38</v>
      </c>
      <c r="W200" s="91" t="s">
        <v>38</v>
      </c>
      <c r="X200" s="91">
        <v>9</v>
      </c>
      <c r="Y200" s="91"/>
      <c r="Z200" s="91"/>
      <c r="AA200" s="57"/>
      <c r="AB200" s="57"/>
      <c r="AC200" s="57"/>
      <c r="AD200" s="91"/>
      <c r="AE200" s="91"/>
      <c r="AF200" s="91"/>
      <c r="AG200" s="91"/>
      <c r="AH200" s="91"/>
      <c r="AI200" s="85"/>
      <c r="AJ200" s="58">
        <v>10110507</v>
      </c>
      <c r="AK200" s="59">
        <v>12</v>
      </c>
      <c r="AL200" s="60">
        <f t="shared" si="161"/>
        <v>17</v>
      </c>
      <c r="AM200" s="61">
        <f t="shared" si="162"/>
        <v>0</v>
      </c>
      <c r="AN200" s="62">
        <f t="shared" si="163"/>
        <v>17</v>
      </c>
      <c r="AO200" s="62">
        <f t="shared" si="164"/>
        <v>0</v>
      </c>
      <c r="AP200" s="62">
        <f t="shared" si="165"/>
        <v>0</v>
      </c>
      <c r="AQ200" s="63">
        <f t="shared" si="166"/>
        <v>0</v>
      </c>
      <c r="AR200" s="62">
        <f t="shared" si="167"/>
        <v>0</v>
      </c>
      <c r="AS200" s="62">
        <f t="shared" si="168"/>
        <v>0</v>
      </c>
      <c r="AT200" s="64">
        <v>14</v>
      </c>
      <c r="AU200" s="64"/>
      <c r="AV200" s="65">
        <f t="shared" si="169"/>
        <v>0</v>
      </c>
      <c r="AW200" s="65">
        <f t="shared" si="170"/>
        <v>0</v>
      </c>
      <c r="AX200" s="64"/>
      <c r="AY200" s="64"/>
      <c r="AZ200" s="80"/>
      <c r="BA200" s="66">
        <f t="shared" si="127"/>
        <v>17</v>
      </c>
      <c r="BB200" s="67"/>
      <c r="BC200" s="68"/>
      <c r="BD200" s="69">
        <f>VLOOKUP($B200,[1]CN!$B$9:$DK$221,114,0)</f>
        <v>1</v>
      </c>
      <c r="BE200" s="70">
        <f t="shared" si="171"/>
        <v>27</v>
      </c>
      <c r="BF200" s="71" t="s">
        <v>389</v>
      </c>
      <c r="BG200" s="72" t="s">
        <v>34</v>
      </c>
      <c r="BH200" s="73" t="str">
        <f>VLOOKUP(B200,'[2]Bang luong_06'!$B$9:$C$333,2,0)</f>
        <v>Lý Đức Thuận</v>
      </c>
      <c r="BI200" s="74"/>
      <c r="BJ200" s="75" t="str">
        <f>VLOOKUP($B200,'[2]Bang luong_06'!$B$10:$C$333,2,0)</f>
        <v>Lý Đức Thuận</v>
      </c>
      <c r="BK200" s="76" t="b">
        <f t="shared" si="172"/>
        <v>1</v>
      </c>
      <c r="BM200" s="77" t="e">
        <f>+VLOOKUP(B200,'[2]Thưởng Lễ 2-9'!B84:G374,6,0)</f>
        <v>#N/A</v>
      </c>
      <c r="BN200" s="75">
        <f t="shared" si="173"/>
        <v>-9</v>
      </c>
      <c r="BO200" s="76" t="str">
        <f>+VLOOKUP(B200,'[2]Bang luong_06'!B94:D405,3,0)</f>
        <v>Nhân viên Nhập liệu</v>
      </c>
      <c r="BP200" s="76" t="s">
        <v>40</v>
      </c>
      <c r="BQ200" s="76">
        <v>0</v>
      </c>
      <c r="BR200" s="76">
        <f t="shared" si="147"/>
        <v>17</v>
      </c>
    </row>
    <row r="201" spans="1:70" s="76" customFormat="1" ht="31.5" customHeight="1" x14ac:dyDescent="0.25">
      <c r="A201" s="33">
        <f t="shared" si="133"/>
        <v>178</v>
      </c>
      <c r="B201" s="105" t="s">
        <v>438</v>
      </c>
      <c r="C201" s="106" t="s">
        <v>439</v>
      </c>
      <c r="D201" s="107">
        <v>45909</v>
      </c>
      <c r="E201" s="91" t="s">
        <v>38</v>
      </c>
      <c r="F201" s="57" t="s">
        <v>38</v>
      </c>
      <c r="G201" s="100" t="s">
        <v>38</v>
      </c>
      <c r="H201" s="100" t="s">
        <v>38</v>
      </c>
      <c r="I201" s="91" t="s">
        <v>38</v>
      </c>
      <c r="J201" s="100"/>
      <c r="K201" s="91" t="s">
        <v>38</v>
      </c>
      <c r="L201" s="91" t="s">
        <v>38</v>
      </c>
      <c r="M201" s="100" t="s">
        <v>38</v>
      </c>
      <c r="N201" s="100" t="s">
        <v>38</v>
      </c>
      <c r="O201" s="100" t="s">
        <v>38</v>
      </c>
      <c r="P201" s="100" t="s">
        <v>38</v>
      </c>
      <c r="Q201" s="100">
        <v>9</v>
      </c>
      <c r="R201" s="100" t="s">
        <v>38</v>
      </c>
      <c r="S201" s="91" t="s">
        <v>38</v>
      </c>
      <c r="T201" s="57" t="s">
        <v>38</v>
      </c>
      <c r="U201" s="57" t="s">
        <v>38</v>
      </c>
      <c r="V201" s="57" t="s">
        <v>38</v>
      </c>
      <c r="W201" s="91" t="s">
        <v>38</v>
      </c>
      <c r="X201" s="91">
        <v>9</v>
      </c>
      <c r="Y201" s="91"/>
      <c r="Z201" s="91"/>
      <c r="AA201" s="91"/>
      <c r="AB201" s="57"/>
      <c r="AC201" s="57"/>
      <c r="AD201" s="91"/>
      <c r="AE201" s="91"/>
      <c r="AF201" s="91"/>
      <c r="AG201" s="91"/>
      <c r="AH201" s="91"/>
      <c r="AI201" s="85"/>
      <c r="AJ201" s="58">
        <v>10110507</v>
      </c>
      <c r="AK201" s="59">
        <v>12</v>
      </c>
      <c r="AL201" s="60">
        <f t="shared" si="161"/>
        <v>17</v>
      </c>
      <c r="AM201" s="61">
        <f t="shared" si="162"/>
        <v>0</v>
      </c>
      <c r="AN201" s="62">
        <f t="shared" si="163"/>
        <v>17</v>
      </c>
      <c r="AO201" s="62">
        <f t="shared" si="164"/>
        <v>0</v>
      </c>
      <c r="AP201" s="62">
        <f t="shared" si="165"/>
        <v>0</v>
      </c>
      <c r="AQ201" s="63">
        <f t="shared" si="166"/>
        <v>0</v>
      </c>
      <c r="AR201" s="62">
        <f t="shared" si="167"/>
        <v>0</v>
      </c>
      <c r="AS201" s="62">
        <f t="shared" si="168"/>
        <v>0</v>
      </c>
      <c r="AT201" s="64">
        <v>7</v>
      </c>
      <c r="AU201" s="64"/>
      <c r="AV201" s="65">
        <f t="shared" si="169"/>
        <v>0</v>
      </c>
      <c r="AW201" s="65">
        <f t="shared" si="170"/>
        <v>0</v>
      </c>
      <c r="AX201" s="64"/>
      <c r="AY201" s="64"/>
      <c r="AZ201" s="80"/>
      <c r="BA201" s="66">
        <f t="shared" si="127"/>
        <v>17</v>
      </c>
      <c r="BB201" s="67"/>
      <c r="BC201" s="68"/>
      <c r="BD201" s="69">
        <f>VLOOKUP($B201,[1]CN!$B$9:$DK$221,114,0)</f>
        <v>3</v>
      </c>
      <c r="BE201" s="70">
        <f t="shared" si="171"/>
        <v>27</v>
      </c>
      <c r="BF201" s="71" t="s">
        <v>389</v>
      </c>
      <c r="BG201" s="72" t="s">
        <v>34</v>
      </c>
      <c r="BH201" s="73" t="str">
        <f>VLOOKUP(B201,'[2]Bang luong_06'!$B$9:$C$333,2,0)</f>
        <v>Trương Thị Kim Chi</v>
      </c>
      <c r="BI201" s="74"/>
      <c r="BJ201" s="75" t="str">
        <f>VLOOKUP($B201,'[2]Bang luong_06'!$B$10:$C$333,2,0)</f>
        <v>Trương Thị Kim Chi</v>
      </c>
      <c r="BK201" s="76" t="b">
        <f t="shared" si="172"/>
        <v>1</v>
      </c>
      <c r="BM201" s="77" t="e">
        <f>+VLOOKUP(B201,'[2]Thưởng Lễ 2-9'!B76:G366,6,0)</f>
        <v>#N/A</v>
      </c>
      <c r="BN201" s="75">
        <f t="shared" si="173"/>
        <v>-12</v>
      </c>
      <c r="BO201" s="76" t="str">
        <f>+VLOOKUP(B201,'[2]Bang luong_06'!B87:D397,3,0)</f>
        <v>CN Đóng gói</v>
      </c>
      <c r="BP201" s="76" t="s">
        <v>40</v>
      </c>
      <c r="BQ201" s="76">
        <v>0</v>
      </c>
      <c r="BR201" s="76">
        <f t="shared" si="147"/>
        <v>17</v>
      </c>
    </row>
    <row r="202" spans="1:70" s="76" customFormat="1" ht="31.5" customHeight="1" x14ac:dyDescent="0.25">
      <c r="A202" s="33">
        <f t="shared" si="133"/>
        <v>179</v>
      </c>
      <c r="B202" s="105" t="s">
        <v>440</v>
      </c>
      <c r="C202" s="106" t="s">
        <v>441</v>
      </c>
      <c r="D202" s="107">
        <v>45951</v>
      </c>
      <c r="E202" s="86" t="s">
        <v>38</v>
      </c>
      <c r="F202" s="57" t="s">
        <v>38</v>
      </c>
      <c r="G202" s="57" t="s">
        <v>38</v>
      </c>
      <c r="H202" s="91" t="s">
        <v>38</v>
      </c>
      <c r="I202" s="91" t="s">
        <v>38</v>
      </c>
      <c r="J202" s="100">
        <v>9</v>
      </c>
      <c r="K202" s="91" t="s">
        <v>38</v>
      </c>
      <c r="L202" s="91" t="s">
        <v>38</v>
      </c>
      <c r="M202" s="91" t="s">
        <v>38</v>
      </c>
      <c r="N202" s="91" t="s">
        <v>38</v>
      </c>
      <c r="O202" s="91" t="s">
        <v>38</v>
      </c>
      <c r="P202" s="100" t="s">
        <v>38</v>
      </c>
      <c r="Q202" s="100">
        <v>9</v>
      </c>
      <c r="R202" s="91" t="s">
        <v>38</v>
      </c>
      <c r="S202" s="100" t="s">
        <v>38</v>
      </c>
      <c r="T202" s="57" t="s">
        <v>38</v>
      </c>
      <c r="U202" s="57" t="s">
        <v>38</v>
      </c>
      <c r="V202" s="57" t="s">
        <v>38</v>
      </c>
      <c r="W202" s="91" t="s">
        <v>107</v>
      </c>
      <c r="X202" s="91"/>
      <c r="Y202" s="91"/>
      <c r="Z202" s="91"/>
      <c r="AA202" s="57"/>
      <c r="AB202" s="57"/>
      <c r="AC202" s="57"/>
      <c r="AD202" s="91"/>
      <c r="AE202" s="91"/>
      <c r="AF202" s="86"/>
      <c r="AG202" s="91"/>
      <c r="AH202" s="91"/>
      <c r="AI202" s="85"/>
      <c r="AJ202" s="58">
        <v>10110507</v>
      </c>
      <c r="AK202" s="59">
        <v>12</v>
      </c>
      <c r="AL202" s="60">
        <f t="shared" si="161"/>
        <v>16</v>
      </c>
      <c r="AM202" s="61">
        <f t="shared" si="162"/>
        <v>0</v>
      </c>
      <c r="AN202" s="62">
        <f t="shared" si="163"/>
        <v>16</v>
      </c>
      <c r="AO202" s="62">
        <f t="shared" si="164"/>
        <v>1</v>
      </c>
      <c r="AP202" s="62">
        <f t="shared" si="165"/>
        <v>0</v>
      </c>
      <c r="AQ202" s="63">
        <f t="shared" si="166"/>
        <v>0</v>
      </c>
      <c r="AR202" s="62">
        <f t="shared" si="167"/>
        <v>0</v>
      </c>
      <c r="AS202" s="62">
        <f t="shared" si="168"/>
        <v>0</v>
      </c>
      <c r="AT202" s="64">
        <v>14</v>
      </c>
      <c r="AU202" s="64"/>
      <c r="AV202" s="65">
        <f t="shared" si="169"/>
        <v>0</v>
      </c>
      <c r="AW202" s="65">
        <f t="shared" si="170"/>
        <v>0</v>
      </c>
      <c r="AX202" s="64"/>
      <c r="AY202" s="64"/>
      <c r="AZ202" s="80"/>
      <c r="BA202" s="66">
        <f t="shared" si="127"/>
        <v>17</v>
      </c>
      <c r="BB202" s="67"/>
      <c r="BC202" s="68"/>
      <c r="BD202" s="69">
        <f>VLOOKUP($B202,[1]CN!$B$9:$DK$221,114,0)</f>
        <v>2</v>
      </c>
      <c r="BE202" s="70">
        <f t="shared" si="171"/>
        <v>27</v>
      </c>
      <c r="BF202" s="71" t="s">
        <v>389</v>
      </c>
      <c r="BG202" s="72" t="s">
        <v>34</v>
      </c>
      <c r="BH202" s="73" t="str">
        <f>VLOOKUP(B202,'[2]Bang luong_06'!$B$9:$C$333,2,0)</f>
        <v>Trần Thị Diệu</v>
      </c>
      <c r="BI202" s="74"/>
      <c r="BJ202" s="75" t="str">
        <f>VLOOKUP($B202,'[2]Bang luong_06'!$B$10:$C$333,2,0)</f>
        <v>Trần Thị Diệu</v>
      </c>
      <c r="BK202" s="76" t="b">
        <f t="shared" si="172"/>
        <v>1</v>
      </c>
      <c r="BM202" s="77" t="e">
        <f>+VLOOKUP(B202,'[2]Thưởng Lễ 2-9'!B76:G366,6,0)</f>
        <v>#N/A</v>
      </c>
      <c r="BN202" s="75">
        <f t="shared" si="173"/>
        <v>-14</v>
      </c>
      <c r="BO202" s="76" t="str">
        <f>+VLOOKUP(B202,'[2]Bang luong_06'!B87:D397,3,0)</f>
        <v>CN Đóng gói</v>
      </c>
      <c r="BP202" s="76" t="s">
        <v>40</v>
      </c>
      <c r="BQ202" s="76">
        <v>0</v>
      </c>
      <c r="BR202" s="76">
        <f t="shared" si="147"/>
        <v>16</v>
      </c>
    </row>
    <row r="203" spans="1:70" s="76" customFormat="1" ht="31.5" customHeight="1" x14ac:dyDescent="0.25">
      <c r="A203" s="33">
        <f t="shared" si="133"/>
        <v>180</v>
      </c>
      <c r="B203" s="88" t="s">
        <v>442</v>
      </c>
      <c r="C203" s="89" t="s">
        <v>443</v>
      </c>
      <c r="D203" s="90">
        <v>45958</v>
      </c>
      <c r="E203" s="86" t="s">
        <v>38</v>
      </c>
      <c r="F203" s="57" t="s">
        <v>38</v>
      </c>
      <c r="G203" s="57" t="s">
        <v>38</v>
      </c>
      <c r="H203" s="57" t="s">
        <v>38</v>
      </c>
      <c r="I203" s="91" t="s">
        <v>38</v>
      </c>
      <c r="J203" s="57">
        <v>9</v>
      </c>
      <c r="K203" s="91" t="s">
        <v>38</v>
      </c>
      <c r="L203" s="57" t="s">
        <v>38</v>
      </c>
      <c r="M203" s="91" t="s">
        <v>38</v>
      </c>
      <c r="N203" s="91" t="s">
        <v>38</v>
      </c>
      <c r="O203" s="57" t="s">
        <v>38</v>
      </c>
      <c r="P203" s="57" t="s">
        <v>38</v>
      </c>
      <c r="Q203" s="57">
        <v>9</v>
      </c>
      <c r="R203" s="91" t="s">
        <v>38</v>
      </c>
      <c r="S203" s="57" t="s">
        <v>38</v>
      </c>
      <c r="T203" s="57" t="s">
        <v>38</v>
      </c>
      <c r="U203" s="57" t="s">
        <v>38</v>
      </c>
      <c r="V203" s="57" t="s">
        <v>38</v>
      </c>
      <c r="W203" s="91" t="s">
        <v>107</v>
      </c>
      <c r="X203" s="91"/>
      <c r="Y203" s="91"/>
      <c r="Z203" s="91"/>
      <c r="AA203" s="57"/>
      <c r="AB203" s="57"/>
      <c r="AC203" s="57"/>
      <c r="AD203" s="91"/>
      <c r="AE203" s="91"/>
      <c r="AF203" s="91"/>
      <c r="AG203" s="91"/>
      <c r="AH203" s="91"/>
      <c r="AI203" s="85"/>
      <c r="AJ203" s="58">
        <v>10100403</v>
      </c>
      <c r="AK203" s="59">
        <v>12</v>
      </c>
      <c r="AL203" s="60">
        <f t="shared" si="161"/>
        <v>16</v>
      </c>
      <c r="AM203" s="61">
        <f t="shared" si="162"/>
        <v>0</v>
      </c>
      <c r="AN203" s="62">
        <f t="shared" si="163"/>
        <v>16</v>
      </c>
      <c r="AO203" s="62">
        <f t="shared" si="164"/>
        <v>1</v>
      </c>
      <c r="AP203" s="62">
        <f t="shared" si="165"/>
        <v>0</v>
      </c>
      <c r="AQ203" s="63">
        <f t="shared" si="166"/>
        <v>0</v>
      </c>
      <c r="AR203" s="62">
        <f t="shared" si="167"/>
        <v>0</v>
      </c>
      <c r="AS203" s="62">
        <f t="shared" si="168"/>
        <v>0</v>
      </c>
      <c r="AT203" s="64">
        <v>14</v>
      </c>
      <c r="AU203" s="64"/>
      <c r="AV203" s="65">
        <f t="shared" si="169"/>
        <v>0</v>
      </c>
      <c r="AW203" s="65">
        <f t="shared" si="170"/>
        <v>0</v>
      </c>
      <c r="AX203" s="64"/>
      <c r="AY203" s="64"/>
      <c r="AZ203" s="80"/>
      <c r="BA203" s="66">
        <f t="shared" si="127"/>
        <v>17</v>
      </c>
      <c r="BB203" s="67"/>
      <c r="BC203" s="68"/>
      <c r="BD203" s="69">
        <f>VLOOKUP($B203,[1]CN!$B$9:$DK$221,114,0)</f>
        <v>3</v>
      </c>
      <c r="BE203" s="70">
        <f t="shared" si="171"/>
        <v>27</v>
      </c>
      <c r="BF203" s="71" t="s">
        <v>39</v>
      </c>
      <c r="BG203" s="72" t="s">
        <v>34</v>
      </c>
      <c r="BH203" s="73" t="str">
        <f>VLOOKUP(B203,'[2]Bang luong_06'!$B$9:$C$333,2,0)</f>
        <v>Huỳnh Quốc Danh</v>
      </c>
      <c r="BI203" s="74"/>
      <c r="BJ203" s="75" t="str">
        <f>VLOOKUP($B203,'[2]Bang luong_06'!$B$10:$C$333,2,0)</f>
        <v>Huỳnh Quốc Danh</v>
      </c>
      <c r="BK203" s="76" t="b">
        <f t="shared" si="172"/>
        <v>1</v>
      </c>
      <c r="BM203" s="77" t="e">
        <f>+VLOOKUP(B203,'[2]Thưởng Lễ 2-9'!B154:G444,6,0)</f>
        <v>#N/A</v>
      </c>
      <c r="BN203" s="75">
        <f t="shared" si="173"/>
        <v>-14</v>
      </c>
      <c r="BO203" s="76" t="str">
        <f>+VLOOKUP(B203,'[2]Bang luong_06'!B166:D475,3,0)</f>
        <v>CN Đóng gói</v>
      </c>
      <c r="BP203" s="76" t="s">
        <v>40</v>
      </c>
      <c r="BQ203" s="76">
        <v>0</v>
      </c>
      <c r="BR203" s="76">
        <f t="shared" si="147"/>
        <v>16</v>
      </c>
    </row>
    <row r="204" spans="1:70" s="76" customFormat="1" ht="31.5" customHeight="1" x14ac:dyDescent="0.25">
      <c r="A204" s="33">
        <f t="shared" si="133"/>
        <v>181</v>
      </c>
      <c r="B204" s="105" t="s">
        <v>444</v>
      </c>
      <c r="C204" s="106" t="s">
        <v>445</v>
      </c>
      <c r="D204" s="107">
        <v>45971</v>
      </c>
      <c r="E204" s="91" t="s">
        <v>38</v>
      </c>
      <c r="F204" s="91" t="s">
        <v>38</v>
      </c>
      <c r="G204" s="57" t="s">
        <v>38</v>
      </c>
      <c r="H204" s="100" t="s">
        <v>38</v>
      </c>
      <c r="I204" s="91" t="s">
        <v>38</v>
      </c>
      <c r="J204" s="91">
        <v>9</v>
      </c>
      <c r="K204" s="91" t="s">
        <v>38</v>
      </c>
      <c r="L204" s="100" t="s">
        <v>38</v>
      </c>
      <c r="M204" s="100" t="s">
        <v>38</v>
      </c>
      <c r="N204" s="100" t="s">
        <v>38</v>
      </c>
      <c r="O204" s="100" t="s">
        <v>38</v>
      </c>
      <c r="P204" s="100" t="s">
        <v>38</v>
      </c>
      <c r="Q204" s="100">
        <v>9</v>
      </c>
      <c r="R204" s="100" t="s">
        <v>38</v>
      </c>
      <c r="S204" s="100" t="s">
        <v>38</v>
      </c>
      <c r="T204" s="57" t="s">
        <v>38</v>
      </c>
      <c r="U204" s="57" t="s">
        <v>38</v>
      </c>
      <c r="V204" s="57" t="s">
        <v>38</v>
      </c>
      <c r="W204" s="91" t="s">
        <v>38</v>
      </c>
      <c r="X204" s="91"/>
      <c r="Y204" s="91"/>
      <c r="Z204" s="91"/>
      <c r="AA204" s="91"/>
      <c r="AB204" s="57"/>
      <c r="AC204" s="57"/>
      <c r="AD204" s="91"/>
      <c r="AE204" s="91"/>
      <c r="AF204" s="91"/>
      <c r="AG204" s="91"/>
      <c r="AH204" s="57"/>
      <c r="AI204" s="85"/>
      <c r="AJ204" s="58">
        <v>10110507</v>
      </c>
      <c r="AK204" s="59">
        <v>12</v>
      </c>
      <c r="AL204" s="60">
        <f>COUNTIF(D204:AI204,"N")+COUNTIF(D204:AI204,"N1")*1/AK204+COUNTIF(D204:AI204,"N2")*2/AK204+COUNTIF(D204:AI204,"N3")*3/AK204+COUNTIF(D204:AI204,"N4")*4/AK204+COUNTIF(D204:AI204,"N5")*5/AK204+COUNTIF(D204:AI204,"N6")*6/AK204+COUNTIF(D204:AI204,"N7")*7/AK204+COUNTIF(D204:AI204,"N8")*8/AK204+COUNTIF(D204:AI204,"N9")*9/AK204+COUNTIF(D204:AI204,"N10")*10/AK204+COUNTIF(D204:AI204,"N11")*11/AK204+COUNTIF(D204:AI204,"N12")*12/AK204+COUNTIF(D204:AI204,"Ro1")*1/AK204+COUNTIF(D204:AI204,"Ro2")*2/AK204+COUNTIF(D204:AI204,"Ro3")*3/AK204+COUNTIF(D204:AI204,"Ro3.0")*3/AK204+COUNTIF(D204:AI204,"Ro4")*4/AK204+COUNTIF(D204:AI204,"Ro4.0")*4/AK204+COUNTIF(D204:AI204,"Ro4.5")*4.5/AK204+COUNTIF(D204:AI204,"Ro5")*5/AK204+COUNTIF(D204:AI204,"Ro5.0")*5/AK204+COUNTIF(D204:AI204,"Ro5.5")*5.5/AK204+COUNTIF(D204:AI204,"Ro6")*6/AK204+COUNTIF(D204:AI204,"Ro7")*7/AK204+COUNTIF(D204:AI204,"Ro8")*8/AK204+COUNTIF(D204:AI204,"Ro8.0")*8/AK204+COUNTIF(D204:AI204,"Ro8.3")*8.3/AK204+COUNTIF(D204:AI204,"Ro8.5")*8.5/AK204+COUNTIF(D204:AI204,"Ro9")*9/AK204+COUNTIF(D204:AI204,"Ro9.5")*9.5/AK204+COUNTIF(D204:AI204,"Ro10")*10/AK204+COUNTIF(D204:AI204,"Ro10.0")*10/AK204+COUNTIF(D204:AI204,"Ro10.5")*10.5/AK204+COUNTIF(D204:AI204,"Ro11")*11/AK204+COUNTIF(D204:AI204,"Ro11.0")*11/AK204+COUNTIF(D204:AI204,"Ro11.5")*11.5/AK204+COUNTIF(D204:AI204,"Bu1")+COUNTIF(D204:AI204,"Bu2")+COUNTIF(D204:AI204,"Bu3")+COUNTIF(D204:AI204,"Bu4")+COUNTIF(D204:AI204,"Bu5")+COUNTIF(D204:AI204,"Bu6")+COUNTIF(D204:AI204,"Bu7")+COUNTIF(D204:AI204,"Bu8")+COUNTIF(D204:AI204,"Bu9")+COUNTIF(D204:AI204,"Bu10")+COUNTIF(D204:AI204,"Bu11")+COUNTIF(D204:AI204,"Bu")+COUNTIF(D204:AI204,"P2")*0.5</f>
        <v>17</v>
      </c>
      <c r="AM204" s="61">
        <f>COUNTIF(E204:AI204,"D")+COUNTIF(E204:AI204,"D1")*1/AK204+COUNTIF(E204:AI204,"D2")*2/AK204+COUNTIF(E204:AI204,"D3")*3/AK204+COUNTIF(E204:AI204,"D4")*4/AK204+COUNTIF(E204:AI204,"D5")*5/AK204+COUNTIF(E204:AI204,"D6")*6/AK204+COUNTIF(E204:AI204,"D7")*7/AK204+COUNTIF(E204:AI204,"D8")*8/AK204+COUNTIF(E204:AI204,"D9")*9/AK204+COUNTIF(E204:AI204,"D10")*10/AK204+COUNTIF(E204:AI204,"D11")*11/AK204+COUNTIF(E204:AI204,"D12")*12/AK204</f>
        <v>0</v>
      </c>
      <c r="AN204" s="62">
        <f t="shared" si="163"/>
        <v>17</v>
      </c>
      <c r="AO204" s="62">
        <f t="shared" si="164"/>
        <v>0</v>
      </c>
      <c r="AP204" s="62">
        <f t="shared" si="165"/>
        <v>0</v>
      </c>
      <c r="AQ204" s="63">
        <f t="shared" si="166"/>
        <v>0</v>
      </c>
      <c r="AR204" s="62">
        <f t="shared" si="167"/>
        <v>0</v>
      </c>
      <c r="AS204" s="62">
        <f t="shared" si="168"/>
        <v>0</v>
      </c>
      <c r="AT204" s="64">
        <v>10</v>
      </c>
      <c r="AU204" s="64"/>
      <c r="AV204" s="65">
        <f t="shared" si="169"/>
        <v>0</v>
      </c>
      <c r="AW204" s="65">
        <f t="shared" si="170"/>
        <v>0</v>
      </c>
      <c r="AX204" s="64"/>
      <c r="AY204" s="64"/>
      <c r="AZ204" s="80"/>
      <c r="BA204" s="66">
        <f t="shared" si="127"/>
        <v>17</v>
      </c>
      <c r="BB204" s="67"/>
      <c r="BC204" s="68"/>
      <c r="BD204" s="69">
        <f>VLOOKUP($B204,[1]CN!$B$9:$DK$221,114,0)</f>
        <v>1</v>
      </c>
      <c r="BE204" s="70">
        <f t="shared" si="171"/>
        <v>27</v>
      </c>
      <c r="BF204" s="71" t="s">
        <v>389</v>
      </c>
      <c r="BG204" s="72" t="s">
        <v>34</v>
      </c>
      <c r="BH204" s="73" t="str">
        <f>VLOOKUP(B204,'[2]Bang luong_06'!$B$9:$C$333,2,0)</f>
        <v>Lê Chí Nguyện</v>
      </c>
      <c r="BI204" s="74"/>
      <c r="BJ204" s="75" t="str">
        <f>VLOOKUP($B204,'[2]Bang luong_06'!$B$10:$C$333,2,0)</f>
        <v>Lê Chí Nguyện</v>
      </c>
      <c r="BK204" s="76" t="b">
        <f t="shared" si="172"/>
        <v>1</v>
      </c>
      <c r="BM204" s="77" t="e">
        <f>+VLOOKUP(B204,'[2]Thưởng Lễ 2-9'!B74:G364,6,0)</f>
        <v>#N/A</v>
      </c>
      <c r="BN204" s="75">
        <f t="shared" si="173"/>
        <v>-15</v>
      </c>
      <c r="BO204" s="76" t="str">
        <f>+VLOOKUP(B204,'[2]Bang luong_06'!B84:D395,3,0)</f>
        <v>CN Đóng gói</v>
      </c>
      <c r="BP204" s="76" t="s">
        <v>40</v>
      </c>
      <c r="BQ204" s="76">
        <v>0</v>
      </c>
      <c r="BR204" s="76">
        <f t="shared" si="147"/>
        <v>17</v>
      </c>
    </row>
    <row r="205" spans="1:70" s="76" customFormat="1" ht="31.5" customHeight="1" x14ac:dyDescent="0.25">
      <c r="A205" s="33">
        <f t="shared" si="133"/>
        <v>182</v>
      </c>
      <c r="B205" s="105" t="s">
        <v>446</v>
      </c>
      <c r="C205" s="106" t="s">
        <v>447</v>
      </c>
      <c r="D205" s="107">
        <v>46080</v>
      </c>
      <c r="E205" s="91" t="s">
        <v>38</v>
      </c>
      <c r="F205" s="91" t="s">
        <v>38</v>
      </c>
      <c r="G205" s="57" t="s">
        <v>38</v>
      </c>
      <c r="H205" s="100" t="s">
        <v>38</v>
      </c>
      <c r="I205" s="91" t="s">
        <v>38</v>
      </c>
      <c r="J205" s="91">
        <v>9</v>
      </c>
      <c r="K205" s="91" t="s">
        <v>38</v>
      </c>
      <c r="L205" s="100" t="s">
        <v>38</v>
      </c>
      <c r="M205" s="91" t="s">
        <v>38</v>
      </c>
      <c r="N205" s="91" t="s">
        <v>38</v>
      </c>
      <c r="O205" s="91" t="s">
        <v>38</v>
      </c>
      <c r="P205" s="100" t="s">
        <v>38</v>
      </c>
      <c r="Q205" s="100">
        <v>9</v>
      </c>
      <c r="R205" s="91" t="s">
        <v>38</v>
      </c>
      <c r="S205" s="91" t="s">
        <v>38</v>
      </c>
      <c r="T205" s="57" t="s">
        <v>38</v>
      </c>
      <c r="U205" s="57" t="s">
        <v>38</v>
      </c>
      <c r="V205" s="57" t="s">
        <v>38</v>
      </c>
      <c r="W205" s="91" t="s">
        <v>38</v>
      </c>
      <c r="X205" s="91">
        <v>9</v>
      </c>
      <c r="Y205" s="91"/>
      <c r="Z205" s="91"/>
      <c r="AA205" s="57"/>
      <c r="AB205" s="57"/>
      <c r="AC205" s="57"/>
      <c r="AD205" s="91"/>
      <c r="AE205" s="91"/>
      <c r="AF205" s="91"/>
      <c r="AG205" s="91"/>
      <c r="AH205" s="57"/>
      <c r="AI205" s="85"/>
      <c r="AJ205" s="58">
        <v>10110507</v>
      </c>
      <c r="AK205" s="59">
        <v>12</v>
      </c>
      <c r="AL205" s="60">
        <f>COUNTIF(D205:AI205,"N")+COUNTIF(D205:AI205,"N1")*1/AK205+COUNTIF(D205:AI205,"N2")*2/AK205+COUNTIF(D205:AI205,"N3")*3/AK205+COUNTIF(D205:AI205,"N4")*4/AK205+COUNTIF(D205:AI205,"N5")*5/AK205+COUNTIF(D205:AI205,"N6")*6/AK205+COUNTIF(D205:AI205,"N7")*7/AK205+COUNTIF(D205:AI205,"N8")*8/AK205+COUNTIF(D205:AI205,"N9")*9/AK205+COUNTIF(D205:AI205,"N10")*10/AK205+COUNTIF(D205:AI205,"N11")*11/AK205+COUNTIF(D205:AI205,"N12")*12/AK205+COUNTIF(D205:AI205,"Ro1")*1/AK205+COUNTIF(D205:AI205,"Ro2")*2/AK205+COUNTIF(D205:AI205,"Ro3")*3/AK205+COUNTIF(D205:AI205,"Ro3.0")*3/AK205+COUNTIF(D205:AI205,"Ro4")*4/AK205+COUNTIF(D205:AI205,"Ro4.0")*4/AK205+COUNTIF(D205:AI205,"Ro4.5")*4.5/AK205+COUNTIF(D205:AI205,"Ro5")*5/AK205+COUNTIF(D205:AI205,"Ro5.0")*5/AK205+COUNTIF(D205:AI205,"Ro5.5")*5.5/AK205+COUNTIF(D205:AI205,"Ro6")*6/AK205+COUNTIF(D205:AI205,"Ro7")*7/AK205+COUNTIF(D205:AI205,"Ro8")*8/AK205+COUNTIF(D205:AI205,"Ro8.0")*8/AK205+COUNTIF(D205:AI205,"Ro8.3")*8.3/AK205+COUNTIF(D205:AI205,"Ro8.5")*8.5/AK205+COUNTIF(D205:AI205,"Ro9")*9/AK205+COUNTIF(D205:AI205,"Ro9.5")*9.5/AK205+COUNTIF(D205:AI205,"Ro10")*10/AK205+COUNTIF(D205:AI205,"Ro10.0")*10/AK205+COUNTIF(D205:AI205,"Ro10.5")*10.5/AK205+COUNTIF(D205:AI205,"Ro11")*11/AK205+COUNTIF(D205:AI205,"Ro11.0")*11/AK205+COUNTIF(D205:AI205,"Ro11.5")*11.5/AK205+COUNTIF(D205:AI205,"Bu1")+COUNTIF(D205:AI205,"Bu2")+COUNTIF(D205:AI205,"Bu3")+COUNTIF(D205:AI205,"Bu4")+COUNTIF(D205:AI205,"Bu5")+COUNTIF(D205:AI205,"Bu6")+COUNTIF(D205:AI205,"Bu7")+COUNTIF(D205:AI205,"Bu8")+COUNTIF(D205:AI205,"Bu9")+COUNTIF(D205:AI205,"Bu10")+COUNTIF(D205:AI205,"Bu11")+COUNTIF(D205:AI205,"Bu")+COUNTIF(D205:AI205,"P2")*0.5</f>
        <v>17</v>
      </c>
      <c r="AM205" s="61">
        <f>COUNTIF(E205:AI205,"D")+COUNTIF(E205:AI205,"D1")*1/AK205+COUNTIF(E205:AI205,"D2")*2/AK205+COUNTIF(E205:AI205,"D3")*3/AK205+COUNTIF(E205:AI205,"D4")*4/AK205+COUNTIF(E205:AI205,"D5")*5/AK205+COUNTIF(E205:AI205,"D6")*6/AK205+COUNTIF(E205:AI205,"D7")*7/AK205+COUNTIF(E205:AI205,"D8")*8/AK205+COUNTIF(E205:AI205,"D9")*9/AK205+COUNTIF(E205:AI205,"D10")*10/AK205+COUNTIF(E205:AI205,"D11")*11/AK205+COUNTIF(E205:AI205,"D12")*12/AK205</f>
        <v>0</v>
      </c>
      <c r="AN205" s="62">
        <f t="shared" si="163"/>
        <v>17</v>
      </c>
      <c r="AO205" s="62">
        <f t="shared" si="164"/>
        <v>0</v>
      </c>
      <c r="AP205" s="62">
        <f t="shared" si="165"/>
        <v>0</v>
      </c>
      <c r="AQ205" s="63">
        <f t="shared" si="166"/>
        <v>0</v>
      </c>
      <c r="AR205" s="62">
        <f t="shared" si="167"/>
        <v>0</v>
      </c>
      <c r="AS205" s="62">
        <f t="shared" si="168"/>
        <v>0</v>
      </c>
      <c r="AT205" s="64">
        <v>16</v>
      </c>
      <c r="AU205" s="64"/>
      <c r="AV205" s="65">
        <f t="shared" si="169"/>
        <v>0</v>
      </c>
      <c r="AW205" s="65">
        <f t="shared" si="170"/>
        <v>0</v>
      </c>
      <c r="AX205" s="64"/>
      <c r="AY205" s="64"/>
      <c r="AZ205" s="80"/>
      <c r="BA205" s="66">
        <f t="shared" si="127"/>
        <v>17</v>
      </c>
      <c r="BB205" s="67"/>
      <c r="BC205" s="68"/>
      <c r="BD205" s="69">
        <f>VLOOKUP($B205,[1]CN!$B$9:$DK$221,114,0)</f>
        <v>3</v>
      </c>
      <c r="BE205" s="70">
        <f t="shared" si="171"/>
        <v>27</v>
      </c>
      <c r="BF205" s="71" t="s">
        <v>389</v>
      </c>
      <c r="BG205" s="72" t="s">
        <v>34</v>
      </c>
      <c r="BH205" s="73" t="str">
        <f>VLOOKUP(B205,'[2]Bang luong_06'!$B$9:$C$333,2,0)</f>
        <v>Nguyễn Thị Thuyền</v>
      </c>
      <c r="BI205" s="74"/>
      <c r="BJ205" s="75" t="str">
        <f>VLOOKUP($B205,'[2]Bang luong_06'!$B$10:$C$333,2,0)</f>
        <v>Nguyễn Thị Thuyền</v>
      </c>
      <c r="BK205" s="76" t="b">
        <f t="shared" si="172"/>
        <v>1</v>
      </c>
      <c r="BM205" s="77" t="e">
        <f>+VLOOKUP(B205,'[2]Thưởng Lễ 2-9'!B75:G365,6,0)</f>
        <v>#N/A</v>
      </c>
      <c r="BN205" s="75">
        <f t="shared" si="173"/>
        <v>-18</v>
      </c>
      <c r="BO205" s="76" t="str">
        <f>+VLOOKUP(B205,'[2]Bang luong_06'!B85:D396,3,0)</f>
        <v>CN Đóng gói</v>
      </c>
      <c r="BP205" s="76" t="s">
        <v>40</v>
      </c>
      <c r="BQ205" s="76">
        <v>0</v>
      </c>
      <c r="BR205" s="76">
        <f t="shared" si="147"/>
        <v>17</v>
      </c>
    </row>
    <row r="206" spans="1:70" s="76" customFormat="1" ht="31.5" customHeight="1" x14ac:dyDescent="0.25">
      <c r="A206" s="33">
        <f t="shared" si="133"/>
        <v>183</v>
      </c>
      <c r="B206" s="105" t="s">
        <v>448</v>
      </c>
      <c r="C206" s="106" t="s">
        <v>449</v>
      </c>
      <c r="D206" s="107">
        <v>46083</v>
      </c>
      <c r="E206" s="91" t="s">
        <v>38</v>
      </c>
      <c r="F206" s="91" t="s">
        <v>38</v>
      </c>
      <c r="G206" s="57" t="s">
        <v>38</v>
      </c>
      <c r="H206" s="100" t="s">
        <v>38</v>
      </c>
      <c r="I206" s="91" t="s">
        <v>38</v>
      </c>
      <c r="J206" s="91">
        <v>9</v>
      </c>
      <c r="K206" s="91" t="s">
        <v>38</v>
      </c>
      <c r="L206" s="100" t="s">
        <v>38</v>
      </c>
      <c r="M206" s="91" t="s">
        <v>38</v>
      </c>
      <c r="N206" s="91" t="s">
        <v>38</v>
      </c>
      <c r="O206" s="91" t="s">
        <v>38</v>
      </c>
      <c r="P206" s="100" t="s">
        <v>38</v>
      </c>
      <c r="Q206" s="100">
        <v>9</v>
      </c>
      <c r="R206" s="91" t="s">
        <v>38</v>
      </c>
      <c r="S206" s="91" t="s">
        <v>38</v>
      </c>
      <c r="T206" s="57" t="s">
        <v>38</v>
      </c>
      <c r="U206" s="57" t="s">
        <v>38</v>
      </c>
      <c r="V206" s="57" t="s">
        <v>38</v>
      </c>
      <c r="W206" s="91" t="s">
        <v>38</v>
      </c>
      <c r="X206" s="91"/>
      <c r="Y206" s="91"/>
      <c r="Z206" s="91"/>
      <c r="AA206" s="57"/>
      <c r="AB206" s="57"/>
      <c r="AC206" s="57"/>
      <c r="AD206" s="91"/>
      <c r="AE206" s="91"/>
      <c r="AF206" s="91"/>
      <c r="AG206" s="91"/>
      <c r="AH206" s="57"/>
      <c r="AI206" s="85"/>
      <c r="AJ206" s="58">
        <v>10110507</v>
      </c>
      <c r="AK206" s="59">
        <v>12</v>
      </c>
      <c r="AL206" s="60">
        <f>COUNTIF(D206:AI206,"N")+COUNTIF(D206:AI206,"N1")*1/AK206+COUNTIF(D206:AI206,"N2")*2/AK206+COUNTIF(D206:AI206,"N3")*3/AK206+COUNTIF(D206:AI206,"N4")*4/AK206+COUNTIF(D206:AI206,"N5")*5/AK206+COUNTIF(D206:AI206,"N6")*6/AK206+COUNTIF(D206:AI206,"N7")*7/AK206+COUNTIF(D206:AI206,"N8")*8/AK206+COUNTIF(D206:AI206,"N9")*9/AK206+COUNTIF(D206:AI206,"N10")*10/AK206+COUNTIF(D206:AI206,"N11")*11/AK206+COUNTIF(D206:AI206,"N12")*12/AK206+COUNTIF(D206:AI206,"Ro1")*1/AK206+COUNTIF(D206:AI206,"Ro2")*2/AK206+COUNTIF(D206:AI206,"Ro3")*3/AK206+COUNTIF(D206:AI206,"Ro3.0")*3/AK206+COUNTIF(D206:AI206,"Ro4")*4/AK206+COUNTIF(D206:AI206,"Ro4.0")*4/AK206+COUNTIF(D206:AI206,"Ro4.5")*4.5/AK206+COUNTIF(D206:AI206,"Ro5")*5/AK206+COUNTIF(D206:AI206,"Ro5.0")*5/AK206+COUNTIF(D206:AI206,"Ro5.5")*5.5/AK206+COUNTIF(D206:AI206,"Ro6")*6/AK206+COUNTIF(D206:AI206,"Ro7")*7/AK206+COUNTIF(D206:AI206,"Ro8")*8/AK206+COUNTIF(D206:AI206,"Ro8.0")*8/AK206+COUNTIF(D206:AI206,"Ro8.3")*8.3/AK206+COUNTIF(D206:AI206,"Ro8.5")*8.5/AK206+COUNTIF(D206:AI206,"Ro9")*9/AK206+COUNTIF(D206:AI206,"Ro9.5")*9.5/AK206+COUNTIF(D206:AI206,"Ro10")*10/AK206+COUNTIF(D206:AI206,"Ro10.0")*10/AK206+COUNTIF(D206:AI206,"Ro10.5")*10.5/AK206+COUNTIF(D206:AI206,"Ro11")*11/AK206+COUNTIF(D206:AI206,"Ro11.0")*11/AK206+COUNTIF(D206:AI206,"Ro11.5")*11.5/AK206+COUNTIF(D206:AI206,"Bu1")+COUNTIF(D206:AI206,"Bu2")+COUNTIF(D206:AI206,"Bu3")+COUNTIF(D206:AI206,"Bu4")+COUNTIF(D206:AI206,"Bu5")+COUNTIF(D206:AI206,"Bu6")+COUNTIF(D206:AI206,"Bu7")+COUNTIF(D206:AI206,"Bu8")+COUNTIF(D206:AI206,"Bu9")+COUNTIF(D206:AI206,"Bu10")+COUNTIF(D206:AI206,"Bu11")+COUNTIF(D206:AI206,"Bu")+COUNTIF(D206:AI206,"P2")*0.5</f>
        <v>17</v>
      </c>
      <c r="AM206" s="61">
        <f>COUNTIF(E206:AI206,"D")+COUNTIF(E206:AI206,"D1")*1/AK206+COUNTIF(E206:AI206,"D2")*2/AK206+COUNTIF(E206:AI206,"D3")*3/AK206+COUNTIF(E206:AI206,"D4")*4/AK206+COUNTIF(E206:AI206,"D5")*5/AK206+COUNTIF(E206:AI206,"D6")*6/AK206+COUNTIF(E206:AI206,"D7")*7/AK206+COUNTIF(E206:AI206,"D8")*8/AK206+COUNTIF(E206:AI206,"D9")*9/AK206+COUNTIF(E206:AI206,"D10")*10/AK206+COUNTIF(E206:AI206,"D11")*11/AK206+COUNTIF(E206:AI206,"D12")*12/AK206</f>
        <v>0</v>
      </c>
      <c r="AN206" s="62">
        <f t="shared" si="163"/>
        <v>17</v>
      </c>
      <c r="AO206" s="62">
        <f t="shared" si="164"/>
        <v>0</v>
      </c>
      <c r="AP206" s="62">
        <f t="shared" si="165"/>
        <v>0</v>
      </c>
      <c r="AQ206" s="63">
        <f t="shared" si="166"/>
        <v>0</v>
      </c>
      <c r="AR206" s="62">
        <f t="shared" si="167"/>
        <v>0</v>
      </c>
      <c r="AS206" s="62">
        <f t="shared" si="168"/>
        <v>0</v>
      </c>
      <c r="AT206" s="64">
        <v>16</v>
      </c>
      <c r="AU206" s="64"/>
      <c r="AV206" s="65">
        <f t="shared" si="169"/>
        <v>0</v>
      </c>
      <c r="AW206" s="65">
        <f t="shared" si="170"/>
        <v>0</v>
      </c>
      <c r="AX206" s="64"/>
      <c r="AY206" s="64"/>
      <c r="AZ206" s="80"/>
      <c r="BA206" s="66">
        <f t="shared" si="127"/>
        <v>17</v>
      </c>
      <c r="BB206" s="67"/>
      <c r="BC206" s="68"/>
      <c r="BD206" s="69">
        <f>VLOOKUP($B206,[1]CN!$B$9:$DK$221,114,0)</f>
        <v>2</v>
      </c>
      <c r="BE206" s="70">
        <f t="shared" si="171"/>
        <v>27</v>
      </c>
      <c r="BF206" s="71" t="s">
        <v>389</v>
      </c>
      <c r="BG206" s="72" t="s">
        <v>34</v>
      </c>
      <c r="BH206" s="73" t="str">
        <f>VLOOKUP(B206,'[2]Bang luong_06'!$B$9:$C$333,2,0)</f>
        <v>Nguyễn Văn Hoàng Giang</v>
      </c>
      <c r="BI206" s="74"/>
      <c r="BJ206" s="75" t="str">
        <f>VLOOKUP($B206,'[2]Bang luong_06'!$B$10:$C$333,2,0)</f>
        <v>Nguyễn Văn Hoàng Giang</v>
      </c>
      <c r="BK206" s="76" t="b">
        <f t="shared" si="172"/>
        <v>1</v>
      </c>
      <c r="BM206" s="77" t="e">
        <f>+VLOOKUP(B206,'[2]Thưởng Lễ 2-9'!B76:G366,6,0)</f>
        <v>#N/A</v>
      </c>
      <c r="BN206" s="75">
        <f t="shared" si="173"/>
        <v>-18</v>
      </c>
      <c r="BO206" s="76" t="str">
        <f>+VLOOKUP(B206,'[2]Bang luong_06'!B87:D397,3,0)</f>
        <v>CN Đóng gói</v>
      </c>
      <c r="BP206" s="76" t="s">
        <v>40</v>
      </c>
      <c r="BQ206" s="76">
        <v>0</v>
      </c>
      <c r="BR206" s="76">
        <f t="shared" si="147"/>
        <v>17</v>
      </c>
    </row>
    <row r="207" spans="1:70" s="76" customFormat="1" ht="31.5" customHeight="1" x14ac:dyDescent="0.25">
      <c r="A207" s="33">
        <f t="shared" si="133"/>
        <v>184</v>
      </c>
      <c r="B207" s="105" t="s">
        <v>450</v>
      </c>
      <c r="C207" s="106" t="s">
        <v>451</v>
      </c>
      <c r="D207" s="107">
        <v>46087</v>
      </c>
      <c r="E207" s="86" t="s">
        <v>38</v>
      </c>
      <c r="F207" s="57" t="s">
        <v>38</v>
      </c>
      <c r="G207" s="57" t="s">
        <v>38</v>
      </c>
      <c r="H207" s="100" t="s">
        <v>38</v>
      </c>
      <c r="I207" s="91" t="s">
        <v>38</v>
      </c>
      <c r="J207" s="91"/>
      <c r="K207" s="91" t="s">
        <v>38</v>
      </c>
      <c r="L207" s="100" t="s">
        <v>38</v>
      </c>
      <c r="M207" s="100" t="s">
        <v>38</v>
      </c>
      <c r="N207" s="100" t="s">
        <v>38</v>
      </c>
      <c r="O207" s="100" t="s">
        <v>60</v>
      </c>
      <c r="P207" s="100" t="s">
        <v>107</v>
      </c>
      <c r="Q207" s="100">
        <v>9</v>
      </c>
      <c r="R207" s="91" t="s">
        <v>107</v>
      </c>
      <c r="S207" s="91" t="s">
        <v>107</v>
      </c>
      <c r="T207" s="57" t="s">
        <v>38</v>
      </c>
      <c r="U207" s="57" t="s">
        <v>38</v>
      </c>
      <c r="V207" s="57" t="s">
        <v>38</v>
      </c>
      <c r="W207" s="100" t="s">
        <v>38</v>
      </c>
      <c r="X207" s="91">
        <v>9</v>
      </c>
      <c r="Y207" s="91"/>
      <c r="Z207" s="91"/>
      <c r="AA207" s="57"/>
      <c r="AB207" s="57"/>
      <c r="AC207" s="57"/>
      <c r="AD207" s="91"/>
      <c r="AE207" s="91"/>
      <c r="AF207" s="91"/>
      <c r="AG207" s="91"/>
      <c r="AH207" s="91"/>
      <c r="AI207" s="85"/>
      <c r="AJ207" s="58">
        <v>10110507</v>
      </c>
      <c r="AK207" s="59">
        <v>12</v>
      </c>
      <c r="AL207" s="60">
        <f>COUNTIF(D207:AI207,"N")+COUNTIF(D207:AI207,"N1")*1/AK207+COUNTIF(D207:AI207,"N2")*2/AK207+COUNTIF(D207:AI207,"N3")*3/AK207+COUNTIF(D207:AI207,"N4")*4/AK207+COUNTIF(D207:AI207,"N5")*5/AK207+COUNTIF(D207:AI207,"N6")*6/AK207+COUNTIF(D207:AI207,"N7")*7/AK207+COUNTIF(D207:AI207,"N8")*8/AK207+COUNTIF(D207:AI207,"N9")*9/AK207+COUNTIF(D207:AI207,"N10")*10/AK207+COUNTIF(D207:AI207,"N11")*11/AK207+COUNTIF(D207:AI207,"N12")*12/AK207+COUNTIF(D207:AI207,"Ro1")*1/AK207+COUNTIF(D207:AI207,"Ro2")*2/AK207+COUNTIF(D207:AI207,"Ro3")*3/AK207+COUNTIF(D207:AI207,"Ro3.0")*3/AK207+COUNTIF(D207:AI207,"Ro4")*4/AK207+COUNTIF(D207:AI207,"Ro4.0")*4/AK207+COUNTIF(D207:AI207,"Ro4.5")*4.5/AK207+COUNTIF(D207:AI207,"Ro5")*5/AK207+COUNTIF(D207:AI207,"Ro5.0")*5/AK207+COUNTIF(D207:AI207,"Ro5.5")*5.5/AK207+COUNTIF(D207:AI207,"Ro6")*6/AK207+COUNTIF(D207:AI207,"Ro7")*7/AK207+COUNTIF(D207:AI207,"Ro8")*8/AK207+COUNTIF(D207:AI207,"Ro8.0")*8/AK207+COUNTIF(D207:AI207,"Ro8.3")*8.3/AK207+COUNTIF(D207:AI207,"Ro8.5")*8.5/AK207+COUNTIF(D207:AI207,"Ro9")*9/AK207+COUNTIF(D207:AI207,"Ro9.5")*9.5/AK207+COUNTIF(D207:AI207,"Ro10")*10/AK207+COUNTIF(D207:AI207,"Ro10.0")*10/AK207+COUNTIF(D207:AI207,"Ro10.5")*10.5/AK207+COUNTIF(D207:AI207,"Ro11")*11/AK207+COUNTIF(D207:AI207,"Ro11.0")*11/AK207+COUNTIF(D207:AI207,"Ro11.5")*11.5/AK207+COUNTIF(D207:AI207,"Bu1")+COUNTIF(D207:AI207,"Bu2")+COUNTIF(D207:AI207,"Bu3")+COUNTIF(D207:AI207,"Bu4")+COUNTIF(D207:AI207,"Bu5")+COUNTIF(D207:AI207,"Bu6")+COUNTIF(D207:AI207,"Bu7")+COUNTIF(D207:AI207,"Bu8")+COUNTIF(D207:AI207,"Bu9")+COUNTIF(D207:AI207,"Bu10")+COUNTIF(D207:AI207,"Bu11")+COUNTIF(D207:AI207,"Bu")+COUNTIF(D207:AI207,"P2")*0.5</f>
        <v>13.833333333333334</v>
      </c>
      <c r="AM207" s="61">
        <f>COUNTIF(E207:AI207,"D")+COUNTIF(E207:AI207,"D1")*1/AK207+COUNTIF(E207:AI207,"D2")*2/AK207+COUNTIF(E207:AI207,"D3")*3/AK207+COUNTIF(E207:AI207,"D4")*4/AK207+COUNTIF(E207:AI207,"D5")*5/AK207+COUNTIF(E207:AI207,"D6")*6/AK207+COUNTIF(E207:AI207,"D7")*7/AK207+COUNTIF(E207:AI207,"D8")*8/AK207+COUNTIF(E207:AI207,"D9")*9/AK207+COUNTIF(E207:AI207,"D10")*10/AK207+COUNTIF(E207:AI207,"D11")*11/AK207+COUNTIF(E207:AI207,"D12")*12/AK207</f>
        <v>0</v>
      </c>
      <c r="AN207" s="62">
        <f t="shared" si="163"/>
        <v>13.833333333333334</v>
      </c>
      <c r="AO207" s="62">
        <f t="shared" si="164"/>
        <v>3</v>
      </c>
      <c r="AP207" s="62">
        <f t="shared" si="165"/>
        <v>0</v>
      </c>
      <c r="AQ207" s="63">
        <f t="shared" si="166"/>
        <v>0.16666666666666666</v>
      </c>
      <c r="AR207" s="62">
        <f t="shared" si="167"/>
        <v>0</v>
      </c>
      <c r="AS207" s="62">
        <f t="shared" si="168"/>
        <v>0</v>
      </c>
      <c r="AT207" s="64">
        <v>12</v>
      </c>
      <c r="AU207" s="64"/>
      <c r="AV207" s="65">
        <f t="shared" si="169"/>
        <v>0</v>
      </c>
      <c r="AW207" s="65">
        <f t="shared" si="170"/>
        <v>0</v>
      </c>
      <c r="AX207" s="64"/>
      <c r="AY207" s="64"/>
      <c r="AZ207" s="80"/>
      <c r="BA207" s="66">
        <f t="shared" si="127"/>
        <v>16.833333333333336</v>
      </c>
      <c r="BB207" s="67"/>
      <c r="BC207" s="68"/>
      <c r="BD207" s="69">
        <f>VLOOKUP($B207,[1]CN!$B$9:$DK$221,114,0)</f>
        <v>2</v>
      </c>
      <c r="BE207" s="70">
        <f t="shared" si="171"/>
        <v>27</v>
      </c>
      <c r="BF207" s="71" t="s">
        <v>389</v>
      </c>
      <c r="BG207" s="72" t="s">
        <v>34</v>
      </c>
      <c r="BH207" s="73" t="str">
        <f>VLOOKUP(B207,'[2]Bang luong_06'!$B$9:$C$333,2,0)</f>
        <v>Thạch Minh Thương</v>
      </c>
      <c r="BI207" s="74"/>
      <c r="BJ207" s="75" t="str">
        <f>VLOOKUP($B207,'[2]Bang luong_06'!$B$10:$C$333,2,0)</f>
        <v>Thạch Minh Thương</v>
      </c>
      <c r="BK207" s="76" t="b">
        <f t="shared" si="172"/>
        <v>1</v>
      </c>
      <c r="BM207" s="77" t="e">
        <f>+VLOOKUP(B207,'[2]Thưởng Lễ 2-9'!B76:G366,6,0)</f>
        <v>#N/A</v>
      </c>
      <c r="BN207" s="75">
        <f t="shared" si="173"/>
        <v>-18</v>
      </c>
      <c r="BO207" s="76" t="str">
        <f>+VLOOKUP(B207,'[2]Bang luong_06'!B87:D397,3,0)</f>
        <v>CN Đóng gói</v>
      </c>
      <c r="BP207" s="76" t="s">
        <v>40</v>
      </c>
      <c r="BQ207" s="76">
        <v>0</v>
      </c>
      <c r="BR207" s="76">
        <f t="shared" si="147"/>
        <v>13.833333333333334</v>
      </c>
    </row>
    <row r="208" spans="1:70" s="76" customFormat="1" ht="31.5" customHeight="1" x14ac:dyDescent="0.25">
      <c r="A208" s="33">
        <f t="shared" si="133"/>
        <v>185</v>
      </c>
      <c r="B208" s="105" t="s">
        <v>452</v>
      </c>
      <c r="C208" s="106" t="s">
        <v>453</v>
      </c>
      <c r="D208" s="107">
        <v>46093</v>
      </c>
      <c r="E208" s="86" t="s">
        <v>38</v>
      </c>
      <c r="F208" s="57" t="s">
        <v>38</v>
      </c>
      <c r="G208" s="57" t="s">
        <v>38</v>
      </c>
      <c r="H208" s="100" t="s">
        <v>38</v>
      </c>
      <c r="I208" s="91" t="s">
        <v>38</v>
      </c>
      <c r="J208" s="91"/>
      <c r="K208" s="91" t="s">
        <v>38</v>
      </c>
      <c r="L208" s="100" t="s">
        <v>38</v>
      </c>
      <c r="M208" s="100" t="s">
        <v>38</v>
      </c>
      <c r="N208" s="100" t="s">
        <v>38</v>
      </c>
      <c r="O208" s="100" t="s">
        <v>38</v>
      </c>
      <c r="P208" s="100" t="s">
        <v>107</v>
      </c>
      <c r="Q208" s="100"/>
      <c r="R208" s="91" t="s">
        <v>38</v>
      </c>
      <c r="S208" s="91" t="s">
        <v>38</v>
      </c>
      <c r="T208" s="57" t="s">
        <v>38</v>
      </c>
      <c r="U208" s="57" t="s">
        <v>38</v>
      </c>
      <c r="V208" s="57" t="s">
        <v>38</v>
      </c>
      <c r="W208" s="91" t="s">
        <v>38</v>
      </c>
      <c r="X208" s="91"/>
      <c r="Y208" s="91"/>
      <c r="Z208" s="91"/>
      <c r="AA208" s="91"/>
      <c r="AB208" s="57"/>
      <c r="AC208" s="57"/>
      <c r="AD208" s="91"/>
      <c r="AE208" s="91"/>
      <c r="AF208" s="91"/>
      <c r="AG208" s="91"/>
      <c r="AH208" s="91"/>
      <c r="AI208" s="85"/>
      <c r="AJ208" s="58">
        <v>10110507</v>
      </c>
      <c r="AK208" s="59">
        <v>12</v>
      </c>
      <c r="AL208" s="60">
        <f t="shared" ref="AL208:AL214" si="174">COUNTIF(D208:AI208,"N")+COUNTIF(D208:AI208,"N1")*1/AK208+COUNTIF(D208:AI208,"N2")*2/AK208+COUNTIF(D208:AI208,"N3")*3/AK208+COUNTIF(D208:AI208,"N4")*4/AK208+COUNTIF(D208:AI208,"N5")*5/AK208+COUNTIF(D208:AI208,"N6")*6/AK208+COUNTIF(D208:AI208,"N7")*7/AK208+COUNTIF(D208:AI208,"N8")*8/AK208+COUNTIF(D208:AI208,"N9")*9/AK208+COUNTIF(D208:AI208,"N10")*10/AK208+COUNTIF(D208:AI208,"N11")*11/AK208+COUNTIF(D208:AI208,"N12")*12/AK208+COUNTIF(D208:AI208,"Ro1")*1/AK208+COUNTIF(D208:AI208,"Ro2")*2/AK208+COUNTIF(D208:AI208,"Ro3")*3/AK208+COUNTIF(D208:AI208,"Ro3.0")*3/AK208+COUNTIF(D208:AI208,"Ro4")*4/AK208+COUNTIF(D208:AI208,"Ro4.0")*4/AK208+COUNTIF(D208:AI208,"Ro4.5")*4.5/AK208+COUNTIF(D208:AI208,"Ro5")*5/AK208+COUNTIF(D208:AI208,"Ro5.0")*5/AK208+COUNTIF(D208:AI208,"Ro5.5")*5.5/AK208+COUNTIF(D208:AI208,"Ro6")*6/AK208+COUNTIF(D208:AI208,"Ro7")*7/AK208+COUNTIF(D208:AI208,"Ro8")*8/AK208+COUNTIF(D208:AI208,"Ro8.0")*8/AK208+COUNTIF(D208:AI208,"Ro8.3")*8.3/AK208+COUNTIF(D208:AI208,"Ro8.5")*8.5/AK208+COUNTIF(D208:AI208,"Ro9")*9/AK208+COUNTIF(D208:AI208,"Ro9.5")*9.5/AK208+COUNTIF(D208:AI208,"Ro10")*10/AK208+COUNTIF(D208:AI208,"Ro10.0")*10/AK208+COUNTIF(D208:AI208,"Ro10.5")*10.5/AK208+COUNTIF(D208:AI208,"Ro11")*11/AK208+COUNTIF(D208:AI208,"Ro11.0")*11/AK208+COUNTIF(D208:AI208,"Ro11.5")*11.5/AK208+COUNTIF(D208:AI208,"Bu1")+COUNTIF(D208:AI208,"Bu2")+COUNTIF(D208:AI208,"Bu3")+COUNTIF(D208:AI208,"Bu4")+COUNTIF(D208:AI208,"Bu5")+COUNTIF(D208:AI208,"Bu6")+COUNTIF(D208:AI208,"Bu7")+COUNTIF(D208:AI208,"Bu8")+COUNTIF(D208:AI208,"Bu9")+COUNTIF(D208:AI208,"Bu10")+COUNTIF(D208:AI208,"Bu11")+COUNTIF(D208:AI208,"Bu")+COUNTIF(D208:AI208,"P2")*0.5</f>
        <v>16</v>
      </c>
      <c r="AM208" s="61">
        <f t="shared" ref="AM208:AM214" si="175">COUNTIF(E208:AI208,"D")+COUNTIF(E208:AI208,"D1")*1/AK208+COUNTIF(E208:AI208,"D2")*2/AK208+COUNTIF(E208:AI208,"D3")*3/AK208+COUNTIF(E208:AI208,"D4")*4/AK208+COUNTIF(E208:AI208,"D5")*5/AK208+COUNTIF(E208:AI208,"D6")*6/AK208+COUNTIF(E208:AI208,"D7")*7/AK208+COUNTIF(E208:AI208,"D8")*8/AK208+COUNTIF(E208:AI208,"D9")*9/AK208+COUNTIF(E208:AI208,"D10")*10/AK208+COUNTIF(E208:AI208,"D11")*11/AK208+COUNTIF(E208:AI208,"D12")*12/AK208</f>
        <v>0</v>
      </c>
      <c r="AN208" s="62">
        <f t="shared" si="163"/>
        <v>16</v>
      </c>
      <c r="AO208" s="62">
        <f t="shared" si="164"/>
        <v>1</v>
      </c>
      <c r="AP208" s="62">
        <f t="shared" si="165"/>
        <v>0</v>
      </c>
      <c r="AQ208" s="63">
        <f t="shared" si="166"/>
        <v>0</v>
      </c>
      <c r="AR208" s="62">
        <f t="shared" si="167"/>
        <v>0</v>
      </c>
      <c r="AS208" s="62">
        <f t="shared" si="168"/>
        <v>0</v>
      </c>
      <c r="AT208" s="64">
        <v>8</v>
      </c>
      <c r="AU208" s="64"/>
      <c r="AV208" s="65">
        <f t="shared" si="169"/>
        <v>0</v>
      </c>
      <c r="AW208" s="65">
        <f t="shared" si="170"/>
        <v>0</v>
      </c>
      <c r="AX208" s="64"/>
      <c r="AY208" s="64"/>
      <c r="AZ208" s="80"/>
      <c r="BA208" s="66">
        <f t="shared" si="127"/>
        <v>17</v>
      </c>
      <c r="BB208" s="67"/>
      <c r="BC208" s="68"/>
      <c r="BD208" s="69">
        <f>VLOOKUP($B208,[1]CN!$B$9:$DK$221,114,0)</f>
        <v>2</v>
      </c>
      <c r="BE208" s="70">
        <f t="shared" si="171"/>
        <v>27</v>
      </c>
      <c r="BF208" s="71" t="s">
        <v>389</v>
      </c>
      <c r="BG208" s="72" t="s">
        <v>34</v>
      </c>
      <c r="BH208" s="73" t="str">
        <f>VLOOKUP(B208,'[2]Bang luong_06'!$B$9:$C$333,2,0)</f>
        <v>Nguyễn Thành Danh</v>
      </c>
      <c r="BI208" s="74"/>
      <c r="BJ208" s="75" t="str">
        <f>VLOOKUP($B208,'[2]Bang luong_06'!$B$10:$C$333,2,0)</f>
        <v>Nguyễn Thành Danh</v>
      </c>
      <c r="BK208" s="76" t="b">
        <f t="shared" si="172"/>
        <v>1</v>
      </c>
      <c r="BM208" s="77" t="e">
        <f>+VLOOKUP(B208,'[2]Thưởng Lễ 2-9'!B73:G363,6,0)</f>
        <v>#N/A</v>
      </c>
      <c r="BN208" s="75">
        <f t="shared" si="173"/>
        <v>-19</v>
      </c>
      <c r="BO208" s="76" t="str">
        <f>+VLOOKUP(B208,'[2]Bang luong_06'!B84:D394,3,0)</f>
        <v>CN Đóng gói</v>
      </c>
      <c r="BP208" s="76" t="s">
        <v>40</v>
      </c>
      <c r="BQ208" s="76">
        <v>0</v>
      </c>
      <c r="BR208" s="76">
        <f t="shared" si="147"/>
        <v>16</v>
      </c>
    </row>
    <row r="209" spans="1:70" s="76" customFormat="1" ht="31.5" customHeight="1" x14ac:dyDescent="0.25">
      <c r="A209" s="33">
        <f t="shared" si="133"/>
        <v>186</v>
      </c>
      <c r="B209" s="105" t="s">
        <v>454</v>
      </c>
      <c r="C209" s="106" t="s">
        <v>455</v>
      </c>
      <c r="D209" s="107">
        <v>46129</v>
      </c>
      <c r="E209" s="91" t="s">
        <v>38</v>
      </c>
      <c r="F209" s="91" t="s">
        <v>38</v>
      </c>
      <c r="G209" s="57" t="s">
        <v>38</v>
      </c>
      <c r="H209" s="100" t="s">
        <v>38</v>
      </c>
      <c r="I209" s="100" t="s">
        <v>38</v>
      </c>
      <c r="J209" s="91" t="s">
        <v>506</v>
      </c>
      <c r="K209" s="91" t="s">
        <v>37</v>
      </c>
      <c r="L209" s="100" t="s">
        <v>37</v>
      </c>
      <c r="M209" s="100" t="s">
        <v>37</v>
      </c>
      <c r="N209" s="100" t="s">
        <v>37</v>
      </c>
      <c r="O209" s="100" t="s">
        <v>37</v>
      </c>
      <c r="P209" s="100" t="s">
        <v>37</v>
      </c>
      <c r="Q209" s="100" t="s">
        <v>507</v>
      </c>
      <c r="R209" s="91" t="s">
        <v>37</v>
      </c>
      <c r="S209" s="91" t="s">
        <v>37</v>
      </c>
      <c r="T209" s="57" t="s">
        <v>37</v>
      </c>
      <c r="U209" s="57" t="s">
        <v>37</v>
      </c>
      <c r="V209" s="57" t="s">
        <v>37</v>
      </c>
      <c r="W209" s="91" t="s">
        <v>37</v>
      </c>
      <c r="X209" s="91"/>
      <c r="Y209" s="91" t="s">
        <v>38</v>
      </c>
      <c r="Z209" s="57"/>
      <c r="AA209" s="91"/>
      <c r="AB209" s="91"/>
      <c r="AC209" s="91"/>
      <c r="AD209" s="91"/>
      <c r="AE209" s="91"/>
      <c r="AF209" s="91"/>
      <c r="AG209" s="91"/>
      <c r="AH209" s="91"/>
      <c r="AI209" s="85"/>
      <c r="AJ209" s="58">
        <v>10110507</v>
      </c>
      <c r="AK209" s="59">
        <v>12</v>
      </c>
      <c r="AL209" s="60">
        <f t="shared" si="174"/>
        <v>6</v>
      </c>
      <c r="AM209" s="61">
        <f t="shared" si="175"/>
        <v>12</v>
      </c>
      <c r="AN209" s="62">
        <f t="shared" si="163"/>
        <v>18</v>
      </c>
      <c r="AO209" s="62">
        <f t="shared" si="164"/>
        <v>0</v>
      </c>
      <c r="AP209" s="62">
        <f t="shared" si="165"/>
        <v>0</v>
      </c>
      <c r="AQ209" s="63">
        <f t="shared" si="166"/>
        <v>0</v>
      </c>
      <c r="AR209" s="62">
        <f t="shared" si="167"/>
        <v>0</v>
      </c>
      <c r="AS209" s="62">
        <f t="shared" si="168"/>
        <v>0</v>
      </c>
      <c r="AT209" s="64">
        <v>8</v>
      </c>
      <c r="AU209" s="64"/>
      <c r="AV209" s="65">
        <f t="shared" si="169"/>
        <v>12</v>
      </c>
      <c r="AW209" s="65">
        <f t="shared" si="170"/>
        <v>12</v>
      </c>
      <c r="AX209" s="64"/>
      <c r="AY209" s="64"/>
      <c r="AZ209" s="80"/>
      <c r="BA209" s="66">
        <f t="shared" si="127"/>
        <v>18</v>
      </c>
      <c r="BB209" s="67"/>
      <c r="BC209" s="68"/>
      <c r="BD209" s="69">
        <f>VLOOKUP($B209,[1]CN!$B$9:$DK$221,114,0)</f>
        <v>0</v>
      </c>
      <c r="BE209" s="70">
        <f t="shared" si="171"/>
        <v>27</v>
      </c>
      <c r="BF209" s="71" t="s">
        <v>389</v>
      </c>
      <c r="BG209" s="72" t="s">
        <v>34</v>
      </c>
      <c r="BH209" s="73" t="str">
        <f>VLOOKUP(B209,'[2]Bang luong_06'!$B$9:$C$333,2,0)</f>
        <v>Võ Anh Kiệt</v>
      </c>
      <c r="BI209" s="74"/>
      <c r="BJ209" s="75" t="str">
        <f>VLOOKUP($B209,'[2]Bang luong_06'!$B$10:$C$333,2,0)</f>
        <v>Võ Anh Kiệt</v>
      </c>
      <c r="BK209" s="76" t="b">
        <f t="shared" si="172"/>
        <v>1</v>
      </c>
      <c r="BM209" s="77" t="e">
        <f>+VLOOKUP(B209,'[2]Thưởng Lễ 2-9'!B74:G364,6,0)</f>
        <v>#N/A</v>
      </c>
      <c r="BN209" s="75">
        <f t="shared" si="173"/>
        <v>-20</v>
      </c>
      <c r="BO209" s="76" t="str">
        <f>+VLOOKUP(B209,'[2]Bang luong_06'!B85:D395,3,0)</f>
        <v>CN Đóng gói</v>
      </c>
      <c r="BP209" s="76" t="s">
        <v>40</v>
      </c>
      <c r="BQ209" s="76">
        <v>0</v>
      </c>
      <c r="BR209" s="76">
        <f t="shared" si="147"/>
        <v>6</v>
      </c>
    </row>
    <row r="210" spans="1:70" s="76" customFormat="1" ht="31.5" customHeight="1" x14ac:dyDescent="0.25">
      <c r="A210" s="33">
        <f t="shared" si="133"/>
        <v>187</v>
      </c>
      <c r="B210" s="105" t="s">
        <v>456</v>
      </c>
      <c r="C210" s="106" t="s">
        <v>457</v>
      </c>
      <c r="D210" s="107">
        <v>46129</v>
      </c>
      <c r="E210" s="91" t="s">
        <v>38</v>
      </c>
      <c r="F210" s="91" t="s">
        <v>38</v>
      </c>
      <c r="G210" s="57" t="s">
        <v>38</v>
      </c>
      <c r="H210" s="100" t="s">
        <v>38</v>
      </c>
      <c r="I210" s="100" t="s">
        <v>38</v>
      </c>
      <c r="J210" s="91" t="s">
        <v>506</v>
      </c>
      <c r="K210" s="91" t="s">
        <v>37</v>
      </c>
      <c r="L210" s="100" t="s">
        <v>37</v>
      </c>
      <c r="M210" s="100" t="s">
        <v>37</v>
      </c>
      <c r="N210" s="100" t="s">
        <v>37</v>
      </c>
      <c r="O210" s="100" t="s">
        <v>37</v>
      </c>
      <c r="P210" s="100" t="s">
        <v>37</v>
      </c>
      <c r="Q210" s="100" t="s">
        <v>507</v>
      </c>
      <c r="R210" s="91" t="s">
        <v>37</v>
      </c>
      <c r="S210" s="91" t="s">
        <v>37</v>
      </c>
      <c r="T210" s="57" t="s">
        <v>37</v>
      </c>
      <c r="U210" s="57" t="s">
        <v>37</v>
      </c>
      <c r="V210" s="57" t="s">
        <v>37</v>
      </c>
      <c r="W210" s="91" t="s">
        <v>37</v>
      </c>
      <c r="X210" s="91"/>
      <c r="Y210" s="91" t="s">
        <v>38</v>
      </c>
      <c r="Z210" s="57"/>
      <c r="AA210" s="91"/>
      <c r="AB210" s="91"/>
      <c r="AC210" s="91"/>
      <c r="AD210" s="91"/>
      <c r="AE210" s="91"/>
      <c r="AF210" s="91"/>
      <c r="AG210" s="91"/>
      <c r="AH210" s="91"/>
      <c r="AI210" s="85"/>
      <c r="AJ210" s="58">
        <v>10110507</v>
      </c>
      <c r="AK210" s="59">
        <v>12</v>
      </c>
      <c r="AL210" s="60">
        <f t="shared" si="174"/>
        <v>6</v>
      </c>
      <c r="AM210" s="61">
        <f t="shared" si="175"/>
        <v>12</v>
      </c>
      <c r="AN210" s="62">
        <f t="shared" si="163"/>
        <v>18</v>
      </c>
      <c r="AO210" s="62">
        <f t="shared" si="164"/>
        <v>0</v>
      </c>
      <c r="AP210" s="62">
        <f t="shared" si="165"/>
        <v>0</v>
      </c>
      <c r="AQ210" s="63">
        <f t="shared" si="166"/>
        <v>0</v>
      </c>
      <c r="AR210" s="62">
        <f t="shared" si="167"/>
        <v>0</v>
      </c>
      <c r="AS210" s="62">
        <f t="shared" si="168"/>
        <v>0</v>
      </c>
      <c r="AT210" s="64">
        <v>8</v>
      </c>
      <c r="AU210" s="64"/>
      <c r="AV210" s="65">
        <f t="shared" si="169"/>
        <v>12</v>
      </c>
      <c r="AW210" s="65">
        <f t="shared" si="170"/>
        <v>12</v>
      </c>
      <c r="AX210" s="64"/>
      <c r="AY210" s="64"/>
      <c r="AZ210" s="80"/>
      <c r="BA210" s="66">
        <f t="shared" si="127"/>
        <v>18</v>
      </c>
      <c r="BB210" s="67"/>
      <c r="BC210" s="68"/>
      <c r="BD210" s="69">
        <f>VLOOKUP($B210,[1]CN!$B$9:$DK$221,114,0)</f>
        <v>0</v>
      </c>
      <c r="BE210" s="70">
        <f t="shared" si="171"/>
        <v>27</v>
      </c>
      <c r="BF210" s="71" t="s">
        <v>389</v>
      </c>
      <c r="BG210" s="72" t="s">
        <v>34</v>
      </c>
      <c r="BH210" s="73" t="str">
        <f>VLOOKUP(B210,'[2]Bang luong_06'!$B$9:$C$333,2,0)</f>
        <v>Trần Văn Khá</v>
      </c>
      <c r="BI210" s="74"/>
      <c r="BJ210" s="75" t="str">
        <f>VLOOKUP($B210,'[2]Bang luong_06'!$B$10:$C$333,2,0)</f>
        <v>Trần Văn Khá</v>
      </c>
      <c r="BK210" s="76" t="b">
        <f t="shared" si="172"/>
        <v>1</v>
      </c>
      <c r="BM210" s="77" t="e">
        <f>+VLOOKUP(B210,'[2]Thưởng Lễ 2-9'!B75:G365,6,0)</f>
        <v>#N/A</v>
      </c>
      <c r="BN210" s="75">
        <f t="shared" si="173"/>
        <v>-20</v>
      </c>
      <c r="BO210" s="76" t="str">
        <f>+VLOOKUP(B210,'[2]Bang luong_06'!B86:D396,3,0)</f>
        <v>CN Đóng gói</v>
      </c>
      <c r="BP210" s="76" t="s">
        <v>40</v>
      </c>
      <c r="BQ210" s="76">
        <v>0</v>
      </c>
      <c r="BR210" s="76">
        <f t="shared" si="147"/>
        <v>6</v>
      </c>
    </row>
    <row r="211" spans="1:70" s="76" customFormat="1" ht="31.5" customHeight="1" x14ac:dyDescent="0.25">
      <c r="A211" s="33">
        <f t="shared" ref="A211:A230" si="176">IF(B211="","",MAX(A209:A210)+1)</f>
        <v>188</v>
      </c>
      <c r="B211" s="105" t="s">
        <v>458</v>
      </c>
      <c r="C211" s="106" t="s">
        <v>459</v>
      </c>
      <c r="D211" s="107">
        <v>46132</v>
      </c>
      <c r="E211" s="91" t="s">
        <v>38</v>
      </c>
      <c r="F211" s="91" t="s">
        <v>38</v>
      </c>
      <c r="G211" s="57" t="s">
        <v>38</v>
      </c>
      <c r="H211" s="100" t="s">
        <v>38</v>
      </c>
      <c r="I211" s="100" t="s">
        <v>38</v>
      </c>
      <c r="J211" s="91">
        <v>9</v>
      </c>
      <c r="K211" s="91" t="s">
        <v>38</v>
      </c>
      <c r="L211" s="100" t="s">
        <v>38</v>
      </c>
      <c r="M211" s="91" t="s">
        <v>38</v>
      </c>
      <c r="N211" s="91" t="s">
        <v>38</v>
      </c>
      <c r="O211" s="91" t="s">
        <v>38</v>
      </c>
      <c r="P211" s="100" t="s">
        <v>38</v>
      </c>
      <c r="Q211" s="100">
        <v>9</v>
      </c>
      <c r="R211" s="91" t="s">
        <v>38</v>
      </c>
      <c r="S211" s="91" t="s">
        <v>38</v>
      </c>
      <c r="T211" s="57" t="s">
        <v>38</v>
      </c>
      <c r="U211" s="57" t="s">
        <v>38</v>
      </c>
      <c r="V211" s="57" t="s">
        <v>38</v>
      </c>
      <c r="W211" s="91" t="s">
        <v>38</v>
      </c>
      <c r="X211" s="91">
        <v>9</v>
      </c>
      <c r="Y211" s="91"/>
      <c r="Z211" s="57"/>
      <c r="AA211" s="57"/>
      <c r="AB211" s="57"/>
      <c r="AC211" s="57"/>
      <c r="AD211" s="91"/>
      <c r="AE211" s="91"/>
      <c r="AF211" s="91"/>
      <c r="AG211" s="91"/>
      <c r="AH211" s="57"/>
      <c r="AI211" s="85"/>
      <c r="AJ211" s="58">
        <v>10110507</v>
      </c>
      <c r="AK211" s="59">
        <v>12</v>
      </c>
      <c r="AL211" s="60">
        <f t="shared" si="174"/>
        <v>17</v>
      </c>
      <c r="AM211" s="61">
        <f t="shared" si="175"/>
        <v>0</v>
      </c>
      <c r="AN211" s="62">
        <f t="shared" si="163"/>
        <v>17</v>
      </c>
      <c r="AO211" s="62">
        <f t="shared" si="164"/>
        <v>0</v>
      </c>
      <c r="AP211" s="62">
        <f t="shared" si="165"/>
        <v>0</v>
      </c>
      <c r="AQ211" s="63">
        <f t="shared" si="166"/>
        <v>0</v>
      </c>
      <c r="AR211" s="62">
        <f t="shared" si="167"/>
        <v>0</v>
      </c>
      <c r="AS211" s="62">
        <f t="shared" si="168"/>
        <v>0</v>
      </c>
      <c r="AT211" s="64">
        <v>16</v>
      </c>
      <c r="AU211" s="64"/>
      <c r="AV211" s="65">
        <f t="shared" si="169"/>
        <v>0</v>
      </c>
      <c r="AW211" s="65">
        <f t="shared" si="170"/>
        <v>0</v>
      </c>
      <c r="AX211" s="64"/>
      <c r="AY211" s="64"/>
      <c r="AZ211" s="80"/>
      <c r="BA211" s="66">
        <f t="shared" si="127"/>
        <v>17</v>
      </c>
      <c r="BB211" s="67"/>
      <c r="BC211" s="68"/>
      <c r="BD211" s="69">
        <f>VLOOKUP($B211,[1]CN!$B$9:$DK$221,114,0)</f>
        <v>0</v>
      </c>
      <c r="BE211" s="70">
        <f t="shared" si="171"/>
        <v>27</v>
      </c>
      <c r="BF211" s="71" t="s">
        <v>389</v>
      </c>
      <c r="BG211" s="72" t="s">
        <v>34</v>
      </c>
      <c r="BH211" s="73" t="str">
        <f>VLOOKUP(B211,'[2]Bang luong_06'!$B$9:$C$333,2,0)</f>
        <v xml:space="preserve">Lương Văn Chung </v>
      </c>
      <c r="BI211" s="74"/>
      <c r="BJ211" s="75" t="str">
        <f>VLOOKUP($B211,'[2]Bang luong_06'!$B$10:$C$333,2,0)</f>
        <v xml:space="preserve">Lương Văn Chung </v>
      </c>
      <c r="BK211" s="76" t="b">
        <f t="shared" si="172"/>
        <v>1</v>
      </c>
      <c r="BM211" s="77" t="e">
        <f>+VLOOKUP(B211,'[2]Thưởng Lễ 2-9'!B76:G366,6,0)</f>
        <v>#N/A</v>
      </c>
      <c r="BN211" s="75">
        <f t="shared" si="173"/>
        <v>-20</v>
      </c>
      <c r="BO211" s="76" t="str">
        <f>+VLOOKUP(B211,'[2]Bang luong_06'!B87:D397,3,0)</f>
        <v>CN Đóng gói</v>
      </c>
      <c r="BP211" s="76" t="s">
        <v>40</v>
      </c>
      <c r="BQ211" s="76">
        <v>0</v>
      </c>
      <c r="BR211" s="76">
        <f t="shared" si="147"/>
        <v>17</v>
      </c>
    </row>
    <row r="212" spans="1:70" s="76" customFormat="1" ht="31.5" customHeight="1" x14ac:dyDescent="0.25">
      <c r="A212" s="33">
        <f t="shared" si="176"/>
        <v>189</v>
      </c>
      <c r="B212" s="105" t="s">
        <v>460</v>
      </c>
      <c r="C212" s="106" t="s">
        <v>461</v>
      </c>
      <c r="D212" s="107">
        <v>46130</v>
      </c>
      <c r="E212" s="91" t="s">
        <v>38</v>
      </c>
      <c r="F212" s="91" t="s">
        <v>38</v>
      </c>
      <c r="G212" s="57" t="s">
        <v>38</v>
      </c>
      <c r="H212" s="100" t="s">
        <v>38</v>
      </c>
      <c r="I212" s="100" t="s">
        <v>38</v>
      </c>
      <c r="J212" s="91">
        <v>9</v>
      </c>
      <c r="K212" s="91" t="s">
        <v>38</v>
      </c>
      <c r="L212" s="100" t="s">
        <v>38</v>
      </c>
      <c r="M212" s="91" t="s">
        <v>38</v>
      </c>
      <c r="N212" s="91" t="s">
        <v>38</v>
      </c>
      <c r="O212" s="91" t="s">
        <v>38</v>
      </c>
      <c r="P212" s="100" t="s">
        <v>38</v>
      </c>
      <c r="Q212" s="100">
        <v>9</v>
      </c>
      <c r="R212" s="91" t="s">
        <v>38</v>
      </c>
      <c r="S212" s="91" t="s">
        <v>38</v>
      </c>
      <c r="T212" s="57" t="s">
        <v>38</v>
      </c>
      <c r="U212" s="57" t="s">
        <v>38</v>
      </c>
      <c r="V212" s="57" t="s">
        <v>38</v>
      </c>
      <c r="W212" s="91" t="s">
        <v>38</v>
      </c>
      <c r="X212" s="91"/>
      <c r="Y212" s="91"/>
      <c r="Z212" s="57"/>
      <c r="AA212" s="57"/>
      <c r="AB212" s="57"/>
      <c r="AC212" s="57"/>
      <c r="AD212" s="91"/>
      <c r="AE212" s="91"/>
      <c r="AF212" s="91"/>
      <c r="AG212" s="91"/>
      <c r="AH212" s="57"/>
      <c r="AI212" s="85"/>
      <c r="AJ212" s="58">
        <v>10110507</v>
      </c>
      <c r="AK212" s="59">
        <v>12</v>
      </c>
      <c r="AL212" s="60">
        <f t="shared" si="174"/>
        <v>17</v>
      </c>
      <c r="AM212" s="61">
        <f t="shared" si="175"/>
        <v>0</v>
      </c>
      <c r="AN212" s="62">
        <f t="shared" si="163"/>
        <v>17</v>
      </c>
      <c r="AO212" s="62">
        <f t="shared" si="164"/>
        <v>0</v>
      </c>
      <c r="AP212" s="62">
        <f t="shared" si="165"/>
        <v>0</v>
      </c>
      <c r="AQ212" s="63">
        <f t="shared" si="166"/>
        <v>0</v>
      </c>
      <c r="AR212" s="62">
        <f t="shared" si="167"/>
        <v>0</v>
      </c>
      <c r="AS212" s="62">
        <f t="shared" si="168"/>
        <v>0</v>
      </c>
      <c r="AT212" s="64">
        <v>16</v>
      </c>
      <c r="AU212" s="64"/>
      <c r="AV212" s="65">
        <f t="shared" si="169"/>
        <v>0</v>
      </c>
      <c r="AW212" s="65">
        <f t="shared" si="170"/>
        <v>0</v>
      </c>
      <c r="AX212" s="64"/>
      <c r="AY212" s="64"/>
      <c r="AZ212" s="80"/>
      <c r="BA212" s="66">
        <f t="shared" si="127"/>
        <v>17</v>
      </c>
      <c r="BB212" s="67"/>
      <c r="BC212" s="68"/>
      <c r="BD212" s="69">
        <f>VLOOKUP($B212,[1]CN!$B$9:$DK$221,114,0)</f>
        <v>0</v>
      </c>
      <c r="BE212" s="70">
        <f t="shared" si="171"/>
        <v>27</v>
      </c>
      <c r="BF212" s="71" t="s">
        <v>389</v>
      </c>
      <c r="BG212" s="72" t="s">
        <v>34</v>
      </c>
      <c r="BH212" s="73" t="str">
        <f>VLOOKUP(B212,'[2]Bang luong_06'!$B$9:$C$333,2,0)</f>
        <v>Nguyễn Minh Kha</v>
      </c>
      <c r="BI212" s="74"/>
      <c r="BJ212" s="75" t="str">
        <f>VLOOKUP($B212,'[2]Bang luong_06'!$B$10:$C$333,2,0)</f>
        <v>Nguyễn Minh Kha</v>
      </c>
      <c r="BK212" s="76" t="b">
        <f t="shared" si="172"/>
        <v>1</v>
      </c>
      <c r="BM212" s="77" t="e">
        <f>+VLOOKUP(B212,'[2]Thưởng Lễ 2-9'!B74:G364,6,0)</f>
        <v>#N/A</v>
      </c>
      <c r="BN212" s="75">
        <f t="shared" si="173"/>
        <v>-20</v>
      </c>
      <c r="BO212" s="76" t="str">
        <f>+VLOOKUP(B212,'[2]Bang luong_06'!B85:D395,3,0)</f>
        <v>CN Đóng gói</v>
      </c>
      <c r="BP212" s="76" t="s">
        <v>40</v>
      </c>
      <c r="BQ212" s="76">
        <v>0</v>
      </c>
      <c r="BR212" s="76">
        <f t="shared" si="147"/>
        <v>17</v>
      </c>
    </row>
    <row r="213" spans="1:70" s="76" customFormat="1" ht="31.5" customHeight="1" x14ac:dyDescent="0.25">
      <c r="A213" s="33">
        <f t="shared" si="176"/>
        <v>190</v>
      </c>
      <c r="B213" s="105" t="s">
        <v>462</v>
      </c>
      <c r="C213" s="106" t="s">
        <v>463</v>
      </c>
      <c r="D213" s="107">
        <v>46148</v>
      </c>
      <c r="E213" s="91" t="s">
        <v>38</v>
      </c>
      <c r="F213" s="91" t="s">
        <v>38</v>
      </c>
      <c r="G213" s="91" t="s">
        <v>38</v>
      </c>
      <c r="H213" s="100" t="s">
        <v>38</v>
      </c>
      <c r="I213" s="100" t="s">
        <v>38</v>
      </c>
      <c r="J213" s="91"/>
      <c r="K213" s="91" t="s">
        <v>38</v>
      </c>
      <c r="L213" s="100" t="s">
        <v>38</v>
      </c>
      <c r="M213" s="91" t="s">
        <v>38</v>
      </c>
      <c r="N213" s="91" t="s">
        <v>38</v>
      </c>
      <c r="O213" s="91" t="s">
        <v>38</v>
      </c>
      <c r="P213" s="100" t="s">
        <v>38</v>
      </c>
      <c r="Q213" s="100">
        <v>9</v>
      </c>
      <c r="R213" s="91" t="s">
        <v>38</v>
      </c>
      <c r="S213" s="91" t="s">
        <v>38</v>
      </c>
      <c r="T213" s="57" t="s">
        <v>38</v>
      </c>
      <c r="U213" s="57" t="s">
        <v>38</v>
      </c>
      <c r="V213" s="100" t="s">
        <v>38</v>
      </c>
      <c r="W213" s="91" t="s">
        <v>38</v>
      </c>
      <c r="X213" s="91">
        <v>9</v>
      </c>
      <c r="Y213" s="91"/>
      <c r="Z213" s="57"/>
      <c r="AA213" s="57"/>
      <c r="AB213" s="57"/>
      <c r="AC213" s="57"/>
      <c r="AD213" s="91"/>
      <c r="AE213" s="91"/>
      <c r="AF213" s="91"/>
      <c r="AG213" s="91"/>
      <c r="AH213" s="57"/>
      <c r="AI213" s="85"/>
      <c r="AJ213" s="58">
        <v>10110507</v>
      </c>
      <c r="AK213" s="59">
        <v>12</v>
      </c>
      <c r="AL213" s="60">
        <f t="shared" si="174"/>
        <v>17</v>
      </c>
      <c r="AM213" s="61">
        <f t="shared" si="175"/>
        <v>0</v>
      </c>
      <c r="AN213" s="62">
        <f t="shared" si="163"/>
        <v>17</v>
      </c>
      <c r="AO213" s="62">
        <f t="shared" si="164"/>
        <v>0</v>
      </c>
      <c r="AP213" s="62">
        <f t="shared" si="165"/>
        <v>0</v>
      </c>
      <c r="AQ213" s="63">
        <f t="shared" si="166"/>
        <v>0</v>
      </c>
      <c r="AR213" s="62">
        <f t="shared" si="167"/>
        <v>0</v>
      </c>
      <c r="AS213" s="62">
        <f t="shared" si="168"/>
        <v>0</v>
      </c>
      <c r="AT213" s="64">
        <v>12</v>
      </c>
      <c r="AU213" s="64"/>
      <c r="AV213" s="65">
        <f t="shared" si="169"/>
        <v>0</v>
      </c>
      <c r="AW213" s="65">
        <f t="shared" si="170"/>
        <v>0</v>
      </c>
      <c r="AX213" s="64"/>
      <c r="AY213" s="64"/>
      <c r="AZ213" s="80"/>
      <c r="BA213" s="66">
        <f t="shared" si="127"/>
        <v>17</v>
      </c>
      <c r="BB213" s="67"/>
      <c r="BC213" s="68"/>
      <c r="BD213" s="69">
        <f>VLOOKUP($B213,[1]CN!$B$9:$DK$221,114,0)</f>
        <v>0</v>
      </c>
      <c r="BE213" s="70">
        <f t="shared" si="171"/>
        <v>27</v>
      </c>
      <c r="BF213" s="71" t="s">
        <v>389</v>
      </c>
      <c r="BG213" s="72" t="s">
        <v>34</v>
      </c>
      <c r="BH213" s="73" t="str">
        <f>VLOOKUP(B213,'[2]Bang luong_06'!$B$9:$C$333,2,0)</f>
        <v>Giang Gia Cam</v>
      </c>
      <c r="BI213" s="74"/>
      <c r="BJ213" s="75" t="str">
        <f>VLOOKUP($B213,'[2]Bang luong_06'!$B$10:$C$333,2,0)</f>
        <v>Giang Gia Cam</v>
      </c>
      <c r="BK213" s="76" t="b">
        <f t="shared" si="172"/>
        <v>1</v>
      </c>
      <c r="BM213" s="77" t="e">
        <f>+VLOOKUP(B213,'[2]Thưởng Lễ 2-9'!B75:G365,6,0)</f>
        <v>#N/A</v>
      </c>
      <c r="BN213" s="75">
        <f t="shared" si="173"/>
        <v>-20</v>
      </c>
      <c r="BO213" s="76" t="str">
        <f>+VLOOKUP(B213,'[2]Bang luong_06'!B86:D396,3,0)</f>
        <v>CN Đóng gói</v>
      </c>
      <c r="BP213" s="76" t="s">
        <v>40</v>
      </c>
      <c r="BQ213" s="76">
        <v>0</v>
      </c>
      <c r="BR213" s="76">
        <f t="shared" si="147"/>
        <v>17</v>
      </c>
    </row>
    <row r="214" spans="1:70" s="76" customFormat="1" ht="31.5" customHeight="1" x14ac:dyDescent="0.25">
      <c r="A214" s="33">
        <f t="shared" si="176"/>
        <v>191</v>
      </c>
      <c r="B214" s="105" t="s">
        <v>464</v>
      </c>
      <c r="C214" s="106" t="s">
        <v>465</v>
      </c>
      <c r="D214" s="107">
        <v>46154</v>
      </c>
      <c r="E214" s="91" t="s">
        <v>37</v>
      </c>
      <c r="F214" s="91" t="s">
        <v>37</v>
      </c>
      <c r="G214" s="91" t="s">
        <v>37</v>
      </c>
      <c r="H214" s="100" t="s">
        <v>37</v>
      </c>
      <c r="I214" s="100" t="s">
        <v>37</v>
      </c>
      <c r="J214" s="91"/>
      <c r="K214" s="91" t="s">
        <v>38</v>
      </c>
      <c r="L214" s="100" t="s">
        <v>38</v>
      </c>
      <c r="M214" s="100" t="s">
        <v>38</v>
      </c>
      <c r="N214" s="100" t="s">
        <v>38</v>
      </c>
      <c r="O214" s="100" t="s">
        <v>38</v>
      </c>
      <c r="P214" s="100" t="s">
        <v>38</v>
      </c>
      <c r="Q214" s="100"/>
      <c r="R214" s="91" t="s">
        <v>38</v>
      </c>
      <c r="S214" s="91" t="s">
        <v>38</v>
      </c>
      <c r="T214" s="91" t="s">
        <v>38</v>
      </c>
      <c r="U214" s="91" t="s">
        <v>38</v>
      </c>
      <c r="V214" s="100" t="s">
        <v>38</v>
      </c>
      <c r="W214" s="91" t="s">
        <v>38</v>
      </c>
      <c r="X214" s="91" t="s">
        <v>506</v>
      </c>
      <c r="Y214" s="91" t="s">
        <v>37</v>
      </c>
      <c r="Z214" s="57"/>
      <c r="AA214" s="57"/>
      <c r="AB214" s="57"/>
      <c r="AC214" s="57"/>
      <c r="AD214" s="91"/>
      <c r="AE214" s="91"/>
      <c r="AF214" s="91"/>
      <c r="AG214" s="91"/>
      <c r="AH214" s="91"/>
      <c r="AI214" s="85"/>
      <c r="AJ214" s="58">
        <v>10110507</v>
      </c>
      <c r="AK214" s="59">
        <v>12</v>
      </c>
      <c r="AL214" s="60">
        <f t="shared" si="174"/>
        <v>12</v>
      </c>
      <c r="AM214" s="61">
        <f t="shared" si="175"/>
        <v>6</v>
      </c>
      <c r="AN214" s="62">
        <f t="shared" si="163"/>
        <v>18</v>
      </c>
      <c r="AO214" s="62">
        <f t="shared" si="164"/>
        <v>0</v>
      </c>
      <c r="AP214" s="62">
        <f t="shared" si="165"/>
        <v>0</v>
      </c>
      <c r="AQ214" s="63">
        <f t="shared" si="166"/>
        <v>0</v>
      </c>
      <c r="AR214" s="62">
        <f t="shared" si="167"/>
        <v>0</v>
      </c>
      <c r="AS214" s="62">
        <f t="shared" si="168"/>
        <v>0</v>
      </c>
      <c r="AT214" s="64"/>
      <c r="AU214" s="64"/>
      <c r="AV214" s="65">
        <f t="shared" si="169"/>
        <v>12</v>
      </c>
      <c r="AW214" s="65">
        <f t="shared" si="170"/>
        <v>0</v>
      </c>
      <c r="AX214" s="64"/>
      <c r="AY214" s="64"/>
      <c r="AZ214" s="80"/>
      <c r="BA214" s="66">
        <f t="shared" si="127"/>
        <v>18</v>
      </c>
      <c r="BB214" s="67"/>
      <c r="BC214" s="68"/>
      <c r="BD214" s="69">
        <f>VLOOKUP($B214,[1]CN!$B$9:$DK$221,114,0)</f>
        <v>0</v>
      </c>
      <c r="BE214" s="70">
        <f t="shared" si="171"/>
        <v>27</v>
      </c>
      <c r="BF214" s="71" t="s">
        <v>389</v>
      </c>
      <c r="BG214" s="72" t="s">
        <v>34</v>
      </c>
      <c r="BH214" s="73" t="str">
        <f>VLOOKUP(B214,'[2]Bang luong_06'!$B$9:$C$333,2,0)</f>
        <v>Phạm Bảo Kiệt</v>
      </c>
      <c r="BI214" s="74"/>
      <c r="BJ214" s="75" t="str">
        <f>VLOOKUP($B214,'[2]Bang luong_06'!$B$10:$C$333,2,0)</f>
        <v>Phạm Bảo Kiệt</v>
      </c>
      <c r="BK214" s="76" t="b">
        <f t="shared" si="172"/>
        <v>1</v>
      </c>
      <c r="BM214" s="77" t="e">
        <f>+VLOOKUP(B214,'[2]Thưởng Lễ 2-9'!B76:G366,6,0)</f>
        <v>#N/A</v>
      </c>
      <c r="BN214" s="75">
        <f t="shared" si="173"/>
        <v>-21</v>
      </c>
      <c r="BO214" s="76" t="str">
        <f>+VLOOKUP(B214,'[2]Bang luong_06'!B87:D397,3,0)</f>
        <v>CN Đóng gói</v>
      </c>
      <c r="BP214" s="76" t="s">
        <v>40</v>
      </c>
      <c r="BQ214" s="76">
        <v>0</v>
      </c>
      <c r="BR214" s="76">
        <f t="shared" si="147"/>
        <v>12</v>
      </c>
    </row>
    <row r="215" spans="1:70" s="76" customFormat="1" ht="31.5" customHeight="1" x14ac:dyDescent="0.25">
      <c r="A215" s="33">
        <f t="shared" si="176"/>
        <v>192</v>
      </c>
      <c r="B215" s="105" t="s">
        <v>466</v>
      </c>
      <c r="C215" s="106" t="s">
        <v>467</v>
      </c>
      <c r="D215" s="107">
        <v>46154</v>
      </c>
      <c r="E215" s="91" t="s">
        <v>37</v>
      </c>
      <c r="F215" s="91" t="s">
        <v>37</v>
      </c>
      <c r="G215" s="91" t="s">
        <v>37</v>
      </c>
      <c r="H215" s="100" t="s">
        <v>37</v>
      </c>
      <c r="I215" s="100" t="s">
        <v>37</v>
      </c>
      <c r="J215" s="91"/>
      <c r="K215" s="91" t="s">
        <v>38</v>
      </c>
      <c r="L215" s="100" t="s">
        <v>38</v>
      </c>
      <c r="M215" s="100" t="s">
        <v>38</v>
      </c>
      <c r="N215" s="100" t="s">
        <v>38</v>
      </c>
      <c r="O215" s="100" t="s">
        <v>38</v>
      </c>
      <c r="P215" s="100" t="s">
        <v>38</v>
      </c>
      <c r="Q215" s="100"/>
      <c r="R215" s="91" t="s">
        <v>38</v>
      </c>
      <c r="S215" s="91" t="s">
        <v>38</v>
      </c>
      <c r="T215" s="91" t="s">
        <v>38</v>
      </c>
      <c r="U215" s="91" t="s">
        <v>38</v>
      </c>
      <c r="V215" s="100" t="s">
        <v>38</v>
      </c>
      <c r="W215" s="91" t="s">
        <v>38</v>
      </c>
      <c r="X215" s="91" t="s">
        <v>506</v>
      </c>
      <c r="Y215" s="91" t="s">
        <v>37</v>
      </c>
      <c r="Z215" s="57"/>
      <c r="AA215" s="57"/>
      <c r="AB215" s="57"/>
      <c r="AC215" s="57"/>
      <c r="AD215" s="91"/>
      <c r="AE215" s="91"/>
      <c r="AF215" s="91"/>
      <c r="AG215" s="91"/>
      <c r="AH215" s="91"/>
      <c r="AI215" s="85"/>
      <c r="AJ215" s="58">
        <v>10110507</v>
      </c>
      <c r="AK215" s="59">
        <v>12</v>
      </c>
      <c r="AL215" s="60">
        <f t="shared" si="161"/>
        <v>12</v>
      </c>
      <c r="AM215" s="61">
        <f t="shared" si="162"/>
        <v>6</v>
      </c>
      <c r="AN215" s="62">
        <f t="shared" si="163"/>
        <v>18</v>
      </c>
      <c r="AO215" s="62">
        <f t="shared" si="164"/>
        <v>0</v>
      </c>
      <c r="AP215" s="62">
        <f t="shared" si="165"/>
        <v>0</v>
      </c>
      <c r="AQ215" s="63">
        <f t="shared" si="166"/>
        <v>0</v>
      </c>
      <c r="AR215" s="62">
        <f t="shared" si="167"/>
        <v>0</v>
      </c>
      <c r="AS215" s="62">
        <f t="shared" si="168"/>
        <v>0</v>
      </c>
      <c r="AT215" s="64"/>
      <c r="AU215" s="64"/>
      <c r="AV215" s="65">
        <f t="shared" si="169"/>
        <v>12</v>
      </c>
      <c r="AW215" s="65">
        <f t="shared" si="170"/>
        <v>0</v>
      </c>
      <c r="AX215" s="64"/>
      <c r="AY215" s="64"/>
      <c r="AZ215" s="80"/>
      <c r="BA215" s="66">
        <f t="shared" si="127"/>
        <v>18</v>
      </c>
      <c r="BB215" s="67"/>
      <c r="BC215" s="68"/>
      <c r="BD215" s="69">
        <f>VLOOKUP($B215,[1]CN!$B$9:$DK$221,114,0)</f>
        <v>0</v>
      </c>
      <c r="BE215" s="70">
        <f t="shared" si="171"/>
        <v>27</v>
      </c>
      <c r="BF215" s="71" t="s">
        <v>389</v>
      </c>
      <c r="BG215" s="72" t="s">
        <v>34</v>
      </c>
      <c r="BH215" s="73" t="str">
        <f>VLOOKUP(B215,'[2]Bang luong_06'!$B$9:$C$333,2,0)</f>
        <v>Huỳnh Văn Hoàng Đầy</v>
      </c>
      <c r="BI215" s="74"/>
      <c r="BJ215" s="75" t="str">
        <f>VLOOKUP($B215,'[2]Bang luong_06'!$B$10:$C$333,2,0)</f>
        <v>Huỳnh Văn Hoàng Đầy</v>
      </c>
      <c r="BK215" s="76" t="b">
        <f t="shared" si="172"/>
        <v>1</v>
      </c>
      <c r="BM215" s="77" t="e">
        <f>+VLOOKUP(B215,'[2]Thưởng Lễ 2-9'!B77:G367,6,0)</f>
        <v>#N/A</v>
      </c>
      <c r="BN215" s="75">
        <f t="shared" si="173"/>
        <v>-21</v>
      </c>
      <c r="BO215" s="76" t="str">
        <f>+VLOOKUP(B215,'[2]Bang luong_06'!B88:D398,3,0)</f>
        <v>CN Đóng gói</v>
      </c>
      <c r="BP215" s="76" t="s">
        <v>40</v>
      </c>
      <c r="BQ215" s="76">
        <v>0</v>
      </c>
      <c r="BR215" s="76">
        <f t="shared" si="147"/>
        <v>12</v>
      </c>
    </row>
    <row r="216" spans="1:70" s="84" customFormat="1" ht="31.5" customHeight="1" x14ac:dyDescent="0.25">
      <c r="A216" s="33" t="str">
        <f>IF(B216="","",MAX(A211:A215)+1)</f>
        <v/>
      </c>
      <c r="B216" s="46"/>
      <c r="C216" s="46" t="s">
        <v>468</v>
      </c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81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82"/>
      <c r="BE216" s="46"/>
      <c r="BF216" s="96" t="s">
        <v>353</v>
      </c>
      <c r="BG216" s="92" t="s">
        <v>34</v>
      </c>
      <c r="BH216" s="73"/>
      <c r="BI216" s="73"/>
      <c r="BJ216" s="75" t="e">
        <f>VLOOKUP($B216,'[2]Bang luong_06'!$B$10:$C$333,2,0)</f>
        <v>#N/A</v>
      </c>
      <c r="BK216" s="76"/>
      <c r="BM216" s="77"/>
      <c r="BN216" s="75"/>
      <c r="BO216" s="76"/>
      <c r="BP216" s="76"/>
      <c r="BQ216" s="76"/>
      <c r="BR216" s="76" t="e">
        <f t="shared" si="147"/>
        <v>#DIV/0!</v>
      </c>
    </row>
    <row r="217" spans="1:70" s="76" customFormat="1" ht="31.5" customHeight="1" x14ac:dyDescent="0.25">
      <c r="A217" s="33">
        <f t="shared" si="176"/>
        <v>193</v>
      </c>
      <c r="B217" s="115" t="s">
        <v>469</v>
      </c>
      <c r="C217" s="89" t="s">
        <v>470</v>
      </c>
      <c r="D217" s="129">
        <v>40400</v>
      </c>
      <c r="E217" s="57" t="s">
        <v>38</v>
      </c>
      <c r="F217" s="57" t="s">
        <v>38</v>
      </c>
      <c r="G217" s="57" t="s">
        <v>38</v>
      </c>
      <c r="H217" s="57" t="s">
        <v>107</v>
      </c>
      <c r="I217" s="57" t="s">
        <v>107</v>
      </c>
      <c r="J217" s="57"/>
      <c r="K217" s="57" t="s">
        <v>37</v>
      </c>
      <c r="L217" s="57" t="s">
        <v>37</v>
      </c>
      <c r="M217" s="57" t="s">
        <v>37</v>
      </c>
      <c r="N217" s="57" t="s">
        <v>37</v>
      </c>
      <c r="O217" s="57" t="s">
        <v>37</v>
      </c>
      <c r="P217" s="57" t="s">
        <v>37</v>
      </c>
      <c r="Q217" s="57" t="s">
        <v>507</v>
      </c>
      <c r="R217" s="100" t="s">
        <v>37</v>
      </c>
      <c r="S217" s="57" t="s">
        <v>37</v>
      </c>
      <c r="T217" s="57" t="s">
        <v>37</v>
      </c>
      <c r="U217" s="57" t="s">
        <v>37</v>
      </c>
      <c r="V217" s="57" t="s">
        <v>37</v>
      </c>
      <c r="W217" s="57" t="s">
        <v>37</v>
      </c>
      <c r="X217" s="57"/>
      <c r="Y217" s="57" t="s">
        <v>38</v>
      </c>
      <c r="Z217" s="57"/>
      <c r="AA217" s="57"/>
      <c r="AB217" s="57"/>
      <c r="AC217" s="57"/>
      <c r="AD217" s="57"/>
      <c r="AE217" s="57"/>
      <c r="AF217" s="57"/>
      <c r="AG217" s="103"/>
      <c r="AH217" s="103"/>
      <c r="AI217" s="103"/>
      <c r="AJ217" s="58">
        <v>10110524</v>
      </c>
      <c r="AK217" s="59">
        <v>12</v>
      </c>
      <c r="AL217" s="60">
        <f t="shared" ref="AL217:AL230" si="177">COUNTIF(D217:AI217,"N")+COUNTIF(D217:AI217,"N1")*1/AK217+COUNTIF(D217:AI217,"N2")*2/AK217+COUNTIF(D217:AI217,"N3")*3/AK217+COUNTIF(D217:AI217,"N4")*4/AK217+COUNTIF(D217:AI217,"N5")*5/AK217+COUNTIF(D217:AI217,"N6")*6/AK217+COUNTIF(D217:AI217,"N7")*7/AK217+COUNTIF(D217:AI217,"N8")*8/AK217+COUNTIF(D217:AI217,"N9")*9/AK217+COUNTIF(D217:AI217,"N10")*10/AK217+COUNTIF(D217:AI217,"N11")*11/AK217+COUNTIF(D217:AI217,"N12")*12/AK217+COUNTIF(D217:AI217,"Ro1")*1/AK217+COUNTIF(D217:AI217,"Ro2")*2/AK217+COUNTIF(D217:AI217,"Ro3")*3/AK217+COUNTIF(D217:AI217,"Ro3.0")*3/AK217+COUNTIF(D217:AI217,"Ro4")*4/AK217+COUNTIF(D217:AI217,"Ro4.0")*4/AK217+COUNTIF(D217:AI217,"Ro4.5")*4.5/AK217+COUNTIF(D217:AI217,"Ro5")*5/AK217+COUNTIF(D217:AI217,"Ro5.0")*5/AK217+COUNTIF(D217:AI217,"Ro5.5")*5.5/AK217+COUNTIF(D217:AI217,"Ro6")*6/AK217+COUNTIF(D217:AI217,"Ro7")*7/AK217+COUNTIF(D217:AI217,"Ro8")*8/AK217+COUNTIF(D217:AI217,"Ro8.0")*8/AK217+COUNTIF(D217:AI217,"Ro8.3")*8.3/AK217+COUNTIF(D217:AI217,"Ro8.5")*8.5/AK217+COUNTIF(D217:AI217,"Ro9")*9/AK217+COUNTIF(D217:AI217,"Ro9.5")*9.5/AK217+COUNTIF(D217:AI217,"Ro10")*10/AK217+COUNTIF(D217:AI217,"Ro10.0")*10/AK217+COUNTIF(D217:AI217,"Ro10.5")*10.5/AK217+COUNTIF(D217:AI217,"Ro11")*11/AK217+COUNTIF(D217:AI217,"Ro11.0")*11/AK217+COUNTIF(D217:AI217,"Ro11.5")*11.5/AK217+COUNTIF(D217:AI217,"Bu1")+COUNTIF(D217:AI217,"Bu2")+COUNTIF(D217:AI217,"Bu3")+COUNTIF(D217:AI217,"Bu4")+COUNTIF(D217:AI217,"Bu5")+COUNTIF(D217:AI217,"Bu6")+COUNTIF(D217:AI217,"Bu7")+COUNTIF(D217:AI217,"Bu8")+COUNTIF(D217:AI217,"Bu9")+COUNTIF(D217:AI217,"Bu10")+COUNTIF(D217:AI217,"Bu11")+COUNTIF(D217:AI217,"Bu")+COUNTIF(D217:AI217,"P2")*0.5</f>
        <v>4</v>
      </c>
      <c r="AM217" s="61">
        <f t="shared" ref="AM217:AM230" si="178">COUNTIF(E217:AI217,"D")+COUNTIF(E217:AI217,"D1")*1/AK217+COUNTIF(E217:AI217,"D2")*2/AK217+COUNTIF(E217:AI217,"D3")*3/AK217+COUNTIF(E217:AI217,"D4")*4/AK217+COUNTIF(E217:AI217,"D5")*5/AK217+COUNTIF(E217:AI217,"D6")*6/AK217+COUNTIF(E217:AI217,"D7")*7/AK217+COUNTIF(E217:AI217,"D8")*8/AK217+COUNTIF(E217:AI217,"D9")*9/AK217+COUNTIF(E217:AI217,"D10")*10/AK217+COUNTIF(E217:AI217,"D11")*11/AK217+COUNTIF(E217:AI217,"D12")*12/AK217</f>
        <v>12</v>
      </c>
      <c r="AN217" s="62">
        <f t="shared" ref="AN217:AN230" si="179">+AL217+AM217</f>
        <v>16</v>
      </c>
      <c r="AO217" s="62">
        <f t="shared" ref="AO217:AO230" si="180">COUNTIF(E217:AI217,"p")+COUNTIF(E217:AI217,"p1")/2+COUNTIF(E217:AI217,"p2")/2</f>
        <v>2</v>
      </c>
      <c r="AP217" s="62">
        <f t="shared" ref="AP217:AP230" si="181">COUNTIF(E217:AI217,"K")</f>
        <v>0</v>
      </c>
      <c r="AQ217" s="63">
        <f t="shared" ref="AQ217:AQ230" si="182">COUNTIF(E217:AI217,"Ro")+COUNTIF(E217:AI217,"Ro1")*11/AK217+COUNTIF(E217:AI217,"Ro2")*10/AK217+COUNTIF(E217:AI217,"Ro3")*9/AK217+COUNTIF(E217:AI217,"Ro3.0")*9/AK217+COUNTIF(E217:AI217,"Ro4")*8/AK217+COUNTIF(E217:AI217,"Ro4.0")*8/AK217+COUNTIF(E217:AI217,"Ro4.5")*7.5/AK217+COUNTIF(E217:AI217,"Ro5")*7/AK217+COUNTIF(E217:AI217,"Ro5.0")*7/AK217+COUNTIF(E217:AI217,"Ro5.5")*6.5/AK217+COUNTIF(E217:AI217,"Ro6")*6/AK217+COUNTIF(E217:AI217,"Ro7")*5/AK217+COUNTIF(E217:AI217,"Ro8")*4/AK217+COUNTIF(E217:AI217,"Ro8.0")*4/AK217+COUNTIF(E217:AI217,"Ro8.3")*3.7/AK217+COUNTIF(E217:AI217,"Ro8.5")*3.5/AK217+COUNTIF(E217:AI217,"Ro9")*3/AK217+COUNTIF(E217:AI217,"Ro10")*2/AK217+COUNTIF(E217:AI217,"Ro10.0")*2/AK217+COUNTIF(E217:AI217,"Ro10.5")*1.5/AK217+COUNTIF(E217:AI217,"Ro11.0")*1/AK217+COUNTIF(E217:AI217,"Ro11")*1/AK217+COUNTIF(E217:AI217,"Ro11.5")*0.5/AK217+COUNTIF(E217:AI217,"N1")*11/AK217+COUNTIF(E217:AI217,"N2")*10/AK217+COUNTIF(E217:AI217,"N3")*9/AK217+COUNTIF(E217:AI217,"N4")*8/AK217+COUNTIF(E217:AI217,"N5")*7/AK217+COUNTIF(E217:AI217,"N6")*6/AK217+COUNTIF(E217:AI217,"N7")*5/AK217+COUNTIF(E217:AI217,"N8")*4/AK217+COUNTIF(E217:AI217,"N9")*3/AK217+COUNTIF(E217:AI217,"N10")*2/AK217+COUNTIF(E217:AI217,"N11")*1/AK217+COUNTIF(E217:AI217,"D1")*11/AK217+COUNTIF(E217:AI217,"D2")*10/AK217+COUNTIF(E217:AI217,"D3")*9/AK217+COUNTIF(E217:AI217,"D4")*8/AK217+COUNTIF(E217:AI217,"D5")*7/AK217+COUNTIF(E217:AI217,"D6")*6/AK217+COUNTIF(E217:AI217,"D7")*5/AK217+COUNTIF(E217:AI217,"D8")*4/AK217+COUNTIF(E217:AI217,"D9")*3/AK217+COUNTIF(E217:AI217,"D10")*2/AK217+COUNTIF(E217:AI217,"D11")*1/AK217+COUNTIF(E217:AI217,"P1")*0.5</f>
        <v>0</v>
      </c>
      <c r="AR217" s="62">
        <f t="shared" ref="AR217:AR230" si="183">COUNTIF(E217:AI217,"R")</f>
        <v>0</v>
      </c>
      <c r="AS217" s="62">
        <f t="shared" ref="AS217:AS230" si="184">COUNTIF(E217:AI217,"L")</f>
        <v>0</v>
      </c>
      <c r="AT217" s="64"/>
      <c r="AU217" s="64"/>
      <c r="AV217" s="65">
        <f t="shared" ref="AV217:AV230" si="185">COUNTIF(E217:AI217,"12N")*12</f>
        <v>0</v>
      </c>
      <c r="AW217" s="65">
        <f t="shared" ref="AW217:AW230" si="186">COUNTIF(F217:AI217,"12D")*12</f>
        <v>12</v>
      </c>
      <c r="AX217" s="64"/>
      <c r="AY217" s="64"/>
      <c r="AZ217" s="80"/>
      <c r="BA217" s="66">
        <f t="shared" ref="BA217:BA230" si="187">+AN217+AR217+AS217+AO217</f>
        <v>18</v>
      </c>
      <c r="BB217" s="67"/>
      <c r="BC217" s="99"/>
      <c r="BD217" s="69">
        <f>VLOOKUP($B217,[1]CN!$B$9:$DK$221,114,0)</f>
        <v>7</v>
      </c>
      <c r="BE217" s="70">
        <f t="shared" ref="BE217:BE230" si="188">+$AI$8-$E$8+1-INT(($AI$8-$E$8-WEEKDAY($AI$8)+8)/7)</f>
        <v>27</v>
      </c>
      <c r="BF217" s="71" t="s">
        <v>353</v>
      </c>
      <c r="BG217" s="72">
        <v>0</v>
      </c>
      <c r="BH217" s="73" t="str">
        <f>VLOOKUP(B217,'[2]Bang luong_06'!$B$9:$C$333,2,0)</f>
        <v>Thạch Tững</v>
      </c>
      <c r="BI217" s="74" t="s">
        <v>469</v>
      </c>
      <c r="BJ217" s="75" t="str">
        <f>VLOOKUP($B217,'[2]Bang luong_06'!$B$10:$C$333,2,0)</f>
        <v>Thạch Tững</v>
      </c>
      <c r="BK217" s="76" t="b">
        <f t="shared" ref="BK217:BK223" si="189">BJ217=C217</f>
        <v>1</v>
      </c>
      <c r="BM217" s="77">
        <f>+VLOOKUP(B217,'[2]Thưởng Lễ 2-9'!B166:G454,6,0)</f>
        <v>0</v>
      </c>
      <c r="BN217" s="75">
        <f t="shared" ref="BN217:BN223" si="190">ROUND(($BN$12-D217)/30,0)</f>
        <v>171</v>
      </c>
      <c r="BO217" s="76" t="str">
        <f>+VLOOKUP(B217,'[2]Bang luong_06'!B173:D485,3,0)</f>
        <v>Tổ trưởng</v>
      </c>
      <c r="BP217" s="76" t="s">
        <v>40</v>
      </c>
      <c r="BQ217" s="76">
        <v>11</v>
      </c>
      <c r="BR217" s="76">
        <f t="shared" si="147"/>
        <v>4</v>
      </c>
    </row>
    <row r="218" spans="1:70" s="76" customFormat="1" ht="31.5" customHeight="1" x14ac:dyDescent="0.25">
      <c r="A218" s="33">
        <f t="shared" si="176"/>
        <v>194</v>
      </c>
      <c r="B218" s="130" t="s">
        <v>471</v>
      </c>
      <c r="C218" s="131" t="s">
        <v>472</v>
      </c>
      <c r="D218" s="132">
        <v>45379</v>
      </c>
      <c r="E218" s="57" t="s">
        <v>38</v>
      </c>
      <c r="F218" s="57" t="s">
        <v>38</v>
      </c>
      <c r="G218" s="57" t="s">
        <v>38</v>
      </c>
      <c r="H218" s="57" t="s">
        <v>38</v>
      </c>
      <c r="I218" s="57" t="s">
        <v>38</v>
      </c>
      <c r="J218" s="57"/>
      <c r="K218" s="57" t="s">
        <v>37</v>
      </c>
      <c r="L218" s="57" t="s">
        <v>37</v>
      </c>
      <c r="M218" s="57" t="s">
        <v>37</v>
      </c>
      <c r="N218" s="57" t="s">
        <v>37</v>
      </c>
      <c r="O218" s="57" t="s">
        <v>37</v>
      </c>
      <c r="P218" s="57" t="s">
        <v>37</v>
      </c>
      <c r="Q218" s="57" t="s">
        <v>507</v>
      </c>
      <c r="R218" s="57" t="s">
        <v>37</v>
      </c>
      <c r="S218" s="57" t="s">
        <v>37</v>
      </c>
      <c r="T218" s="57" t="s">
        <v>37</v>
      </c>
      <c r="U218" s="57" t="s">
        <v>37</v>
      </c>
      <c r="V218" s="57" t="s">
        <v>37</v>
      </c>
      <c r="W218" s="57" t="s">
        <v>37</v>
      </c>
      <c r="X218" s="57"/>
      <c r="Y218" s="57" t="s">
        <v>38</v>
      </c>
      <c r="Z218" s="57"/>
      <c r="AA218" s="57"/>
      <c r="AB218" s="57"/>
      <c r="AC218" s="57"/>
      <c r="AD218" s="57"/>
      <c r="AE218" s="57"/>
      <c r="AF218" s="57"/>
      <c r="AG218" s="103"/>
      <c r="AH218" s="57"/>
      <c r="AI218" s="103"/>
      <c r="AJ218" s="58">
        <v>10110515</v>
      </c>
      <c r="AK218" s="59">
        <v>12</v>
      </c>
      <c r="AL218" s="60">
        <f t="shared" si="177"/>
        <v>6</v>
      </c>
      <c r="AM218" s="61">
        <f t="shared" si="178"/>
        <v>12</v>
      </c>
      <c r="AN218" s="62">
        <f t="shared" si="179"/>
        <v>18</v>
      </c>
      <c r="AO218" s="62">
        <f t="shared" si="180"/>
        <v>0</v>
      </c>
      <c r="AP218" s="62">
        <f t="shared" si="181"/>
        <v>0</v>
      </c>
      <c r="AQ218" s="63">
        <f t="shared" si="182"/>
        <v>0</v>
      </c>
      <c r="AR218" s="62">
        <f t="shared" si="183"/>
        <v>0</v>
      </c>
      <c r="AS218" s="62">
        <f t="shared" si="184"/>
        <v>0</v>
      </c>
      <c r="AT218" s="64"/>
      <c r="AU218" s="64"/>
      <c r="AV218" s="65">
        <f t="shared" si="185"/>
        <v>0</v>
      </c>
      <c r="AW218" s="65">
        <f t="shared" si="186"/>
        <v>12</v>
      </c>
      <c r="AX218" s="64"/>
      <c r="AY218" s="64"/>
      <c r="AZ218" s="80"/>
      <c r="BA218" s="66">
        <f t="shared" si="187"/>
        <v>18</v>
      </c>
      <c r="BB218" s="67"/>
      <c r="BC218" s="99"/>
      <c r="BD218" s="69">
        <f>VLOOKUP($B218,[1]CN!$B$9:$DK$221,114,0)</f>
        <v>1</v>
      </c>
      <c r="BE218" s="70">
        <f t="shared" si="188"/>
        <v>27</v>
      </c>
      <c r="BF218" s="71" t="s">
        <v>353</v>
      </c>
      <c r="BG218" s="72">
        <v>0</v>
      </c>
      <c r="BH218" s="73" t="str">
        <f>VLOOKUP(B218,'[2]Bang luong_06'!$B$9:$C$333,2,0)</f>
        <v>Lý Văn Vỹ</v>
      </c>
      <c r="BI218" s="74" t="s">
        <v>471</v>
      </c>
      <c r="BJ218" s="75" t="str">
        <f>VLOOKUP($B218,'[2]Bang luong_06'!$B$10:$C$333,2,0)</f>
        <v>Lý Văn Vỹ</v>
      </c>
      <c r="BK218" s="76" t="b">
        <f t="shared" si="189"/>
        <v>1</v>
      </c>
      <c r="BM218" s="77">
        <f>+VLOOKUP(B218,'[2]Thưởng Lễ 2-9'!B170:G459,6,0)</f>
        <v>0</v>
      </c>
      <c r="BN218" s="75">
        <f t="shared" si="190"/>
        <v>5</v>
      </c>
      <c r="BO218" s="76" t="str">
        <f>+VLOOKUP(B218,'[2]Bang luong_06'!B172:D490,3,0)</f>
        <v>CNSX</v>
      </c>
      <c r="BP218" s="76" t="s">
        <v>40</v>
      </c>
      <c r="BQ218" s="76">
        <v>4</v>
      </c>
      <c r="BR218" s="76">
        <f>COUNTIF(D218:AI218,"N")+COUNTIF(D218:AI218,"N1")*1/AK218+COUNTIF(D218:AI218,"N2")*2/AK218+COUNTIF(D218:AI218,"N3")*3/AK218+COUNTIF(D218:AI218,"N4")*4/AK218+COUNTIF(D218:AI218,"N5")*5/AK218+COUNTIF(D218:AI218,"N6")*6/AK218+COUNTIF(D218:AI218,"N7")*7/AK218+COUNTIF(D218:AI218,"N8")*8/AK218+COUNTIF(D218:AI218,"N9")*9/AK218+COUNTIF(D218:AI218,"N10")*10/AK218+COUNTIF(D218:AI218,"N11")*11/AK218+COUNTIF(D218:AI218,"N12")*12/AK218+COUNTIF(D218:AI218,"Ro1")*1/AK218+COUNTIF(D218:AI218,"Ro2")*2/AK218+COUNTIF(D218:AI218,"Ro3")*3/AK218+COUNTIF(D218:AI218,"Ro3.0")*3/AK218+COUNTIF(D218:AI218,"Ro4")*4/AK218+COUNTIF(D218:AI218,"Ro4.0")*4/AK218+COUNTIF(D218:AI218,"Ro4.5")*4.5/AK218+COUNTIF(D218:AI218,"Ro5")*5/AK218+COUNTIF(D218:AI218,"Ro5.0")*5/AK218+COUNTIF(D218:AI218,"Ro5.5")*5.5/AK218+COUNTIF(D218:AI218,"Ro6")*6/AK218+COUNTIF(D218:AI218,"Ro7")*7/AK218+COUNTIF(D218:AI218,"Ro8")*8/AK218+COUNTIF(D218:AI218,"Ro8.0")*8/AK218+COUNTIF(D218:AI218,"Ro8.3")*8.3/AK218+COUNTIF(D218:AI218,"Ro8.5")*8.5/AK218+COUNTIF(D218:AI218,"Ro9")*9/AK218+COUNTIF(D218:AI218,"Ro9.5")*9.5/AK218+COUNTIF(D218:AI218,"Ro10")*10/AK218+COUNTIF(D218:AI218,"Ro10.0")*10/AK218+COUNTIF(D218:AI218,"Ro10.5")*10.5/AK218+COUNTIF(D218:AI218,"Ro11")*11/AK218+COUNTIF(D218:AI218,"Ro11.0")*11/AK218+COUNTIF(D218:AI218,"Ro11.5")*11.5/AK218+COUNTIF(D218:AI218,"P2")*0.5</f>
        <v>6</v>
      </c>
    </row>
    <row r="219" spans="1:70" s="76" customFormat="1" ht="31.5" customHeight="1" x14ac:dyDescent="0.25">
      <c r="A219" s="33">
        <f t="shared" si="176"/>
        <v>195</v>
      </c>
      <c r="B219" s="78" t="s">
        <v>473</v>
      </c>
      <c r="C219" s="55" t="s">
        <v>474</v>
      </c>
      <c r="D219" s="79">
        <v>45415</v>
      </c>
      <c r="E219" s="57" t="s">
        <v>38</v>
      </c>
      <c r="F219" s="57" t="s">
        <v>38</v>
      </c>
      <c r="G219" s="57" t="s">
        <v>38</v>
      </c>
      <c r="H219" s="57" t="s">
        <v>38</v>
      </c>
      <c r="I219" s="57" t="s">
        <v>38</v>
      </c>
      <c r="J219" s="57"/>
      <c r="K219" s="57" t="s">
        <v>37</v>
      </c>
      <c r="L219" s="57" t="s">
        <v>37</v>
      </c>
      <c r="M219" s="57" t="s">
        <v>37</v>
      </c>
      <c r="N219" s="57" t="s">
        <v>37</v>
      </c>
      <c r="O219" s="57" t="s">
        <v>37</v>
      </c>
      <c r="P219" s="57" t="s">
        <v>37</v>
      </c>
      <c r="Q219" s="57" t="s">
        <v>507</v>
      </c>
      <c r="R219" s="57" t="s">
        <v>37</v>
      </c>
      <c r="S219" s="57" t="s">
        <v>37</v>
      </c>
      <c r="T219" s="57" t="s">
        <v>37</v>
      </c>
      <c r="U219" s="57" t="s">
        <v>37</v>
      </c>
      <c r="V219" s="57" t="s">
        <v>37</v>
      </c>
      <c r="W219" s="57" t="s">
        <v>37</v>
      </c>
      <c r="X219" s="103"/>
      <c r="Y219" s="103" t="s">
        <v>38</v>
      </c>
      <c r="Z219" s="57"/>
      <c r="AA219" s="57"/>
      <c r="AB219" s="57"/>
      <c r="AC219" s="57"/>
      <c r="AD219" s="57"/>
      <c r="AE219" s="57"/>
      <c r="AF219" s="57"/>
      <c r="AG219" s="103"/>
      <c r="AH219" s="103"/>
      <c r="AI219" s="103"/>
      <c r="AJ219" s="58">
        <v>10110524</v>
      </c>
      <c r="AK219" s="59">
        <v>12</v>
      </c>
      <c r="AL219" s="60">
        <f t="shared" si="177"/>
        <v>6</v>
      </c>
      <c r="AM219" s="61">
        <f t="shared" si="178"/>
        <v>12</v>
      </c>
      <c r="AN219" s="62">
        <f t="shared" si="179"/>
        <v>18</v>
      </c>
      <c r="AO219" s="62">
        <f t="shared" si="180"/>
        <v>0</v>
      </c>
      <c r="AP219" s="62">
        <f t="shared" si="181"/>
        <v>0</v>
      </c>
      <c r="AQ219" s="63">
        <f t="shared" si="182"/>
        <v>0</v>
      </c>
      <c r="AR219" s="62">
        <f t="shared" si="183"/>
        <v>0</v>
      </c>
      <c r="AS219" s="62">
        <f t="shared" si="184"/>
        <v>0</v>
      </c>
      <c r="AT219" s="64"/>
      <c r="AU219" s="64"/>
      <c r="AV219" s="65">
        <f t="shared" si="185"/>
        <v>0</v>
      </c>
      <c r="AW219" s="65">
        <f t="shared" si="186"/>
        <v>12</v>
      </c>
      <c r="AX219" s="64"/>
      <c r="AY219" s="64"/>
      <c r="AZ219" s="80"/>
      <c r="BA219" s="66">
        <f t="shared" si="187"/>
        <v>18</v>
      </c>
      <c r="BB219" s="67"/>
      <c r="BC219" s="99"/>
      <c r="BD219" s="69">
        <f>VLOOKUP($B219,[1]CN!$B$9:$DK$221,114,0)</f>
        <v>3</v>
      </c>
      <c r="BE219" s="70">
        <f t="shared" si="188"/>
        <v>27</v>
      </c>
      <c r="BF219" s="71" t="s">
        <v>353</v>
      </c>
      <c r="BG219" s="72" t="s">
        <v>34</v>
      </c>
      <c r="BH219" s="73" t="str">
        <f>VLOOKUP(B219,'[2]Bang luong_06'!$B$9:$C$333,2,0)</f>
        <v>Cao Mạnh Hùng</v>
      </c>
      <c r="BI219" s="74" t="s">
        <v>473</v>
      </c>
      <c r="BJ219" s="75" t="str">
        <f>VLOOKUP($B219,'[2]Bang luong_06'!$B$10:$C$333,2,0)</f>
        <v>Cao Mạnh Hùng</v>
      </c>
      <c r="BK219" s="76" t="b">
        <f t="shared" si="189"/>
        <v>1</v>
      </c>
      <c r="BM219" s="77">
        <f>+VLOOKUP(B219,'[2]Thưởng Lễ 2-9'!B172:G461,6,0)</f>
        <v>0</v>
      </c>
      <c r="BN219" s="75">
        <f t="shared" si="190"/>
        <v>4</v>
      </c>
      <c r="BO219" s="76" t="str">
        <f>+VLOOKUP(B219,'[2]Bang luong_06'!B172:D492,3,0)</f>
        <v>CNSX</v>
      </c>
      <c r="BP219" s="76" t="s">
        <v>40</v>
      </c>
      <c r="BQ219" s="76">
        <v>0</v>
      </c>
      <c r="BR219" s="76">
        <f>COUNTIF(D219:AI219,"N")+COUNTIF(D219:AI219,"N1")*1/AK219+COUNTIF(D219:AI219,"N2")*2/AK219+COUNTIF(D219:AI219,"N3")*3/AK219+COUNTIF(D219:AI219,"N4")*4/AK219+COUNTIF(D219:AI219,"N5")*5/AK219+COUNTIF(D219:AI219,"N6")*6/AK219+COUNTIF(D219:AI219,"N7")*7/AK219+COUNTIF(D219:AI219,"N8")*8/AK219+COUNTIF(D219:AI219,"N9")*9/AK219+COUNTIF(D219:AI219,"N10")*10/AK219+COUNTIF(D219:AI219,"N11")*11/AK219+COUNTIF(D219:AI219,"N12")*12/AK219+COUNTIF(D219:AI219,"Ro1")*1/AK219+COUNTIF(D219:AI219,"Ro2")*2/AK219+COUNTIF(D219:AI219,"Ro3")*3/AK219+COUNTIF(D219:AI219,"Ro3.0")*3/AK219+COUNTIF(D219:AI219,"Ro4")*4/AK219+COUNTIF(D219:AI219,"Ro4.0")*4/AK219+COUNTIF(D219:AI219,"Ro4.5")*4.5/AK219+COUNTIF(D219:AI219,"Ro5")*5/AK219+COUNTIF(D219:AI219,"Ro5.0")*5/AK219+COUNTIF(D219:AI219,"Ro5.5")*5.5/AK219+COUNTIF(D219:AI219,"Ro6")*6/AK219+COUNTIF(D219:AI219,"Ro7")*7/AK219+COUNTIF(D219:AI219,"Ro8")*8/AK219+COUNTIF(D219:AI219,"Ro8.0")*8/AK219+COUNTIF(D219:AI219,"Ro8.3")*8.3/AK219+COUNTIF(D219:AI219,"Ro8.5")*8.5/AK219+COUNTIF(D219:AI219,"Ro9")*9/AK219+COUNTIF(D219:AI219,"Ro9.5")*9.5/AK219+COUNTIF(D219:AI219,"Ro10")*10/AK219+COUNTIF(D219:AI219,"Ro10.0")*10/AK219+COUNTIF(D219:AI219,"Ro10.5")*10.5/AK219+COUNTIF(D219:AI219,"Ro11")*11/AK219+COUNTIF(D219:AI219,"Ro11.0")*11/AK219+COUNTIF(D219:AI219,"Ro11.5")*11.5/AK219+COUNTIF(D219:AI219,"P2")*0.5</f>
        <v>6</v>
      </c>
    </row>
    <row r="220" spans="1:70" s="76" customFormat="1" ht="31.5" customHeight="1" x14ac:dyDescent="0.25">
      <c r="A220" s="33">
        <f t="shared" si="176"/>
        <v>196</v>
      </c>
      <c r="B220" s="133" t="s">
        <v>475</v>
      </c>
      <c r="C220" s="126" t="s">
        <v>476</v>
      </c>
      <c r="D220" s="127">
        <v>44643</v>
      </c>
      <c r="E220" s="57" t="s">
        <v>38</v>
      </c>
      <c r="F220" s="57" t="s">
        <v>38</v>
      </c>
      <c r="G220" s="57" t="s">
        <v>38</v>
      </c>
      <c r="H220" s="57" t="s">
        <v>38</v>
      </c>
      <c r="I220" s="57" t="s">
        <v>38</v>
      </c>
      <c r="J220" s="57"/>
      <c r="K220" s="57" t="s">
        <v>37</v>
      </c>
      <c r="L220" s="57" t="s">
        <v>37</v>
      </c>
      <c r="M220" s="57" t="s">
        <v>37</v>
      </c>
      <c r="N220" s="57" t="s">
        <v>37</v>
      </c>
      <c r="O220" s="57" t="s">
        <v>37</v>
      </c>
      <c r="P220" s="57" t="s">
        <v>37</v>
      </c>
      <c r="Q220" s="57" t="s">
        <v>507</v>
      </c>
      <c r="R220" s="57" t="s">
        <v>37</v>
      </c>
      <c r="S220" s="57" t="s">
        <v>37</v>
      </c>
      <c r="T220" s="57" t="s">
        <v>37</v>
      </c>
      <c r="U220" s="57" t="s">
        <v>37</v>
      </c>
      <c r="V220" s="57" t="s">
        <v>37</v>
      </c>
      <c r="W220" s="57" t="s">
        <v>37</v>
      </c>
      <c r="X220" s="57"/>
      <c r="Y220" s="57" t="s">
        <v>107</v>
      </c>
      <c r="Z220" s="57"/>
      <c r="AA220" s="57"/>
      <c r="AB220" s="57"/>
      <c r="AC220" s="57"/>
      <c r="AD220" s="57"/>
      <c r="AE220" s="57"/>
      <c r="AF220" s="57"/>
      <c r="AG220" s="103"/>
      <c r="AH220" s="103"/>
      <c r="AI220" s="103"/>
      <c r="AJ220" s="58">
        <v>10110524</v>
      </c>
      <c r="AK220" s="59">
        <v>12</v>
      </c>
      <c r="AL220" s="60">
        <f t="shared" si="177"/>
        <v>5</v>
      </c>
      <c r="AM220" s="61">
        <f t="shared" si="178"/>
        <v>12</v>
      </c>
      <c r="AN220" s="62">
        <f t="shared" si="179"/>
        <v>17</v>
      </c>
      <c r="AO220" s="62">
        <f t="shared" si="180"/>
        <v>1</v>
      </c>
      <c r="AP220" s="62">
        <f t="shared" si="181"/>
        <v>0</v>
      </c>
      <c r="AQ220" s="63">
        <f t="shared" si="182"/>
        <v>0</v>
      </c>
      <c r="AR220" s="62">
        <f t="shared" si="183"/>
        <v>0</v>
      </c>
      <c r="AS220" s="62">
        <f t="shared" si="184"/>
        <v>0</v>
      </c>
      <c r="AT220" s="64"/>
      <c r="AU220" s="64"/>
      <c r="AV220" s="65">
        <f t="shared" si="185"/>
        <v>0</v>
      </c>
      <c r="AW220" s="65">
        <f t="shared" si="186"/>
        <v>12</v>
      </c>
      <c r="AX220" s="64"/>
      <c r="AY220" s="64"/>
      <c r="AZ220" s="80"/>
      <c r="BA220" s="66">
        <f t="shared" si="187"/>
        <v>18</v>
      </c>
      <c r="BB220" s="67"/>
      <c r="BC220" s="68"/>
      <c r="BD220" s="69">
        <f>VLOOKUP($B220,[1]CN!$B$9:$DK$221,114,0)</f>
        <v>4</v>
      </c>
      <c r="BE220" s="70">
        <f t="shared" si="188"/>
        <v>27</v>
      </c>
      <c r="BF220" s="71" t="s">
        <v>353</v>
      </c>
      <c r="BG220" s="72">
        <v>0</v>
      </c>
      <c r="BH220" s="73" t="str">
        <f>VLOOKUP(B220,'[2]Bang luong_06'!$B$9:$C$333,2,0)</f>
        <v>Thạch Thị Ngọc Linh</v>
      </c>
      <c r="BI220" s="74" t="s">
        <v>475</v>
      </c>
      <c r="BJ220" s="75" t="str">
        <f>VLOOKUP($B220,'[2]Bang luong_06'!$B$10:$C$333,2,0)</f>
        <v>Thạch Thị Ngọc Linh</v>
      </c>
      <c r="BK220" s="76" t="b">
        <f t="shared" si="189"/>
        <v>1</v>
      </c>
      <c r="BM220" s="77">
        <f>+VLOOKUP(B220,'[2]Thưởng Lễ 2-9'!B166:G455,6,0)</f>
        <v>0</v>
      </c>
      <c r="BN220" s="75">
        <f t="shared" si="190"/>
        <v>30</v>
      </c>
      <c r="BO220" s="76" t="str">
        <f>+VLOOKUP(B220,'[2]Bang luong_06'!B172:D486,3,0)</f>
        <v>CNSX</v>
      </c>
      <c r="BP220" s="76" t="s">
        <v>40</v>
      </c>
      <c r="BQ220" s="76">
        <v>10</v>
      </c>
      <c r="BR220" s="76">
        <f>COUNTIF(D220:AI220,"N")+COUNTIF(D220:AI220,"N1")*1/AK220+COUNTIF(D220:AI220,"N2")*2/AK220+COUNTIF(D220:AI220,"N3")*3/AK220+COUNTIF(D220:AI220,"N4")*4/AK220+COUNTIF(D220:AI220,"N5")*5/AK220+COUNTIF(D220:AI220,"N6")*6/AK220+COUNTIF(D220:AI220,"N7")*7/AK220+COUNTIF(D220:AI220,"N8")*8/AK220+COUNTIF(D220:AI220,"N9")*9/AK220+COUNTIF(D220:AI220,"N10")*10/AK220+COUNTIF(D220:AI220,"N11")*11/AK220+COUNTIF(D220:AI220,"N12")*12/AK220+COUNTIF(D220:AI220,"Ro1")*1/AK220+COUNTIF(D220:AI220,"Ro2")*2/AK220+COUNTIF(D220:AI220,"Ro3")*3/AK220+COUNTIF(D220:AI220,"Ro3.0")*3/AK220+COUNTIF(D220:AI220,"Ro4")*4/AK220+COUNTIF(D220:AI220,"Ro4.0")*4/AK220+COUNTIF(D220:AI220,"Ro4.5")*4.5/AK220+COUNTIF(D220:AI220,"Ro5")*5/AK220+COUNTIF(D220:AI220,"Ro5.0")*5/AK220+COUNTIF(D220:AI220,"Ro5.5")*5.5/AK220+COUNTIF(D220:AI220,"Ro6")*6/AK220+COUNTIF(D220:AI220,"Ro7")*7/AK220+COUNTIF(D220:AI220,"Ro8")*8/AK220+COUNTIF(D220:AI220,"Ro8.0")*8/AK220+COUNTIF(D220:AI220,"Ro8.3")*8.3/AK220+COUNTIF(D220:AI220,"Ro8.5")*8.5/AK220+COUNTIF(D220:AI220,"Ro9")*9/AK220+COUNTIF(D220:AI220,"Ro9.5")*9.5/AK220+COUNTIF(D220:AI220,"Ro10")*10/AK220+COUNTIF(D220:AI220,"Ro10.0")*10/AK220+COUNTIF(D220:AI220,"Ro10.5")*10.5/AK220+COUNTIF(D220:AI220,"Ro11")*11/AK220+COUNTIF(D220:AI220,"Ro11.0")*11/AK220+COUNTIF(D220:AI220,"Ro11.5")*11.5/AK220+COUNTIF(D220:AI220,"P2")*0.5</f>
        <v>5</v>
      </c>
    </row>
    <row r="221" spans="1:70" s="76" customFormat="1" ht="31.5" customHeight="1" x14ac:dyDescent="0.25">
      <c r="A221" s="33">
        <f t="shared" si="176"/>
        <v>197</v>
      </c>
      <c r="B221" s="130" t="s">
        <v>477</v>
      </c>
      <c r="C221" s="131" t="s">
        <v>478</v>
      </c>
      <c r="D221" s="132">
        <v>45565</v>
      </c>
      <c r="E221" s="57" t="s">
        <v>38</v>
      </c>
      <c r="F221" s="57" t="s">
        <v>38</v>
      </c>
      <c r="G221" s="57" t="s">
        <v>38</v>
      </c>
      <c r="H221" s="57" t="s">
        <v>38</v>
      </c>
      <c r="I221" s="57" t="s">
        <v>38</v>
      </c>
      <c r="J221" s="57"/>
      <c r="K221" s="57" t="s">
        <v>37</v>
      </c>
      <c r="L221" s="57" t="s">
        <v>37</v>
      </c>
      <c r="M221" s="57" t="s">
        <v>37</v>
      </c>
      <c r="N221" s="57" t="s">
        <v>37</v>
      </c>
      <c r="O221" s="57" t="s">
        <v>37</v>
      </c>
      <c r="P221" s="57" t="s">
        <v>37</v>
      </c>
      <c r="Q221" s="57" t="s">
        <v>507</v>
      </c>
      <c r="R221" s="57" t="s">
        <v>37</v>
      </c>
      <c r="S221" s="57" t="s">
        <v>37</v>
      </c>
      <c r="T221" s="57" t="s">
        <v>37</v>
      </c>
      <c r="U221" s="57" t="s">
        <v>37</v>
      </c>
      <c r="V221" s="57" t="s">
        <v>37</v>
      </c>
      <c r="W221" s="57" t="s">
        <v>37</v>
      </c>
      <c r="X221" s="57"/>
      <c r="Y221" s="57" t="s">
        <v>38</v>
      </c>
      <c r="Z221" s="57"/>
      <c r="AA221" s="57"/>
      <c r="AB221" s="57"/>
      <c r="AC221" s="57"/>
      <c r="AD221" s="57"/>
      <c r="AE221" s="57"/>
      <c r="AF221" s="57"/>
      <c r="AG221" s="103"/>
      <c r="AH221" s="103"/>
      <c r="AI221" s="103"/>
      <c r="AJ221" s="58">
        <v>10110515</v>
      </c>
      <c r="AK221" s="59">
        <v>12</v>
      </c>
      <c r="AL221" s="60">
        <f t="shared" si="177"/>
        <v>6</v>
      </c>
      <c r="AM221" s="61">
        <f t="shared" si="178"/>
        <v>12</v>
      </c>
      <c r="AN221" s="62">
        <f t="shared" si="179"/>
        <v>18</v>
      </c>
      <c r="AO221" s="62">
        <f t="shared" si="180"/>
        <v>0</v>
      </c>
      <c r="AP221" s="62">
        <f t="shared" si="181"/>
        <v>0</v>
      </c>
      <c r="AQ221" s="63">
        <f t="shared" si="182"/>
        <v>0</v>
      </c>
      <c r="AR221" s="62">
        <f t="shared" si="183"/>
        <v>0</v>
      </c>
      <c r="AS221" s="62">
        <f t="shared" si="184"/>
        <v>0</v>
      </c>
      <c r="AT221" s="64"/>
      <c r="AU221" s="64"/>
      <c r="AV221" s="65">
        <f t="shared" si="185"/>
        <v>0</v>
      </c>
      <c r="AW221" s="65">
        <f t="shared" si="186"/>
        <v>12</v>
      </c>
      <c r="AX221" s="64"/>
      <c r="AY221" s="64"/>
      <c r="AZ221" s="80"/>
      <c r="BA221" s="66">
        <f t="shared" si="187"/>
        <v>18</v>
      </c>
      <c r="BB221" s="67"/>
      <c r="BC221" s="99"/>
      <c r="BD221" s="69">
        <f>VLOOKUP($B221,[1]CN!$B$9:$DK$221,114,0)</f>
        <v>2</v>
      </c>
      <c r="BE221" s="70">
        <f t="shared" si="188"/>
        <v>27</v>
      </c>
      <c r="BF221" s="71" t="s">
        <v>353</v>
      </c>
      <c r="BG221" s="72">
        <v>0</v>
      </c>
      <c r="BH221" s="73" t="str">
        <f>VLOOKUP(B221,'[2]Bang luong_06'!$B$9:$C$333,2,0)</f>
        <v>Nguyễn Ngọc Lòng</v>
      </c>
      <c r="BI221" s="74" t="s">
        <v>471</v>
      </c>
      <c r="BJ221" s="75" t="str">
        <f>VLOOKUP($B221,'[2]Bang luong_06'!$B$10:$C$333,2,0)</f>
        <v>Nguyễn Ngọc Lòng</v>
      </c>
      <c r="BK221" s="76" t="b">
        <f t="shared" si="189"/>
        <v>1</v>
      </c>
      <c r="BM221" s="77" t="e">
        <f>+VLOOKUP(B221,'[2]Thưởng Lễ 2-9'!B175:G464,6,0)</f>
        <v>#N/A</v>
      </c>
      <c r="BN221" s="75">
        <f t="shared" si="190"/>
        <v>-1</v>
      </c>
      <c r="BO221" s="76" t="e">
        <f>+VLOOKUP(B221,'[2]Bang luong_06'!B177:D495,3,0)</f>
        <v>#N/A</v>
      </c>
      <c r="BP221" s="76" t="s">
        <v>40</v>
      </c>
      <c r="BQ221" s="76">
        <v>4</v>
      </c>
      <c r="BR221" s="76">
        <f t="shared" si="147"/>
        <v>6</v>
      </c>
    </row>
    <row r="222" spans="1:70" s="76" customFormat="1" ht="31.5" customHeight="1" x14ac:dyDescent="0.25">
      <c r="A222" s="33">
        <f t="shared" si="176"/>
        <v>198</v>
      </c>
      <c r="B222" s="78" t="s">
        <v>479</v>
      </c>
      <c r="C222" s="55" t="s">
        <v>480</v>
      </c>
      <c r="D222" s="79">
        <v>45782</v>
      </c>
      <c r="E222" s="57" t="s">
        <v>38</v>
      </c>
      <c r="F222" s="57" t="s">
        <v>38</v>
      </c>
      <c r="G222" s="57" t="s">
        <v>38</v>
      </c>
      <c r="H222" s="57" t="s">
        <v>38</v>
      </c>
      <c r="I222" s="57" t="s">
        <v>38</v>
      </c>
      <c r="J222" s="57"/>
      <c r="K222" s="57" t="s">
        <v>37</v>
      </c>
      <c r="L222" s="57" t="s">
        <v>37</v>
      </c>
      <c r="M222" s="57" t="s">
        <v>37</v>
      </c>
      <c r="N222" s="57" t="s">
        <v>37</v>
      </c>
      <c r="O222" s="57" t="s">
        <v>37</v>
      </c>
      <c r="P222" s="57" t="s">
        <v>37</v>
      </c>
      <c r="Q222" s="57" t="s">
        <v>507</v>
      </c>
      <c r="R222" s="57" t="s">
        <v>37</v>
      </c>
      <c r="S222" s="57" t="s">
        <v>37</v>
      </c>
      <c r="T222" s="57" t="s">
        <v>37</v>
      </c>
      <c r="U222" s="57" t="s">
        <v>37</v>
      </c>
      <c r="V222" s="57" t="s">
        <v>37</v>
      </c>
      <c r="W222" s="57" t="s">
        <v>37</v>
      </c>
      <c r="X222" s="103"/>
      <c r="Y222" s="103" t="s">
        <v>38</v>
      </c>
      <c r="Z222" s="57"/>
      <c r="AA222" s="57"/>
      <c r="AB222" s="57"/>
      <c r="AC222" s="57"/>
      <c r="AD222" s="57"/>
      <c r="AE222" s="57"/>
      <c r="AF222" s="57"/>
      <c r="AG222" s="103"/>
      <c r="AH222" s="103"/>
      <c r="AI222" s="103"/>
      <c r="AJ222" s="58">
        <v>10110524</v>
      </c>
      <c r="AK222" s="59">
        <v>12</v>
      </c>
      <c r="AL222" s="60">
        <f t="shared" si="177"/>
        <v>6</v>
      </c>
      <c r="AM222" s="61">
        <f t="shared" si="178"/>
        <v>12</v>
      </c>
      <c r="AN222" s="62">
        <f t="shared" si="179"/>
        <v>18</v>
      </c>
      <c r="AO222" s="62">
        <f t="shared" si="180"/>
        <v>0</v>
      </c>
      <c r="AP222" s="62">
        <f t="shared" si="181"/>
        <v>0</v>
      </c>
      <c r="AQ222" s="63">
        <f t="shared" si="182"/>
        <v>0</v>
      </c>
      <c r="AR222" s="62">
        <f t="shared" si="183"/>
        <v>0</v>
      </c>
      <c r="AS222" s="62">
        <f t="shared" si="184"/>
        <v>0</v>
      </c>
      <c r="AT222" s="64"/>
      <c r="AU222" s="64"/>
      <c r="AV222" s="65">
        <f t="shared" si="185"/>
        <v>0</v>
      </c>
      <c r="AW222" s="65">
        <f t="shared" si="186"/>
        <v>12</v>
      </c>
      <c r="AX222" s="64"/>
      <c r="AY222" s="64"/>
      <c r="AZ222" s="80"/>
      <c r="BA222" s="66">
        <f t="shared" si="187"/>
        <v>18</v>
      </c>
      <c r="BB222" s="67"/>
      <c r="BC222" s="99"/>
      <c r="BD222" s="69">
        <f>VLOOKUP($B222,[1]CN!$B$9:$DK$221,114,0)</f>
        <v>3</v>
      </c>
      <c r="BE222" s="70">
        <f t="shared" si="188"/>
        <v>27</v>
      </c>
      <c r="BF222" s="71" t="s">
        <v>353</v>
      </c>
      <c r="BG222" s="72" t="s">
        <v>34</v>
      </c>
      <c r="BH222" s="73" t="str">
        <f>VLOOKUP(B222,'[2]Bang luong_06'!$B$9:$C$333,2,0)</f>
        <v>Trương Tuấn Thanh</v>
      </c>
      <c r="BI222" s="74" t="s">
        <v>473</v>
      </c>
      <c r="BJ222" s="75" t="str">
        <f>VLOOKUP($B222,'[2]Bang luong_06'!$B$10:$C$333,2,0)</f>
        <v>Trương Tuấn Thanh</v>
      </c>
      <c r="BK222" s="76" t="b">
        <f t="shared" si="189"/>
        <v>1</v>
      </c>
      <c r="BM222" s="77" t="e">
        <f>+VLOOKUP(B222,'[2]Thưởng Lễ 2-9'!B177:G466,6,0)</f>
        <v>#N/A</v>
      </c>
      <c r="BN222" s="75">
        <f t="shared" si="190"/>
        <v>-8</v>
      </c>
      <c r="BO222" s="76" t="str">
        <f>+VLOOKUP(B222,'[2]Bang luong_06'!B177:D497,3,0)</f>
        <v>CNSX</v>
      </c>
      <c r="BP222" s="76" t="s">
        <v>40</v>
      </c>
      <c r="BQ222" s="76">
        <v>0</v>
      </c>
      <c r="BR222" s="76">
        <f t="shared" si="147"/>
        <v>6</v>
      </c>
    </row>
    <row r="223" spans="1:70" s="76" customFormat="1" ht="31.5" customHeight="1" x14ac:dyDescent="0.25">
      <c r="A223" s="33">
        <f t="shared" si="176"/>
        <v>199</v>
      </c>
      <c r="B223" s="130" t="s">
        <v>171</v>
      </c>
      <c r="C223" s="55" t="s">
        <v>481</v>
      </c>
      <c r="D223" s="134">
        <v>45780</v>
      </c>
      <c r="E223" s="57" t="s">
        <v>143</v>
      </c>
      <c r="F223" s="57" t="s">
        <v>143</v>
      </c>
      <c r="G223" s="57" t="s">
        <v>143</v>
      </c>
      <c r="H223" s="57" t="s">
        <v>143</v>
      </c>
      <c r="I223" s="57" t="s">
        <v>143</v>
      </c>
      <c r="J223" s="57"/>
      <c r="K223" s="57" t="s">
        <v>143</v>
      </c>
      <c r="L223" s="57" t="s">
        <v>143</v>
      </c>
      <c r="M223" s="57" t="s">
        <v>143</v>
      </c>
      <c r="N223" s="57" t="s">
        <v>143</v>
      </c>
      <c r="O223" s="57" t="s">
        <v>143</v>
      </c>
      <c r="P223" s="57" t="s">
        <v>143</v>
      </c>
      <c r="Q223" s="57"/>
      <c r="R223" s="57" t="s">
        <v>143</v>
      </c>
      <c r="S223" s="57" t="s">
        <v>143</v>
      </c>
      <c r="T223" s="57" t="s">
        <v>143</v>
      </c>
      <c r="U223" s="57" t="s">
        <v>143</v>
      </c>
      <c r="V223" s="57" t="s">
        <v>143</v>
      </c>
      <c r="W223" s="57" t="s">
        <v>143</v>
      </c>
      <c r="X223" s="57"/>
      <c r="Y223" s="57" t="s">
        <v>143</v>
      </c>
      <c r="Z223" s="57"/>
      <c r="AA223" s="57"/>
      <c r="AB223" s="57"/>
      <c r="AC223" s="57"/>
      <c r="AD223" s="57"/>
      <c r="AE223" s="57"/>
      <c r="AF223" s="57"/>
      <c r="AG223" s="103"/>
      <c r="AH223" s="103"/>
      <c r="AI223" s="103"/>
      <c r="AJ223" s="58">
        <v>10110524</v>
      </c>
      <c r="AK223" s="59">
        <v>12</v>
      </c>
      <c r="AL223" s="60">
        <f t="shared" si="177"/>
        <v>0</v>
      </c>
      <c r="AM223" s="61">
        <f t="shared" si="178"/>
        <v>0</v>
      </c>
      <c r="AN223" s="62">
        <f t="shared" si="179"/>
        <v>0</v>
      </c>
      <c r="AO223" s="62">
        <f t="shared" si="180"/>
        <v>0</v>
      </c>
      <c r="AP223" s="62">
        <f t="shared" si="181"/>
        <v>0</v>
      </c>
      <c r="AQ223" s="63">
        <f t="shared" si="182"/>
        <v>0</v>
      </c>
      <c r="AR223" s="62">
        <f t="shared" si="183"/>
        <v>0</v>
      </c>
      <c r="AS223" s="62">
        <f t="shared" si="184"/>
        <v>0</v>
      </c>
      <c r="AT223" s="64"/>
      <c r="AU223" s="64"/>
      <c r="AV223" s="65">
        <f t="shared" si="185"/>
        <v>0</v>
      </c>
      <c r="AW223" s="65">
        <f t="shared" si="186"/>
        <v>0</v>
      </c>
      <c r="AX223" s="64"/>
      <c r="AY223" s="64"/>
      <c r="AZ223" s="80"/>
      <c r="BA223" s="66">
        <f t="shared" si="187"/>
        <v>0</v>
      </c>
      <c r="BB223" s="67"/>
      <c r="BC223" s="99"/>
      <c r="BD223" s="69">
        <f>VLOOKUP($B223,[1]CN!$B$9:$DK$221,114,0)</f>
        <v>1</v>
      </c>
      <c r="BE223" s="70">
        <f t="shared" si="188"/>
        <v>27</v>
      </c>
      <c r="BF223" s="71" t="s">
        <v>353</v>
      </c>
      <c r="BG223" s="72" t="s">
        <v>34</v>
      </c>
      <c r="BH223" s="73" t="str">
        <f>VLOOKUP(B223,'[2]Bang luong_06'!$B$9:$C$333,2,0)</f>
        <v>Lý Minh Quý</v>
      </c>
      <c r="BI223" s="74" t="s">
        <v>482</v>
      </c>
      <c r="BJ223" s="75" t="str">
        <f>VLOOKUP($B223,'[2]Bang luong_06'!$B$10:$C$333,2,0)</f>
        <v>Lý Minh Quý</v>
      </c>
      <c r="BK223" s="76" t="b">
        <f t="shared" si="189"/>
        <v>1</v>
      </c>
      <c r="BM223" s="77">
        <f>+VLOOKUP(B223,'[2]Thưởng Lễ 2-9'!B176:G465,6,0)</f>
        <v>0</v>
      </c>
      <c r="BN223" s="75">
        <f t="shared" si="190"/>
        <v>-8</v>
      </c>
      <c r="BO223" s="76" t="str">
        <f>+VLOOKUP(B223,'[2]Bang luong_06'!B177:D496,3,0)</f>
        <v>CNSX</v>
      </c>
      <c r="BP223" s="76" t="s">
        <v>40</v>
      </c>
      <c r="BQ223" s="76">
        <v>-2</v>
      </c>
      <c r="BR223" s="76">
        <f t="shared" si="147"/>
        <v>0</v>
      </c>
    </row>
    <row r="224" spans="1:70" s="76" customFormat="1" ht="31.5" customHeight="1" x14ac:dyDescent="0.25">
      <c r="A224" s="33">
        <f t="shared" si="176"/>
        <v>200</v>
      </c>
      <c r="B224" s="78" t="s">
        <v>483</v>
      </c>
      <c r="C224" s="55" t="s">
        <v>484</v>
      </c>
      <c r="D224" s="79">
        <v>45355</v>
      </c>
      <c r="E224" s="86" t="s">
        <v>37</v>
      </c>
      <c r="F224" s="86" t="s">
        <v>107</v>
      </c>
      <c r="G224" s="135" t="s">
        <v>271</v>
      </c>
      <c r="H224" s="135" t="s">
        <v>271</v>
      </c>
      <c r="I224" s="135" t="s">
        <v>107</v>
      </c>
      <c r="J224" s="57" t="s">
        <v>506</v>
      </c>
      <c r="K224" s="135" t="s">
        <v>38</v>
      </c>
      <c r="L224" s="135" t="s">
        <v>38</v>
      </c>
      <c r="M224" s="57" t="s">
        <v>38</v>
      </c>
      <c r="N224" s="135" t="s">
        <v>38</v>
      </c>
      <c r="O224" s="135" t="s">
        <v>38</v>
      </c>
      <c r="P224" s="135" t="s">
        <v>38</v>
      </c>
      <c r="Q224" s="135"/>
      <c r="R224" s="135" t="s">
        <v>38</v>
      </c>
      <c r="S224" s="135" t="s">
        <v>38</v>
      </c>
      <c r="T224" s="57" t="s">
        <v>38</v>
      </c>
      <c r="U224" s="57" t="s">
        <v>38</v>
      </c>
      <c r="V224" s="135" t="s">
        <v>38</v>
      </c>
      <c r="W224" s="135" t="s">
        <v>38</v>
      </c>
      <c r="X224" s="135"/>
      <c r="Y224" s="135" t="s">
        <v>271</v>
      </c>
      <c r="Z224" s="57"/>
      <c r="AA224" s="57"/>
      <c r="AB224" s="57"/>
      <c r="AC224" s="57"/>
      <c r="AD224" s="57"/>
      <c r="AE224" s="57"/>
      <c r="AF224" s="57"/>
      <c r="AG224" s="103"/>
      <c r="AH224" s="103"/>
      <c r="AI224" s="103"/>
      <c r="AJ224" s="58">
        <v>10110504</v>
      </c>
      <c r="AK224" s="59">
        <v>12</v>
      </c>
      <c r="AL224" s="60">
        <f t="shared" si="177"/>
        <v>12</v>
      </c>
      <c r="AM224" s="61">
        <f t="shared" si="178"/>
        <v>1</v>
      </c>
      <c r="AN224" s="62">
        <f t="shared" si="179"/>
        <v>13</v>
      </c>
      <c r="AO224" s="62">
        <f t="shared" si="180"/>
        <v>2</v>
      </c>
      <c r="AP224" s="62">
        <f t="shared" si="181"/>
        <v>3</v>
      </c>
      <c r="AQ224" s="63">
        <f t="shared" si="182"/>
        <v>0</v>
      </c>
      <c r="AR224" s="62">
        <f t="shared" si="183"/>
        <v>0</v>
      </c>
      <c r="AS224" s="62">
        <f t="shared" si="184"/>
        <v>0</v>
      </c>
      <c r="AT224" s="64"/>
      <c r="AU224" s="64"/>
      <c r="AV224" s="65">
        <f t="shared" si="185"/>
        <v>12</v>
      </c>
      <c r="AW224" s="65">
        <f t="shared" si="186"/>
        <v>0</v>
      </c>
      <c r="AX224" s="64"/>
      <c r="AY224" s="64"/>
      <c r="AZ224" s="80"/>
      <c r="BA224" s="66">
        <f t="shared" si="187"/>
        <v>15</v>
      </c>
      <c r="BB224" s="67"/>
      <c r="BC224" s="68"/>
      <c r="BD224" s="69">
        <f>VLOOKUP($B224,[1]CN!$B$9:$DK$221,114,0)</f>
        <v>3</v>
      </c>
      <c r="BE224" s="70">
        <f t="shared" si="188"/>
        <v>27</v>
      </c>
      <c r="BF224" s="71" t="s">
        <v>353</v>
      </c>
      <c r="BH224" s="73" t="str">
        <f>VLOOKUP(B224,'[2]Bang luong_06'!$B$9:$C$333,2,0)</f>
        <v>Đặng Văn Tí</v>
      </c>
      <c r="BJ224" s="75" t="str">
        <f>VLOOKUP($B224,'[2]Bang luong_06'!$B$10:$C$333,2,0)</f>
        <v>Đặng Văn Tí</v>
      </c>
      <c r="BQ224" s="76">
        <v>4</v>
      </c>
      <c r="BR224" s="76">
        <f>COUNTIF(D224:AI224,"N")+COUNTIF(D224:AI224,"N1")*1/AK224+COUNTIF(D224:AI224,"N2")*2/AK224+COUNTIF(D224:AI224,"N3")*3/AK224+COUNTIF(D224:AI224,"N4")*4/AK224+COUNTIF(D224:AI224,"N5")*5/AK224+COUNTIF(D224:AI224,"N6")*6/AK224+COUNTIF(D224:AI224,"N7")*7/AK224+COUNTIF(D224:AI224,"N8")*8/AK224+COUNTIF(D224:AI224,"N9")*9/AK224+COUNTIF(D224:AI224,"N10")*10/AK224+COUNTIF(D224:AI224,"N11")*11/AK224+COUNTIF(D224:AI224,"N12")*12/AK224+COUNTIF(D224:AI224,"Ro1")*1/AK224+COUNTIF(D224:AI224,"Ro2")*2/AK224+COUNTIF(D224:AI224,"Ro3")*3/AK224+COUNTIF(D224:AI224,"Ro3.0")*3/AK224+COUNTIF(D224:AI224,"Ro4")*4/AK224+COUNTIF(D224:AI224,"Ro4.0")*4/AK224+COUNTIF(D224:AI224,"Ro4.5")*4.5/AK224+COUNTIF(D224:AI224,"Ro5")*5/AK224+COUNTIF(D224:AI224,"Ro5.0")*5/AK224+COUNTIF(D224:AI224,"Ro5.5")*5.5/AK224+COUNTIF(D224:AI224,"Ro6")*6/AK224+COUNTIF(D224:AI224,"Ro7")*7/AK224+COUNTIF(D224:AI224,"Ro8")*8/AK224+COUNTIF(D224:AI224,"Ro8.0")*8/AK224+COUNTIF(D224:AI224,"Ro8.3")*8.3/AK224+COUNTIF(D224:AI224,"Ro8.5")*8.5/AK224+COUNTIF(D224:AI224,"Ro9")*9/AK224+COUNTIF(D224:AI224,"Ro9.5")*9.5/AK224+COUNTIF(D224:AI224,"Ro10")*10/AK224+COUNTIF(D224:AI224,"Ro10.0")*10/AK224+COUNTIF(D224:AI224,"Ro10.5")*10.5/AK224+COUNTIF(D224:AI224,"Ro11")*11/AK224+COUNTIF(D224:AI224,"Ro11.0")*11/AK224+COUNTIF(D224:AI224,"Ro11.5")*11.5/AK224+COUNTIF(D224:AI224,"P2")*0.5</f>
        <v>12</v>
      </c>
    </row>
    <row r="225" spans="1:70" s="76" customFormat="1" ht="31.5" customHeight="1" x14ac:dyDescent="0.25">
      <c r="A225" s="33">
        <f t="shared" si="176"/>
        <v>201</v>
      </c>
      <c r="B225" s="115" t="s">
        <v>485</v>
      </c>
      <c r="C225" s="126" t="s">
        <v>486</v>
      </c>
      <c r="D225" s="127">
        <v>44607</v>
      </c>
      <c r="E225" s="86" t="s">
        <v>37</v>
      </c>
      <c r="F225" s="86" t="s">
        <v>37</v>
      </c>
      <c r="G225" s="135" t="s">
        <v>37</v>
      </c>
      <c r="H225" s="135" t="s">
        <v>37</v>
      </c>
      <c r="I225" s="135" t="s">
        <v>37</v>
      </c>
      <c r="J225" s="57"/>
      <c r="K225" s="135" t="s">
        <v>38</v>
      </c>
      <c r="L225" s="135" t="s">
        <v>38</v>
      </c>
      <c r="M225" s="57" t="s">
        <v>38</v>
      </c>
      <c r="N225" s="135" t="s">
        <v>38</v>
      </c>
      <c r="O225" s="135" t="s">
        <v>38</v>
      </c>
      <c r="P225" s="135" t="s">
        <v>38</v>
      </c>
      <c r="Q225" s="135" t="s">
        <v>506</v>
      </c>
      <c r="R225" s="135" t="s">
        <v>38</v>
      </c>
      <c r="S225" s="135" t="s">
        <v>38</v>
      </c>
      <c r="T225" s="57" t="s">
        <v>38</v>
      </c>
      <c r="U225" s="57" t="s">
        <v>38</v>
      </c>
      <c r="V225" s="135" t="s">
        <v>38</v>
      </c>
      <c r="W225" s="135" t="s">
        <v>38</v>
      </c>
      <c r="X225" s="135"/>
      <c r="Y225" s="135" t="s">
        <v>182</v>
      </c>
      <c r="Z225" s="57"/>
      <c r="AA225" s="57"/>
      <c r="AB225" s="57"/>
      <c r="AC225" s="57"/>
      <c r="AD225" s="57"/>
      <c r="AE225" s="57"/>
      <c r="AF225" s="57"/>
      <c r="AG225" s="85"/>
      <c r="AH225" s="85"/>
      <c r="AI225" s="58"/>
      <c r="AJ225" s="58">
        <v>10110524</v>
      </c>
      <c r="AK225" s="59">
        <v>12</v>
      </c>
      <c r="AL225" s="60">
        <f t="shared" si="177"/>
        <v>12</v>
      </c>
      <c r="AM225" s="61">
        <f t="shared" si="178"/>
        <v>5.916666666666667</v>
      </c>
      <c r="AN225" s="62">
        <f t="shared" si="179"/>
        <v>17.916666666666668</v>
      </c>
      <c r="AO225" s="62">
        <f t="shared" si="180"/>
        <v>0</v>
      </c>
      <c r="AP225" s="62">
        <f t="shared" si="181"/>
        <v>0</v>
      </c>
      <c r="AQ225" s="63">
        <f t="shared" si="182"/>
        <v>8.3333333333333329E-2</v>
      </c>
      <c r="AR225" s="62">
        <f t="shared" si="183"/>
        <v>0</v>
      </c>
      <c r="AS225" s="62">
        <f t="shared" si="184"/>
        <v>0</v>
      </c>
      <c r="AT225" s="64"/>
      <c r="AU225" s="64"/>
      <c r="AV225" s="65">
        <f t="shared" si="185"/>
        <v>12</v>
      </c>
      <c r="AW225" s="65">
        <f t="shared" si="186"/>
        <v>0</v>
      </c>
      <c r="AX225" s="64"/>
      <c r="AY225" s="64"/>
      <c r="AZ225" s="80"/>
      <c r="BA225" s="66">
        <f t="shared" si="187"/>
        <v>17.916666666666668</v>
      </c>
      <c r="BB225" s="67"/>
      <c r="BC225" s="68"/>
      <c r="BD225" s="69">
        <f>VLOOKUP($B225,[1]CN!$B$9:$DK$221,114,0)</f>
        <v>4</v>
      </c>
      <c r="BE225" s="70">
        <f t="shared" si="188"/>
        <v>27</v>
      </c>
      <c r="BF225" s="71" t="s">
        <v>353</v>
      </c>
      <c r="BH225" s="73" t="str">
        <f>VLOOKUP(B225,'[2]Bang luong_06'!$B$9:$C$333,2,0)</f>
        <v>Phạm Thị Ngân</v>
      </c>
      <c r="BJ225" s="75" t="str">
        <f>VLOOKUP($B225,'[2]Bang luong_06'!$B$10:$C$333,2,0)</f>
        <v>Phạm Thị Ngân</v>
      </c>
      <c r="BQ225" s="76">
        <v>4</v>
      </c>
      <c r="BR225" s="76">
        <f t="shared" si="147"/>
        <v>12</v>
      </c>
    </row>
    <row r="226" spans="1:70" s="76" customFormat="1" ht="31.5" customHeight="1" x14ac:dyDescent="0.25">
      <c r="A226" s="33">
        <f t="shared" si="176"/>
        <v>202</v>
      </c>
      <c r="B226" s="133" t="s">
        <v>487</v>
      </c>
      <c r="C226" s="136" t="s">
        <v>488</v>
      </c>
      <c r="D226" s="127">
        <v>43906</v>
      </c>
      <c r="E226" s="86" t="s">
        <v>37</v>
      </c>
      <c r="F226" s="86" t="s">
        <v>37</v>
      </c>
      <c r="G226" s="135" t="s">
        <v>37</v>
      </c>
      <c r="H226" s="135" t="s">
        <v>37</v>
      </c>
      <c r="I226" s="135" t="s">
        <v>37</v>
      </c>
      <c r="J226" s="57"/>
      <c r="K226" s="135" t="s">
        <v>38</v>
      </c>
      <c r="L226" s="135" t="s">
        <v>38</v>
      </c>
      <c r="M226" s="57" t="s">
        <v>38</v>
      </c>
      <c r="N226" s="135" t="s">
        <v>38</v>
      </c>
      <c r="O226" s="135" t="s">
        <v>38</v>
      </c>
      <c r="P226" s="135" t="s">
        <v>38</v>
      </c>
      <c r="Q226" s="135"/>
      <c r="R226" s="135" t="s">
        <v>38</v>
      </c>
      <c r="S226" s="135" t="s">
        <v>38</v>
      </c>
      <c r="T226" s="57" t="s">
        <v>38</v>
      </c>
      <c r="U226" s="57" t="s">
        <v>38</v>
      </c>
      <c r="V226" s="135" t="s">
        <v>38</v>
      </c>
      <c r="W226" s="135" t="s">
        <v>38</v>
      </c>
      <c r="X226" s="135"/>
      <c r="Y226" s="135" t="s">
        <v>37</v>
      </c>
      <c r="Z226" s="57"/>
      <c r="AA226" s="57"/>
      <c r="AB226" s="57"/>
      <c r="AC226" s="57"/>
      <c r="AD226" s="57"/>
      <c r="AE226" s="57"/>
      <c r="AF226" s="57"/>
      <c r="AG226" s="103"/>
      <c r="AH226" s="103"/>
      <c r="AI226" s="103"/>
      <c r="AJ226" s="58">
        <v>10110515</v>
      </c>
      <c r="AK226" s="59">
        <v>12</v>
      </c>
      <c r="AL226" s="60">
        <f t="shared" si="177"/>
        <v>12</v>
      </c>
      <c r="AM226" s="61">
        <f t="shared" si="178"/>
        <v>6</v>
      </c>
      <c r="AN226" s="62">
        <f t="shared" si="179"/>
        <v>18</v>
      </c>
      <c r="AO226" s="62">
        <f t="shared" si="180"/>
        <v>0</v>
      </c>
      <c r="AP226" s="62">
        <f t="shared" si="181"/>
        <v>0</v>
      </c>
      <c r="AQ226" s="63">
        <f t="shared" si="182"/>
        <v>0</v>
      </c>
      <c r="AR226" s="62">
        <f t="shared" si="183"/>
        <v>0</v>
      </c>
      <c r="AS226" s="62">
        <f t="shared" si="184"/>
        <v>0</v>
      </c>
      <c r="AT226" s="64"/>
      <c r="AU226" s="64"/>
      <c r="AV226" s="65">
        <f t="shared" si="185"/>
        <v>0</v>
      </c>
      <c r="AW226" s="65">
        <f t="shared" si="186"/>
        <v>0</v>
      </c>
      <c r="AX226" s="64"/>
      <c r="AY226" s="64"/>
      <c r="AZ226" s="80"/>
      <c r="BA226" s="66">
        <f t="shared" si="187"/>
        <v>18</v>
      </c>
      <c r="BB226" s="67"/>
      <c r="BC226" s="68"/>
      <c r="BD226" s="69">
        <f>VLOOKUP($B226,[1]CN!$B$9:$DK$221,114,0)</f>
        <v>3</v>
      </c>
      <c r="BE226" s="70">
        <f t="shared" si="188"/>
        <v>27</v>
      </c>
      <c r="BF226" s="71" t="s">
        <v>39</v>
      </c>
      <c r="BG226" s="72">
        <v>0</v>
      </c>
      <c r="BH226" s="73" t="str">
        <f>VLOOKUP(B226,'[2]Bang luong_06'!$B$9:$C$333,2,0)</f>
        <v>Trương Thái Hoàng Phong</v>
      </c>
      <c r="BI226" s="74" t="s">
        <v>351</v>
      </c>
      <c r="BJ226" s="75" t="str">
        <f>VLOOKUP($B226,'[2]Bang luong_06'!$B$10:$C$333,2,0)</f>
        <v>Trương Thái Hoàng Phong</v>
      </c>
      <c r="BK226" s="76" t="b">
        <f>BJ226=C226</f>
        <v>1</v>
      </c>
      <c r="BM226" s="77">
        <f>+VLOOKUP(B226,'[2]Thưởng Lễ 2-9'!B167:G455,6,0)</f>
        <v>0</v>
      </c>
      <c r="BN226" s="75">
        <f>ROUND(($BN$12-D226)/30,0)</f>
        <v>54</v>
      </c>
      <c r="BO226" s="76" t="str">
        <f>+VLOOKUP(B226,'[2]Bang luong_06'!B173:D486,3,0)</f>
        <v>CNSX</v>
      </c>
      <c r="BP226" s="76" t="s">
        <v>40</v>
      </c>
      <c r="BQ226" s="76">
        <v>1</v>
      </c>
      <c r="BR226" s="76">
        <f t="shared" si="147"/>
        <v>12</v>
      </c>
    </row>
    <row r="227" spans="1:70" s="76" customFormat="1" ht="31.5" customHeight="1" x14ac:dyDescent="0.25">
      <c r="A227" s="33">
        <f t="shared" si="176"/>
        <v>203</v>
      </c>
      <c r="B227" s="133" t="s">
        <v>489</v>
      </c>
      <c r="C227" s="126" t="s">
        <v>490</v>
      </c>
      <c r="D227" s="127">
        <v>45587</v>
      </c>
      <c r="E227" s="86" t="s">
        <v>37</v>
      </c>
      <c r="F227" s="86" t="s">
        <v>37</v>
      </c>
      <c r="G227" s="135" t="s">
        <v>37</v>
      </c>
      <c r="H227" s="135" t="s">
        <v>37</v>
      </c>
      <c r="I227" s="135" t="s">
        <v>37</v>
      </c>
      <c r="J227" s="57"/>
      <c r="K227" s="135" t="s">
        <v>38</v>
      </c>
      <c r="L227" s="135" t="s">
        <v>38</v>
      </c>
      <c r="M227" s="57" t="s">
        <v>38</v>
      </c>
      <c r="N227" s="135" t="s">
        <v>38</v>
      </c>
      <c r="O227" s="135" t="s">
        <v>38</v>
      </c>
      <c r="P227" s="135" t="s">
        <v>38</v>
      </c>
      <c r="Q227" s="135" t="s">
        <v>506</v>
      </c>
      <c r="R227" s="135" t="s">
        <v>107</v>
      </c>
      <c r="S227" s="135" t="s">
        <v>38</v>
      </c>
      <c r="T227" s="57" t="s">
        <v>38</v>
      </c>
      <c r="U227" s="57" t="s">
        <v>38</v>
      </c>
      <c r="V227" s="135" t="s">
        <v>38</v>
      </c>
      <c r="W227" s="135" t="s">
        <v>38</v>
      </c>
      <c r="X227" s="135"/>
      <c r="Y227" s="135" t="s">
        <v>37</v>
      </c>
      <c r="Z227" s="57"/>
      <c r="AA227" s="57"/>
      <c r="AB227" s="57"/>
      <c r="AC227" s="57"/>
      <c r="AD227" s="57"/>
      <c r="AE227" s="57"/>
      <c r="AF227" s="57"/>
      <c r="AG227" s="103"/>
      <c r="AH227" s="57"/>
      <c r="AI227" s="103"/>
      <c r="AJ227" s="58">
        <v>10110517</v>
      </c>
      <c r="AK227" s="59">
        <v>12</v>
      </c>
      <c r="AL227" s="60">
        <f t="shared" si="177"/>
        <v>11</v>
      </c>
      <c r="AM227" s="61">
        <f t="shared" si="178"/>
        <v>6</v>
      </c>
      <c r="AN227" s="62">
        <f t="shared" si="179"/>
        <v>17</v>
      </c>
      <c r="AO227" s="62">
        <f t="shared" si="180"/>
        <v>1</v>
      </c>
      <c r="AP227" s="62">
        <f t="shared" si="181"/>
        <v>0</v>
      </c>
      <c r="AQ227" s="63">
        <f t="shared" si="182"/>
        <v>0</v>
      </c>
      <c r="AR227" s="62">
        <f t="shared" si="183"/>
        <v>0</v>
      </c>
      <c r="AS227" s="62">
        <f t="shared" si="184"/>
        <v>0</v>
      </c>
      <c r="AT227" s="64"/>
      <c r="AU227" s="64"/>
      <c r="AV227" s="65">
        <f t="shared" si="185"/>
        <v>12</v>
      </c>
      <c r="AW227" s="65">
        <f t="shared" si="186"/>
        <v>0</v>
      </c>
      <c r="AX227" s="64"/>
      <c r="AY227" s="64"/>
      <c r="AZ227" s="80"/>
      <c r="BA227" s="66">
        <f t="shared" si="187"/>
        <v>18</v>
      </c>
      <c r="BB227" s="67"/>
      <c r="BC227" s="68"/>
      <c r="BD227" s="69">
        <f>VLOOKUP($B227,[1]CN!$B$9:$DK$221,114,0)</f>
        <v>0</v>
      </c>
      <c r="BE227" s="70">
        <f t="shared" si="188"/>
        <v>27</v>
      </c>
      <c r="BF227" s="71" t="s">
        <v>353</v>
      </c>
      <c r="BG227" s="72" t="s">
        <v>34</v>
      </c>
      <c r="BH227" s="73" t="str">
        <f>VLOOKUP(B227,'[2]Bang luong_06'!$B$9:$C$333,2,0)</f>
        <v>Lâm Giang Tồng</v>
      </c>
      <c r="BI227" s="74" t="s">
        <v>483</v>
      </c>
      <c r="BJ227" s="75" t="str">
        <f>VLOOKUP($B227,'[2]Bang luong_06'!$B$10:$C$333,2,0)</f>
        <v>Lâm Giang Tồng</v>
      </c>
      <c r="BK227" s="76" t="b">
        <f>BJ227=C227</f>
        <v>1</v>
      </c>
      <c r="BM227" s="77" t="e">
        <f>+VLOOKUP(B227,'[2]Thưởng Lễ 2-9'!B172:G461,6,0)</f>
        <v>#N/A</v>
      </c>
      <c r="BN227" s="75">
        <f>ROUND(($BN$12-D227)/30,0)</f>
        <v>-2</v>
      </c>
      <c r="BO227" s="76" t="str">
        <f>+VLOOKUP(B227,'[2]Bang luong_06'!B177:D492,3,0)</f>
        <v>CNSX</v>
      </c>
      <c r="BP227" s="76" t="s">
        <v>40</v>
      </c>
      <c r="BQ227" s="76">
        <v>-1.5</v>
      </c>
      <c r="BR227" s="76">
        <f t="shared" si="147"/>
        <v>11</v>
      </c>
    </row>
    <row r="228" spans="1:70" s="76" customFormat="1" ht="31.5" customHeight="1" x14ac:dyDescent="0.25">
      <c r="A228" s="33">
        <f t="shared" si="176"/>
        <v>204</v>
      </c>
      <c r="B228" s="105" t="s">
        <v>491</v>
      </c>
      <c r="C228" s="106" t="s">
        <v>492</v>
      </c>
      <c r="D228" s="107">
        <v>45701</v>
      </c>
      <c r="E228" s="86" t="s">
        <v>37</v>
      </c>
      <c r="F228" s="86" t="s">
        <v>37</v>
      </c>
      <c r="G228" s="135" t="s">
        <v>37</v>
      </c>
      <c r="H228" s="135" t="s">
        <v>37</v>
      </c>
      <c r="I228" s="135" t="s">
        <v>37</v>
      </c>
      <c r="J228" s="57"/>
      <c r="K228" s="135" t="s">
        <v>38</v>
      </c>
      <c r="L228" s="135" t="s">
        <v>38</v>
      </c>
      <c r="M228" s="57" t="s">
        <v>38</v>
      </c>
      <c r="N228" s="135" t="s">
        <v>38</v>
      </c>
      <c r="O228" s="135" t="s">
        <v>38</v>
      </c>
      <c r="P228" s="135" t="s">
        <v>38</v>
      </c>
      <c r="Q228" s="135" t="s">
        <v>506</v>
      </c>
      <c r="R228" s="135" t="s">
        <v>38</v>
      </c>
      <c r="S228" s="135" t="s">
        <v>38</v>
      </c>
      <c r="T228" s="57" t="s">
        <v>38</v>
      </c>
      <c r="U228" s="57" t="s">
        <v>38</v>
      </c>
      <c r="V228" s="135" t="s">
        <v>38</v>
      </c>
      <c r="W228" s="135" t="s">
        <v>38</v>
      </c>
      <c r="X228" s="135"/>
      <c r="Y228" s="135" t="s">
        <v>271</v>
      </c>
      <c r="Z228" s="57"/>
      <c r="AA228" s="57"/>
      <c r="AB228" s="57"/>
      <c r="AC228" s="57"/>
      <c r="AD228" s="57"/>
      <c r="AE228" s="57"/>
      <c r="AF228" s="57"/>
      <c r="AG228" s="103"/>
      <c r="AH228" s="103"/>
      <c r="AI228" s="103"/>
      <c r="AJ228" s="58">
        <v>10110507</v>
      </c>
      <c r="AK228" s="59">
        <v>12</v>
      </c>
      <c r="AL228" s="60">
        <f t="shared" si="177"/>
        <v>12</v>
      </c>
      <c r="AM228" s="61">
        <f t="shared" si="178"/>
        <v>5</v>
      </c>
      <c r="AN228" s="62">
        <f t="shared" si="179"/>
        <v>17</v>
      </c>
      <c r="AO228" s="62">
        <f t="shared" si="180"/>
        <v>0</v>
      </c>
      <c r="AP228" s="62">
        <f t="shared" si="181"/>
        <v>1</v>
      </c>
      <c r="AQ228" s="63">
        <f t="shared" si="182"/>
        <v>0</v>
      </c>
      <c r="AR228" s="62">
        <f t="shared" si="183"/>
        <v>0</v>
      </c>
      <c r="AS228" s="62">
        <f t="shared" si="184"/>
        <v>0</v>
      </c>
      <c r="AT228" s="64"/>
      <c r="AU228" s="64"/>
      <c r="AV228" s="65">
        <f t="shared" si="185"/>
        <v>12</v>
      </c>
      <c r="AW228" s="65">
        <f t="shared" si="186"/>
        <v>0</v>
      </c>
      <c r="AX228" s="64"/>
      <c r="AY228" s="64"/>
      <c r="AZ228" s="80"/>
      <c r="BA228" s="66">
        <f t="shared" si="187"/>
        <v>17</v>
      </c>
      <c r="BB228" s="67"/>
      <c r="BC228" s="68"/>
      <c r="BD228" s="69">
        <f>VLOOKUP($B228,[1]CN!$B$9:$DK$221,114,0)</f>
        <v>4</v>
      </c>
      <c r="BE228" s="70">
        <f t="shared" si="188"/>
        <v>27</v>
      </c>
      <c r="BF228" s="71" t="s">
        <v>353</v>
      </c>
      <c r="BG228" s="72" t="s">
        <v>34</v>
      </c>
      <c r="BH228" s="73" t="str">
        <f>VLOOKUP(B228,'[2]Bang luong_06'!$B$9:$C$333,2,0)</f>
        <v>Cao Lâm Trung</v>
      </c>
      <c r="BI228" s="74" t="s">
        <v>487</v>
      </c>
      <c r="BJ228" s="75" t="str">
        <f>VLOOKUP($B228,'[2]Bang luong_06'!$B$10:$C$333,2,0)</f>
        <v>Cao Lâm Trung</v>
      </c>
      <c r="BK228" s="76" t="b">
        <f>BJ228=C228</f>
        <v>1</v>
      </c>
      <c r="BM228" s="77" t="e">
        <f>+VLOOKUP(B228,'[2]Thưởng Lễ 2-9'!B168:G457,6,0)</f>
        <v>#N/A</v>
      </c>
      <c r="BN228" s="75">
        <f>ROUND(($BN$12-D228)/30,0)</f>
        <v>-6</v>
      </c>
      <c r="BO228" s="76" t="str">
        <f>+VLOOKUP(B228,'[2]Bang luong_06'!B175:D488,3,0)</f>
        <v>CNSX</v>
      </c>
      <c r="BP228" s="76" t="s">
        <v>40</v>
      </c>
      <c r="BQ228" s="76">
        <v>3</v>
      </c>
      <c r="BR228" s="76">
        <f t="shared" si="147"/>
        <v>12</v>
      </c>
    </row>
    <row r="229" spans="1:70" s="76" customFormat="1" ht="31.5" customHeight="1" x14ac:dyDescent="0.25">
      <c r="A229" s="33">
        <f t="shared" si="176"/>
        <v>205</v>
      </c>
      <c r="B229" s="133" t="s">
        <v>493</v>
      </c>
      <c r="C229" s="137" t="s">
        <v>494</v>
      </c>
      <c r="D229" s="138">
        <v>44606</v>
      </c>
      <c r="E229" s="86" t="s">
        <v>37</v>
      </c>
      <c r="F229" s="86" t="s">
        <v>37</v>
      </c>
      <c r="G229" s="135" t="s">
        <v>37</v>
      </c>
      <c r="H229" s="135" t="s">
        <v>37</v>
      </c>
      <c r="I229" s="135" t="s">
        <v>37</v>
      </c>
      <c r="J229" s="57"/>
      <c r="K229" s="135" t="s">
        <v>38</v>
      </c>
      <c r="L229" s="135" t="s">
        <v>38</v>
      </c>
      <c r="M229" s="57" t="s">
        <v>38</v>
      </c>
      <c r="N229" s="135" t="s">
        <v>38</v>
      </c>
      <c r="O229" s="135" t="s">
        <v>38</v>
      </c>
      <c r="P229" s="135" t="s">
        <v>38</v>
      </c>
      <c r="Q229" s="135" t="s">
        <v>506</v>
      </c>
      <c r="R229" s="135" t="s">
        <v>38</v>
      </c>
      <c r="S229" s="135" t="s">
        <v>38</v>
      </c>
      <c r="T229" s="57" t="s">
        <v>38</v>
      </c>
      <c r="U229" s="57" t="s">
        <v>38</v>
      </c>
      <c r="V229" s="135" t="s">
        <v>38</v>
      </c>
      <c r="W229" s="135" t="s">
        <v>38</v>
      </c>
      <c r="X229" s="135"/>
      <c r="Y229" s="135" t="s">
        <v>37</v>
      </c>
      <c r="Z229" s="57"/>
      <c r="AA229" s="57"/>
      <c r="AB229" s="57"/>
      <c r="AC229" s="57"/>
      <c r="AD229" s="57"/>
      <c r="AE229" s="57"/>
      <c r="AF229" s="57"/>
      <c r="AG229" s="85"/>
      <c r="AH229" s="85"/>
      <c r="AI229" s="58"/>
      <c r="AJ229" s="58">
        <v>10110515</v>
      </c>
      <c r="AK229" s="59">
        <v>12</v>
      </c>
      <c r="AL229" s="60">
        <f t="shared" si="177"/>
        <v>12</v>
      </c>
      <c r="AM229" s="61">
        <f t="shared" si="178"/>
        <v>6</v>
      </c>
      <c r="AN229" s="62">
        <f t="shared" si="179"/>
        <v>18</v>
      </c>
      <c r="AO229" s="62">
        <f t="shared" si="180"/>
        <v>0</v>
      </c>
      <c r="AP229" s="62">
        <f t="shared" si="181"/>
        <v>0</v>
      </c>
      <c r="AQ229" s="63">
        <f t="shared" si="182"/>
        <v>0</v>
      </c>
      <c r="AR229" s="62">
        <f t="shared" si="183"/>
        <v>0</v>
      </c>
      <c r="AS229" s="62">
        <f t="shared" si="184"/>
        <v>0</v>
      </c>
      <c r="AT229" s="64"/>
      <c r="AU229" s="64"/>
      <c r="AV229" s="65">
        <f t="shared" si="185"/>
        <v>12</v>
      </c>
      <c r="AW229" s="65">
        <f t="shared" si="186"/>
        <v>0</v>
      </c>
      <c r="AX229" s="64"/>
      <c r="AY229" s="64"/>
      <c r="AZ229" s="80"/>
      <c r="BA229" s="66">
        <f t="shared" si="187"/>
        <v>18</v>
      </c>
      <c r="BB229" s="67"/>
      <c r="BC229" s="68"/>
      <c r="BD229" s="69">
        <f>VLOOKUP($B229,[1]CN!$B$9:$DK$221,114,0)</f>
        <v>4</v>
      </c>
      <c r="BE229" s="70">
        <f t="shared" si="188"/>
        <v>27</v>
      </c>
      <c r="BF229" s="71" t="s">
        <v>353</v>
      </c>
      <c r="BG229" s="116" t="s">
        <v>34</v>
      </c>
      <c r="BH229" s="73" t="str">
        <f>VLOOKUP(B229,'[2]Bang luong_06'!$B$9:$C$333,2,0)</f>
        <v>Tô Kim Hồng</v>
      </c>
      <c r="BI229" s="117"/>
      <c r="BJ229" s="75" t="str">
        <f>VLOOKUP($B229,'[2]Bang luong_06'!$B$10:$C$333,2,0)</f>
        <v>Tô Kim Hồng</v>
      </c>
      <c r="BK229" s="118" t="b">
        <f>BJ229=C229</f>
        <v>1</v>
      </c>
      <c r="BL229" s="118"/>
      <c r="BM229" s="77">
        <f>+VLOOKUP(B229,'[2]Thưởng Lễ 2-9'!B86:G376,6,0)</f>
        <v>0</v>
      </c>
      <c r="BN229" s="75">
        <f>ROUND(($BN$12-D229)/30,0)</f>
        <v>31</v>
      </c>
      <c r="BO229" s="76" t="str">
        <f>+VLOOKUP(B229,'[2]Bang luong_06'!B97:D408,3,0)</f>
        <v>CNSX</v>
      </c>
      <c r="BP229" s="76" t="s">
        <v>40</v>
      </c>
      <c r="BQ229" s="76">
        <v>0</v>
      </c>
      <c r="BR229" s="76">
        <f t="shared" si="147"/>
        <v>12</v>
      </c>
    </row>
    <row r="230" spans="1:70" s="76" customFormat="1" ht="31.5" customHeight="1" x14ac:dyDescent="0.25">
      <c r="A230" s="33">
        <f t="shared" si="176"/>
        <v>206</v>
      </c>
      <c r="B230" s="33" t="s">
        <v>495</v>
      </c>
      <c r="C230" s="55" t="s">
        <v>496</v>
      </c>
      <c r="D230" s="56">
        <v>45828</v>
      </c>
      <c r="E230" s="86" t="s">
        <v>37</v>
      </c>
      <c r="F230" s="86" t="s">
        <v>37</v>
      </c>
      <c r="G230" s="103" t="s">
        <v>37</v>
      </c>
      <c r="H230" s="103" t="s">
        <v>37</v>
      </c>
      <c r="I230" s="103" t="s">
        <v>37</v>
      </c>
      <c r="J230" s="57"/>
      <c r="K230" s="103" t="s">
        <v>38</v>
      </c>
      <c r="L230" s="103" t="s">
        <v>38</v>
      </c>
      <c r="M230" s="103" t="s">
        <v>38</v>
      </c>
      <c r="N230" s="103" t="s">
        <v>38</v>
      </c>
      <c r="O230" s="57" t="s">
        <v>38</v>
      </c>
      <c r="P230" s="103" t="s">
        <v>38</v>
      </c>
      <c r="Q230" s="103" t="s">
        <v>506</v>
      </c>
      <c r="R230" s="103" t="s">
        <v>38</v>
      </c>
      <c r="S230" s="103" t="s">
        <v>38</v>
      </c>
      <c r="T230" s="103" t="s">
        <v>38</v>
      </c>
      <c r="U230" s="103" t="s">
        <v>38</v>
      </c>
      <c r="V230" s="103" t="s">
        <v>38</v>
      </c>
      <c r="W230" s="103" t="s">
        <v>38</v>
      </c>
      <c r="X230" s="103"/>
      <c r="Y230" s="103" t="s">
        <v>271</v>
      </c>
      <c r="Z230" s="57"/>
      <c r="AA230" s="57"/>
      <c r="AB230" s="57"/>
      <c r="AC230" s="57"/>
      <c r="AD230" s="57"/>
      <c r="AE230" s="57"/>
      <c r="AF230" s="57"/>
      <c r="AG230" s="103"/>
      <c r="AH230" s="103"/>
      <c r="AI230" s="103"/>
      <c r="AJ230" s="58">
        <v>10110505</v>
      </c>
      <c r="AK230" s="59">
        <v>12</v>
      </c>
      <c r="AL230" s="60">
        <f t="shared" si="177"/>
        <v>12</v>
      </c>
      <c r="AM230" s="61">
        <f t="shared" si="178"/>
        <v>5</v>
      </c>
      <c r="AN230" s="62">
        <f t="shared" si="179"/>
        <v>17</v>
      </c>
      <c r="AO230" s="62">
        <f t="shared" si="180"/>
        <v>0</v>
      </c>
      <c r="AP230" s="62">
        <f t="shared" si="181"/>
        <v>1</v>
      </c>
      <c r="AQ230" s="63">
        <f t="shared" si="182"/>
        <v>0</v>
      </c>
      <c r="AR230" s="62">
        <f t="shared" si="183"/>
        <v>0</v>
      </c>
      <c r="AS230" s="62">
        <f t="shared" si="184"/>
        <v>0</v>
      </c>
      <c r="AT230" s="64"/>
      <c r="AU230" s="64"/>
      <c r="AV230" s="65">
        <f t="shared" si="185"/>
        <v>12</v>
      </c>
      <c r="AW230" s="65">
        <f t="shared" si="186"/>
        <v>0</v>
      </c>
      <c r="AX230" s="64"/>
      <c r="AY230" s="64"/>
      <c r="AZ230" s="80"/>
      <c r="BA230" s="66">
        <f t="shared" si="187"/>
        <v>17</v>
      </c>
      <c r="BB230" s="67"/>
      <c r="BC230" s="68"/>
      <c r="BD230" s="69">
        <f>VLOOKUP($B230,[1]CN!$B$9:$DK$221,114,0)</f>
        <v>3</v>
      </c>
      <c r="BE230" s="70">
        <f t="shared" si="188"/>
        <v>27</v>
      </c>
      <c r="BF230" s="71" t="s">
        <v>92</v>
      </c>
      <c r="BG230" s="72">
        <v>0</v>
      </c>
      <c r="BH230" s="73" t="str">
        <f>VLOOKUP(B230,'[2]Bang luong_06'!$B$9:$C$333,2,0)</f>
        <v>Nguyễn Văn Sơn</v>
      </c>
      <c r="BI230" s="74" t="s">
        <v>497</v>
      </c>
      <c r="BJ230" s="75" t="str">
        <f>VLOOKUP($B230,'[2]Bang luong_06'!$B$10:$C$333,2,0)</f>
        <v>Nguyễn Văn Sơn</v>
      </c>
      <c r="BK230" s="76" t="b">
        <f>BJ230=C230</f>
        <v>1</v>
      </c>
      <c r="BM230" s="77" t="e">
        <f>+VLOOKUP(B230,'[2]Thưởng Lễ 2-9'!B136:G424,6,0)</f>
        <v>#N/A</v>
      </c>
      <c r="BN230" s="75">
        <f>ROUND(($BN$12-D230)/30,0)</f>
        <v>-10</v>
      </c>
      <c r="BO230" s="76" t="str">
        <f>+VLOOKUP(B230,'[2]Bang luong_06'!B144:D455,3,0)</f>
        <v>CNSX</v>
      </c>
      <c r="BP230" s="76" t="s">
        <v>40</v>
      </c>
      <c r="BQ230" s="76">
        <v>7</v>
      </c>
      <c r="BR230" s="76">
        <f t="shared" si="147"/>
        <v>12</v>
      </c>
    </row>
    <row r="231" spans="1:70" s="143" customFormat="1" ht="39" customHeight="1" x14ac:dyDescent="0.25">
      <c r="A231" s="33"/>
      <c r="B231" s="139">
        <f>SUBTOTAL(3,B12:B230)</f>
        <v>206</v>
      </c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40">
        <f t="shared" ref="AK231:BE231" si="191">SUBTOTAL(9,AK12:AK230)</f>
        <v>2446</v>
      </c>
      <c r="AL231" s="140">
        <f t="shared" si="191"/>
        <v>2196.3333333333335</v>
      </c>
      <c r="AM231" s="140">
        <f t="shared" si="191"/>
        <v>1226.3333333333333</v>
      </c>
      <c r="AN231" s="140">
        <f t="shared" si="191"/>
        <v>3422.6666666666665</v>
      </c>
      <c r="AO231" s="140">
        <f t="shared" si="191"/>
        <v>58</v>
      </c>
      <c r="AP231" s="140">
        <f t="shared" si="191"/>
        <v>13</v>
      </c>
      <c r="AQ231" s="140">
        <f t="shared" si="191"/>
        <v>14.333333333333336</v>
      </c>
      <c r="AR231" s="140">
        <f t="shared" si="191"/>
        <v>0</v>
      </c>
      <c r="AS231" s="140">
        <f t="shared" si="191"/>
        <v>0</v>
      </c>
      <c r="AT231" s="140">
        <f t="shared" si="191"/>
        <v>340</v>
      </c>
      <c r="AU231" s="140">
        <f t="shared" si="191"/>
        <v>0</v>
      </c>
      <c r="AV231" s="140">
        <f t="shared" si="191"/>
        <v>1452</v>
      </c>
      <c r="AW231" s="140">
        <f t="shared" si="191"/>
        <v>696</v>
      </c>
      <c r="AX231" s="140">
        <f t="shared" si="191"/>
        <v>0</v>
      </c>
      <c r="AY231" s="140">
        <f t="shared" si="191"/>
        <v>0</v>
      </c>
      <c r="AZ231" s="140">
        <f t="shared" si="191"/>
        <v>0</v>
      </c>
      <c r="BA231" s="140">
        <f t="shared" si="191"/>
        <v>3480.6666666666661</v>
      </c>
      <c r="BB231" s="140">
        <f t="shared" si="191"/>
        <v>0</v>
      </c>
      <c r="BC231" s="140">
        <f t="shared" si="191"/>
        <v>0</v>
      </c>
      <c r="BD231" s="140" t="e">
        <f t="shared" si="191"/>
        <v>#N/A</v>
      </c>
      <c r="BE231" s="140">
        <f t="shared" si="191"/>
        <v>5562</v>
      </c>
      <c r="BF231" s="141"/>
      <c r="BG231" s="142"/>
    </row>
    <row r="232" spans="1:70" s="147" customFormat="1" ht="14.25" customHeight="1" x14ac:dyDescent="0.25">
      <c r="A232" s="144"/>
      <c r="B232" s="144"/>
      <c r="C232" s="145"/>
      <c r="D232" s="27"/>
      <c r="E232" s="27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K232" s="148"/>
      <c r="AL232" s="149"/>
      <c r="AM232" s="149">
        <f>AM231+'[2]Cong VP_1'!AL115</f>
        <v>1226.3333333333333</v>
      </c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50"/>
      <c r="BG232" s="38"/>
      <c r="BH232" s="149"/>
      <c r="BI232" s="149"/>
      <c r="BJ232" s="151"/>
    </row>
    <row r="233" spans="1:70" s="147" customFormat="1" ht="15" x14ac:dyDescent="0.25">
      <c r="A233" s="144"/>
      <c r="B233" s="152"/>
      <c r="C233" s="27"/>
      <c r="D233" s="27"/>
      <c r="E233" s="27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K233" s="148"/>
      <c r="AL233" s="153"/>
      <c r="AN233" s="154"/>
      <c r="BF233" s="150"/>
      <c r="BG233" s="38"/>
      <c r="BJ233" s="151"/>
    </row>
    <row r="234" spans="1:70" ht="15" customHeight="1" x14ac:dyDescent="0.25">
      <c r="A234" s="155" t="e">
        <f>+#REF!+'[2]Cong VP_1'!#REF!</f>
        <v>#REF!</v>
      </c>
      <c r="B234" s="156"/>
      <c r="C234" s="157" t="str">
        <f>" TP. HCM,"&amp;" Ngày "&amp;DAY(AH8)&amp;"/"&amp;MONTH(AH8)&amp;"/"&amp;YEAR(AH8)</f>
        <v xml:space="preserve"> TP. HCM, Ngày 24/6/2026</v>
      </c>
      <c r="D234" s="158"/>
      <c r="F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J234" s="159"/>
      <c r="AK234" s="159"/>
      <c r="AL234" s="159"/>
      <c r="AM234" s="159"/>
      <c r="AN234" s="160"/>
      <c r="AO234" s="160"/>
      <c r="AP234" s="160"/>
      <c r="AQ234" s="160"/>
      <c r="AR234" s="160"/>
      <c r="AS234" s="160"/>
      <c r="AT234" s="160"/>
      <c r="AU234" s="160"/>
      <c r="AV234" s="160"/>
      <c r="AW234" s="160"/>
      <c r="AX234" s="160"/>
      <c r="AY234" s="160"/>
      <c r="AZ234" s="160"/>
      <c r="BA234" s="160"/>
      <c r="BB234" s="27"/>
      <c r="BC234" s="27"/>
      <c r="BD234" s="27"/>
      <c r="BE234" s="27"/>
      <c r="BF234" s="150"/>
      <c r="BG234" s="27"/>
    </row>
    <row r="235" spans="1:70" s="163" customFormat="1" ht="26.25" customHeight="1" x14ac:dyDescent="0.25">
      <c r="A235" s="239" t="s">
        <v>498</v>
      </c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162" t="s">
        <v>499</v>
      </c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  <c r="AK235" s="162" t="s">
        <v>500</v>
      </c>
      <c r="AL235" s="162"/>
      <c r="AM235" s="162"/>
      <c r="AN235" s="162"/>
      <c r="AO235" s="162"/>
      <c r="AP235" s="162"/>
      <c r="AQ235" s="162"/>
      <c r="AR235" s="162"/>
      <c r="AS235" s="162"/>
      <c r="AT235" s="162"/>
      <c r="AU235" s="162"/>
      <c r="AV235" s="162"/>
      <c r="AW235" s="162"/>
      <c r="AX235" s="162"/>
      <c r="AY235" s="162"/>
      <c r="AZ235" s="162"/>
      <c r="BA235" s="162"/>
    </row>
    <row r="236" spans="1:70" s="163" customFormat="1" ht="18.75" hidden="1" x14ac:dyDescent="0.25">
      <c r="A236" s="164"/>
      <c r="B236" s="164"/>
      <c r="C236" s="161"/>
      <c r="D236" s="165"/>
      <c r="E236" s="166"/>
      <c r="F236" s="166"/>
      <c r="G236" s="166"/>
      <c r="H236" s="166"/>
      <c r="I236" s="166"/>
      <c r="J236" s="166"/>
      <c r="K236" s="162"/>
      <c r="L236" s="162"/>
      <c r="N236" s="162"/>
      <c r="O236" s="162"/>
      <c r="P236" s="162"/>
      <c r="Q236" s="162"/>
      <c r="R236" s="162"/>
      <c r="S236" s="162"/>
      <c r="T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6"/>
      <c r="AJ236" s="167"/>
      <c r="AK236" s="167"/>
      <c r="AL236" s="167"/>
      <c r="AM236" s="167"/>
      <c r="AN236" s="168"/>
      <c r="AO236" s="168"/>
      <c r="AP236" s="168"/>
      <c r="AQ236" s="162"/>
      <c r="AR236" s="162"/>
      <c r="AS236" s="162"/>
      <c r="AT236" s="162"/>
      <c r="AU236" s="162"/>
      <c r="AV236" s="162"/>
      <c r="AW236" s="168"/>
      <c r="AX236" s="168"/>
      <c r="AY236" s="168"/>
      <c r="AZ236" s="168"/>
      <c r="BA236" s="169"/>
    </row>
    <row r="237" spans="1:70" s="163" customFormat="1" ht="18.75" hidden="1" x14ac:dyDescent="0.25">
      <c r="A237" s="164"/>
      <c r="B237" s="164"/>
      <c r="C237" s="161"/>
      <c r="D237" s="165"/>
      <c r="E237" s="166"/>
      <c r="F237" s="166"/>
      <c r="G237" s="166"/>
      <c r="H237" s="166"/>
      <c r="I237" s="166"/>
      <c r="J237" s="166"/>
      <c r="K237" s="162"/>
      <c r="L237" s="162"/>
      <c r="N237" s="162"/>
      <c r="O237" s="162"/>
      <c r="P237" s="162"/>
      <c r="Q237" s="162"/>
      <c r="R237" s="162"/>
      <c r="S237" s="162"/>
      <c r="T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6"/>
      <c r="AJ237" s="167"/>
      <c r="AK237" s="167"/>
      <c r="AL237" s="167"/>
      <c r="AM237" s="167"/>
      <c r="AN237" s="168"/>
      <c r="AO237" s="168"/>
      <c r="AP237" s="168"/>
      <c r="AQ237" s="162"/>
      <c r="AR237" s="162"/>
      <c r="AS237" s="162"/>
      <c r="AT237" s="162"/>
      <c r="AU237" s="162"/>
      <c r="AV237" s="162"/>
      <c r="AW237" s="168"/>
      <c r="AX237" s="168"/>
      <c r="AY237" s="168"/>
      <c r="AZ237" s="168"/>
      <c r="BA237" s="169"/>
    </row>
    <row r="238" spans="1:70" s="173" customFormat="1" ht="18.75" hidden="1" x14ac:dyDescent="0.25">
      <c r="A238" s="170"/>
      <c r="B238" s="170"/>
      <c r="C238" s="171"/>
      <c r="D238" s="172"/>
      <c r="E238" s="166"/>
      <c r="F238" s="166"/>
      <c r="G238" s="166"/>
      <c r="H238" s="166"/>
      <c r="I238" s="166"/>
      <c r="J238" s="166"/>
      <c r="K238" s="166"/>
      <c r="L238" s="166"/>
      <c r="N238" s="166"/>
      <c r="O238" s="166"/>
      <c r="P238" s="166"/>
      <c r="Q238" s="166"/>
      <c r="R238" s="166"/>
      <c r="S238" s="166"/>
      <c r="T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74"/>
      <c r="AK238" s="174"/>
      <c r="AL238" s="174"/>
      <c r="AM238" s="174"/>
      <c r="AN238" s="175"/>
      <c r="AO238" s="175"/>
      <c r="AP238" s="175"/>
      <c r="AQ238" s="166"/>
      <c r="AR238" s="166"/>
      <c r="AS238" s="166"/>
      <c r="AT238" s="166"/>
      <c r="AU238" s="166"/>
      <c r="AV238" s="166"/>
      <c r="AW238" s="175"/>
      <c r="AX238" s="175"/>
      <c r="AY238" s="175"/>
      <c r="AZ238" s="175"/>
      <c r="BA238" s="176"/>
    </row>
    <row r="239" spans="1:70" s="173" customFormat="1" ht="18.75" hidden="1" x14ac:dyDescent="0.25">
      <c r="A239" s="170"/>
      <c r="B239" s="170"/>
      <c r="C239" s="171"/>
      <c r="D239" s="172"/>
      <c r="E239" s="166"/>
      <c r="F239" s="166"/>
      <c r="G239" s="166"/>
      <c r="H239" s="166"/>
      <c r="I239" s="166"/>
      <c r="J239" s="166"/>
      <c r="K239" s="166"/>
      <c r="L239" s="166"/>
      <c r="N239" s="166"/>
      <c r="O239" s="166"/>
      <c r="P239" s="166"/>
      <c r="Q239" s="166"/>
      <c r="R239" s="166"/>
      <c r="S239" s="166"/>
      <c r="T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74"/>
      <c r="AK239" s="174"/>
      <c r="AL239" s="174"/>
      <c r="AM239" s="174"/>
      <c r="AN239" s="175"/>
      <c r="AO239" s="175"/>
      <c r="AP239" s="175"/>
      <c r="AQ239" s="166"/>
      <c r="AR239" s="166"/>
      <c r="AS239" s="166"/>
      <c r="AT239" s="166"/>
      <c r="AU239" s="166"/>
      <c r="AV239" s="166"/>
      <c r="AW239" s="175"/>
      <c r="AX239" s="175"/>
      <c r="AY239" s="175"/>
      <c r="AZ239" s="175"/>
      <c r="BA239" s="176"/>
    </row>
    <row r="240" spans="1:70" s="173" customFormat="1" ht="18.75" hidden="1" x14ac:dyDescent="0.25">
      <c r="A240" s="170"/>
      <c r="B240" s="170"/>
      <c r="C240" s="171"/>
      <c r="D240" s="172"/>
      <c r="E240" s="166"/>
      <c r="F240" s="166"/>
      <c r="G240" s="166"/>
      <c r="H240" s="166"/>
      <c r="I240" s="166"/>
      <c r="J240" s="166"/>
      <c r="K240" s="166"/>
      <c r="L240" s="166"/>
      <c r="N240" s="166"/>
      <c r="O240" s="166"/>
      <c r="P240" s="166"/>
      <c r="Q240" s="166"/>
      <c r="R240" s="166"/>
      <c r="S240" s="166"/>
      <c r="T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  <c r="AJ240" s="174"/>
      <c r="AK240" s="174"/>
      <c r="AL240" s="174"/>
      <c r="AM240" s="174"/>
      <c r="AN240" s="175"/>
      <c r="AO240" s="175"/>
      <c r="AP240" s="175"/>
      <c r="AQ240" s="166"/>
      <c r="AR240" s="166"/>
      <c r="AS240" s="166"/>
      <c r="AT240" s="166"/>
      <c r="AU240" s="166"/>
      <c r="AV240" s="166"/>
      <c r="AW240" s="175"/>
      <c r="AX240" s="175"/>
      <c r="AY240" s="175"/>
      <c r="AZ240" s="175"/>
      <c r="BA240" s="176"/>
    </row>
    <row r="241" spans="1:57" s="166" customFormat="1" ht="15" hidden="1" customHeight="1" x14ac:dyDescent="0.25">
      <c r="A241" s="170"/>
      <c r="B241" s="170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N241" s="162"/>
      <c r="O241" s="162"/>
      <c r="P241" s="162"/>
      <c r="Q241" s="162"/>
      <c r="R241" s="162"/>
      <c r="S241" s="162"/>
      <c r="T241" s="162"/>
      <c r="Z241" s="162"/>
      <c r="AA241" s="162"/>
      <c r="AB241" s="162"/>
      <c r="AC241" s="162"/>
      <c r="AD241" s="163"/>
      <c r="AE241" s="163"/>
      <c r="AF241" s="163"/>
      <c r="AG241" s="163"/>
      <c r="AH241" s="163"/>
      <c r="AI241" s="162"/>
      <c r="AJ241" s="177"/>
      <c r="AK241" s="177"/>
      <c r="AL241" s="177"/>
      <c r="AM241" s="161"/>
      <c r="AN241" s="161"/>
      <c r="AO241" s="161"/>
      <c r="AP241" s="161"/>
      <c r="AQ241" s="162"/>
      <c r="AR241" s="163"/>
      <c r="AS241" s="163"/>
      <c r="AT241" s="163"/>
      <c r="AU241" s="163"/>
      <c r="AV241" s="163"/>
      <c r="AW241" s="161"/>
      <c r="AX241" s="161"/>
      <c r="AY241" s="161"/>
    </row>
    <row r="242" spans="1:57" s="179" customFormat="1" ht="18.75" hidden="1" x14ac:dyDescent="0.25">
      <c r="A242" s="170"/>
      <c r="B242" s="170"/>
      <c r="C242" s="178"/>
      <c r="D242" s="166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AC242" s="173"/>
      <c r="AG242" s="173"/>
      <c r="AH242" s="173"/>
      <c r="AI242" s="173"/>
      <c r="AJ242" s="173"/>
      <c r="AK242" s="173"/>
      <c r="AL242" s="177"/>
      <c r="AM242" s="177"/>
      <c r="AN242" s="180"/>
      <c r="AO242" s="180"/>
      <c r="AP242" s="173"/>
      <c r="AQ242" s="173"/>
      <c r="AR242" s="173"/>
      <c r="AS242" s="180"/>
      <c r="AT242" s="181"/>
      <c r="AU242" s="181"/>
      <c r="AV242" s="182"/>
      <c r="AW242" s="182"/>
      <c r="AX242" s="182"/>
      <c r="AY242" s="182"/>
      <c r="AZ242" s="180"/>
      <c r="BA242" s="183"/>
      <c r="BB242" s="183"/>
      <c r="BC242" s="183"/>
      <c r="BD242" s="183"/>
      <c r="BE242" s="183"/>
    </row>
    <row r="243" spans="1:57" s="179" customFormat="1" ht="18.75" hidden="1" x14ac:dyDescent="0.25">
      <c r="A243" s="170"/>
      <c r="B243" s="170"/>
      <c r="C243" s="178"/>
      <c r="D243" s="166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AC243" s="173"/>
      <c r="AG243" s="173"/>
      <c r="AH243" s="173"/>
      <c r="AI243" s="173"/>
      <c r="AJ243" s="173"/>
      <c r="AK243" s="173"/>
      <c r="AL243" s="177"/>
      <c r="AM243" s="177"/>
      <c r="AN243" s="180"/>
      <c r="AO243" s="180"/>
      <c r="AP243" s="173"/>
      <c r="AQ243" s="173"/>
      <c r="AR243" s="173"/>
      <c r="AS243" s="180"/>
      <c r="AT243" s="181"/>
      <c r="AU243" s="181"/>
      <c r="AV243" s="182"/>
      <c r="AW243" s="182"/>
      <c r="AX243" s="182"/>
      <c r="AY243" s="182"/>
      <c r="AZ243" s="180"/>
      <c r="BA243" s="183"/>
      <c r="BB243" s="183"/>
      <c r="BC243" s="183"/>
      <c r="BD243" s="183"/>
      <c r="BE243" s="183"/>
    </row>
    <row r="244" spans="1:57" s="179" customFormat="1" ht="18.75" hidden="1" x14ac:dyDescent="0.25">
      <c r="A244" s="170"/>
      <c r="B244" s="170"/>
      <c r="C244" s="184"/>
      <c r="D244" s="166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AC244" s="173"/>
      <c r="AG244" s="173"/>
      <c r="AH244" s="173"/>
      <c r="AI244" s="173"/>
      <c r="AJ244" s="173"/>
      <c r="AK244" s="173"/>
      <c r="AL244" s="177"/>
      <c r="AM244" s="177"/>
      <c r="AN244" s="180"/>
      <c r="AO244" s="180"/>
      <c r="AR244" s="173"/>
      <c r="AS244" s="180"/>
      <c r="AT244" s="181"/>
      <c r="AU244" s="181"/>
      <c r="AV244" s="182"/>
      <c r="AW244" s="182"/>
      <c r="AX244" s="182"/>
      <c r="AY244" s="182"/>
      <c r="AZ244" s="180"/>
      <c r="BA244" s="183"/>
      <c r="BB244" s="183"/>
      <c r="BC244" s="183"/>
      <c r="BD244" s="183"/>
      <c r="BE244" s="183"/>
    </row>
    <row r="245" spans="1:57" s="179" customFormat="1" ht="18.75" hidden="1" x14ac:dyDescent="0.25">
      <c r="A245" s="170"/>
      <c r="B245" s="170"/>
      <c r="C245" s="178"/>
      <c r="D245" s="166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66"/>
      <c r="Z245" s="166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7"/>
      <c r="AM245" s="177"/>
      <c r="AN245" s="180"/>
      <c r="AO245" s="180"/>
      <c r="AP245" s="180"/>
      <c r="AQ245" s="180"/>
      <c r="AR245" s="180"/>
      <c r="AS245" s="180"/>
      <c r="AT245" s="181"/>
      <c r="AU245" s="181"/>
      <c r="AV245" s="182"/>
      <c r="AW245" s="182"/>
      <c r="AX245" s="182"/>
      <c r="AY245" s="182"/>
      <c r="AZ245" s="180"/>
      <c r="BA245" s="183"/>
      <c r="BB245" s="183"/>
      <c r="BC245" s="183"/>
      <c r="BD245" s="183"/>
      <c r="BE245" s="183"/>
    </row>
    <row r="246" spans="1:57" s="179" customFormat="1" ht="15" hidden="1" customHeight="1" x14ac:dyDescent="0.25">
      <c r="A246" s="170"/>
      <c r="B246" s="170"/>
      <c r="C246" s="185" t="s">
        <v>501</v>
      </c>
      <c r="D246" s="162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2" t="s">
        <v>502</v>
      </c>
      <c r="Z246" s="162"/>
      <c r="AA246" s="163"/>
      <c r="AB246" s="163"/>
      <c r="AC246" s="163"/>
      <c r="AD246" s="163"/>
      <c r="AE246" s="173"/>
      <c r="AF246" s="173"/>
      <c r="AG246" s="173"/>
      <c r="AH246" s="173"/>
      <c r="AI246" s="173"/>
      <c r="AJ246" s="173"/>
      <c r="AK246" s="173"/>
      <c r="AL246" s="177"/>
      <c r="AM246" s="177"/>
      <c r="AN246" s="180"/>
      <c r="AP246" s="240" t="s">
        <v>503</v>
      </c>
      <c r="AQ246" s="240"/>
      <c r="AR246" s="240"/>
      <c r="AS246" s="240"/>
      <c r="AT246" s="240"/>
      <c r="AU246" s="181"/>
      <c r="AV246" s="182"/>
      <c r="AW246" s="182"/>
      <c r="AX246" s="182"/>
      <c r="AY246" s="182"/>
      <c r="AZ246" s="180"/>
      <c r="BA246" s="183"/>
      <c r="BB246" s="183"/>
      <c r="BC246" s="183"/>
      <c r="BD246" s="183"/>
      <c r="BE246" s="183"/>
    </row>
    <row r="247" spans="1:57" s="179" customFormat="1" ht="18.75" hidden="1" x14ac:dyDescent="0.25">
      <c r="A247" s="170"/>
      <c r="B247" s="170"/>
      <c r="C247" s="186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7"/>
      <c r="AM247" s="177"/>
      <c r="AN247" s="180"/>
      <c r="AO247" s="180"/>
      <c r="AP247" s="180"/>
      <c r="AQ247" s="180"/>
      <c r="AR247" s="180"/>
      <c r="AS247" s="180"/>
      <c r="AT247" s="181"/>
      <c r="AU247" s="181"/>
      <c r="AV247" s="182"/>
      <c r="AW247" s="182"/>
      <c r="AX247" s="182"/>
      <c r="AY247" s="182"/>
      <c r="AZ247" s="180"/>
      <c r="BA247" s="183"/>
      <c r="BB247" s="183"/>
      <c r="BC247" s="183"/>
      <c r="BD247" s="183"/>
      <c r="BE247" s="183"/>
    </row>
    <row r="248" spans="1:57" s="182" customFormat="1" ht="18.75" hidden="1" x14ac:dyDescent="0.25">
      <c r="A248" s="170"/>
      <c r="B248" s="170"/>
      <c r="C248" s="186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7"/>
      <c r="AM248" s="177"/>
      <c r="AN248" s="180"/>
      <c r="AO248" s="180"/>
      <c r="AP248" s="180"/>
      <c r="AQ248" s="180"/>
      <c r="AR248" s="180"/>
      <c r="AS248" s="180"/>
      <c r="AT248" s="181"/>
      <c r="AU248" s="181"/>
      <c r="AZ248" s="180"/>
      <c r="BA248" s="183"/>
      <c r="BB248" s="183"/>
      <c r="BC248" s="183"/>
      <c r="BD248" s="183"/>
      <c r="BE248" s="183"/>
    </row>
    <row r="249" spans="1:57" s="182" customFormat="1" ht="18.75" hidden="1" x14ac:dyDescent="0.25">
      <c r="A249" s="170"/>
      <c r="B249" s="170"/>
      <c r="C249" s="186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7"/>
      <c r="AM249" s="177"/>
      <c r="AN249" s="180"/>
      <c r="AO249" s="180"/>
      <c r="AP249" s="180"/>
      <c r="AQ249" s="180"/>
      <c r="AR249" s="180"/>
      <c r="AS249" s="180"/>
      <c r="AT249" s="181"/>
      <c r="AU249" s="181"/>
      <c r="AZ249" s="180"/>
      <c r="BA249" s="183"/>
      <c r="BB249" s="183"/>
      <c r="BC249" s="183"/>
      <c r="BD249" s="183"/>
      <c r="BE249" s="183"/>
    </row>
    <row r="250" spans="1:57" s="182" customFormat="1" ht="18.75" hidden="1" x14ac:dyDescent="0.25">
      <c r="A250" s="170"/>
      <c r="B250" s="170"/>
      <c r="C250" s="186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7"/>
      <c r="AM250" s="177"/>
      <c r="AN250" s="180"/>
      <c r="AO250" s="180"/>
      <c r="AP250" s="180"/>
      <c r="AQ250" s="180"/>
      <c r="AR250" s="180"/>
      <c r="AS250" s="180"/>
      <c r="AT250" s="181"/>
      <c r="AU250" s="181"/>
      <c r="AZ250" s="180"/>
      <c r="BA250" s="183"/>
      <c r="BB250" s="183"/>
      <c r="BC250" s="183"/>
      <c r="BD250" s="183"/>
      <c r="BE250" s="183"/>
    </row>
    <row r="251" spans="1:57" s="182" customFormat="1" ht="18.75" hidden="1" x14ac:dyDescent="0.25">
      <c r="A251" s="170"/>
      <c r="B251" s="170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7"/>
      <c r="AM251" s="177"/>
      <c r="AN251" s="180"/>
      <c r="AO251" s="180"/>
      <c r="AP251" s="180"/>
      <c r="AQ251" s="180"/>
      <c r="AR251" s="180"/>
      <c r="AS251" s="180"/>
      <c r="AT251" s="181"/>
      <c r="AU251" s="181"/>
      <c r="AZ251" s="180"/>
      <c r="BA251" s="183"/>
      <c r="BB251" s="183"/>
      <c r="BC251" s="183"/>
      <c r="BD251" s="183"/>
      <c r="BE251" s="183"/>
    </row>
    <row r="252" spans="1:57" s="182" customFormat="1" ht="18.75" hidden="1" x14ac:dyDescent="0.25">
      <c r="A252" s="170"/>
      <c r="B252" s="170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7"/>
      <c r="AM252" s="177"/>
      <c r="AN252" s="180"/>
      <c r="AO252" s="180"/>
      <c r="AP252" s="180"/>
      <c r="AQ252" s="180"/>
      <c r="AR252" s="180"/>
      <c r="AS252" s="180"/>
      <c r="AT252" s="181"/>
      <c r="AU252" s="181"/>
      <c r="AZ252" s="180"/>
      <c r="BA252" s="183"/>
      <c r="BB252" s="183"/>
      <c r="BC252" s="183"/>
      <c r="BD252" s="183"/>
      <c r="BE252" s="183"/>
    </row>
    <row r="253" spans="1:57" s="163" customFormat="1" ht="26.25" hidden="1" customHeight="1" x14ac:dyDescent="0.25">
      <c r="A253" s="239" t="s">
        <v>504</v>
      </c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162" t="s">
        <v>505</v>
      </c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  <c r="AK253" s="162" t="s">
        <v>503</v>
      </c>
      <c r="AL253" s="162"/>
      <c r="AM253" s="162"/>
      <c r="AN253" s="162"/>
      <c r="AO253" s="162"/>
      <c r="AP253" s="162"/>
      <c r="AQ253" s="162"/>
      <c r="AR253" s="162"/>
      <c r="AS253" s="162"/>
      <c r="AT253" s="162"/>
      <c r="AU253" s="162"/>
      <c r="AV253" s="162"/>
      <c r="AW253" s="162"/>
      <c r="AX253" s="162"/>
      <c r="AY253" s="162"/>
      <c r="AZ253" s="162"/>
      <c r="BA253" s="162"/>
    </row>
    <row r="254" spans="1:57" s="188" customFormat="1" ht="42.75" customHeight="1" x14ac:dyDescent="0.25">
      <c r="A254" s="187"/>
      <c r="B254" s="187"/>
      <c r="C254" s="187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/>
      <c r="AN254" s="187"/>
      <c r="AO254" s="152"/>
      <c r="AP254" s="152"/>
      <c r="AQ254" s="152"/>
      <c r="AR254" s="152"/>
      <c r="AS254" s="152"/>
      <c r="AT254" s="187"/>
      <c r="AU254" s="187"/>
      <c r="AV254" s="187"/>
      <c r="AW254" s="187"/>
      <c r="AX254" s="187"/>
      <c r="AY254" s="187"/>
      <c r="AZ254" s="187"/>
      <c r="BA254" s="187"/>
      <c r="BB254" s="187"/>
      <c r="BC254" s="187"/>
      <c r="BD254" s="187"/>
      <c r="BE254" s="187"/>
    </row>
    <row r="255" spans="1:57" s="188" customFormat="1" ht="42.75" customHeight="1" x14ac:dyDescent="0.25">
      <c r="A255" s="187"/>
      <c r="B255" s="187"/>
      <c r="C255" s="187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52"/>
      <c r="AP255" s="152"/>
      <c r="AQ255" s="152"/>
      <c r="AR255" s="152"/>
      <c r="AS255" s="152"/>
      <c r="AT255" s="187"/>
      <c r="AU255" s="187"/>
      <c r="AV255" s="187"/>
      <c r="AW255" s="187"/>
      <c r="AX255" s="187"/>
      <c r="AY255" s="187"/>
      <c r="AZ255" s="187"/>
      <c r="BA255" s="187"/>
      <c r="BB255" s="187"/>
      <c r="BC255" s="187"/>
      <c r="BD255" s="187"/>
      <c r="BE255" s="187"/>
    </row>
    <row r="256" spans="1:57" s="188" customFormat="1" x14ac:dyDescent="0.25">
      <c r="A256" s="152"/>
      <c r="B256" s="152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149"/>
      <c r="AM256" s="149"/>
      <c r="AN256" s="189"/>
      <c r="AO256" s="189"/>
      <c r="AP256" s="189"/>
      <c r="AQ256" s="189"/>
      <c r="AR256" s="189"/>
      <c r="AS256" s="189"/>
      <c r="AT256" s="190"/>
      <c r="AU256" s="190"/>
      <c r="AZ256" s="189"/>
      <c r="BA256" s="191"/>
      <c r="BB256" s="191"/>
      <c r="BC256" s="191"/>
      <c r="BD256" s="191"/>
      <c r="BE256" s="191"/>
    </row>
    <row r="257" spans="1:57" s="188" customFormat="1" x14ac:dyDescent="0.25">
      <c r="A257" s="152"/>
      <c r="B257" s="152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149"/>
      <c r="AM257" s="149"/>
      <c r="AN257" s="189"/>
      <c r="AO257" s="189"/>
      <c r="AP257" s="189"/>
      <c r="AQ257" s="189"/>
      <c r="AR257" s="189"/>
      <c r="AS257" s="189"/>
      <c r="AT257" s="190"/>
      <c r="AU257" s="190"/>
      <c r="AZ257" s="189"/>
      <c r="BA257" s="191"/>
      <c r="BB257" s="191"/>
      <c r="BC257" s="191"/>
      <c r="BD257" s="191"/>
      <c r="BE257" s="191"/>
    </row>
    <row r="258" spans="1:57" s="188" customFormat="1" x14ac:dyDescent="0.25">
      <c r="A258" s="152"/>
      <c r="B258" s="152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149"/>
      <c r="AM258" s="149"/>
      <c r="AN258" s="189"/>
      <c r="AO258" s="189"/>
      <c r="AP258" s="189"/>
      <c r="AQ258" s="189"/>
      <c r="AR258" s="189"/>
      <c r="AS258" s="189"/>
      <c r="AT258" s="190"/>
      <c r="AU258" s="190"/>
      <c r="AZ258" s="189"/>
      <c r="BA258" s="191"/>
      <c r="BB258" s="191"/>
      <c r="BC258" s="191"/>
      <c r="BD258" s="191"/>
      <c r="BE258" s="191"/>
    </row>
    <row r="259" spans="1:57" s="188" customFormat="1" x14ac:dyDescent="0.25">
      <c r="A259" s="152"/>
      <c r="B259" s="152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149"/>
      <c r="AM259" s="149"/>
      <c r="AN259" s="189"/>
      <c r="AO259" s="189"/>
      <c r="AP259" s="189"/>
      <c r="AQ259" s="189"/>
      <c r="AR259" s="189"/>
      <c r="AS259" s="189"/>
      <c r="AT259" s="190"/>
      <c r="AU259" s="190"/>
      <c r="AZ259" s="189"/>
      <c r="BA259" s="191"/>
      <c r="BB259" s="191"/>
      <c r="BC259" s="191"/>
      <c r="BD259" s="191"/>
      <c r="BE259" s="191"/>
    </row>
  </sheetData>
  <mergeCells count="35">
    <mergeCell ref="AY8:AY9"/>
    <mergeCell ref="AZ8:AZ9"/>
    <mergeCell ref="A235:M235"/>
    <mergeCell ref="AP246:AT246"/>
    <mergeCell ref="A253:M253"/>
    <mergeCell ref="BE7:BE9"/>
    <mergeCell ref="BF7:BF9"/>
    <mergeCell ref="BG7:BG9"/>
    <mergeCell ref="AN8:AN9"/>
    <mergeCell ref="AO8:AO9"/>
    <mergeCell ref="AP8:AP9"/>
    <mergeCell ref="AQ8:AQ9"/>
    <mergeCell ref="AR8:AR9"/>
    <mergeCell ref="AS8:AS9"/>
    <mergeCell ref="AT8:AT9"/>
    <mergeCell ref="AM7:AM9"/>
    <mergeCell ref="AN7:AV7"/>
    <mergeCell ref="BA7:BA9"/>
    <mergeCell ref="BB7:BB9"/>
    <mergeCell ref="BC7:BC9"/>
    <mergeCell ref="BD7:BD9"/>
    <mergeCell ref="AU8:AU9"/>
    <mergeCell ref="AV8:AV9"/>
    <mergeCell ref="AW8:AW9"/>
    <mergeCell ref="AX8:AX9"/>
    <mergeCell ref="A1:C3"/>
    <mergeCell ref="D1:BE3"/>
    <mergeCell ref="A7:A9"/>
    <mergeCell ref="B7:B9"/>
    <mergeCell ref="C7:C9"/>
    <mergeCell ref="D7:D9"/>
    <mergeCell ref="E7:AC7"/>
    <mergeCell ref="AJ7:AJ9"/>
    <mergeCell ref="AK7:AK9"/>
    <mergeCell ref="AL7:AL9"/>
  </mergeCells>
  <conditionalFormatting sqref="A13:A231">
    <cfRule type="duplicateValues" dxfId="4126" priority="3967"/>
  </conditionalFormatting>
  <conditionalFormatting sqref="A236:A240">
    <cfRule type="duplicateValues" dxfId="4125" priority="3963"/>
    <cfRule type="duplicateValues" dxfId="4124" priority="3964"/>
    <cfRule type="duplicateValues" dxfId="4123" priority="3965"/>
    <cfRule type="duplicateValues" dxfId="4122" priority="3966"/>
  </conditionalFormatting>
  <conditionalFormatting sqref="A236:A241">
    <cfRule type="duplicateValues" dxfId="4121" priority="3962"/>
  </conditionalFormatting>
  <conditionalFormatting sqref="A241">
    <cfRule type="duplicateValues" dxfId="4120" priority="3961"/>
  </conditionalFormatting>
  <conditionalFormatting sqref="A242:A252 A232:A233 A1:A7 A10:A12 A254:A1048576">
    <cfRule type="duplicateValues" dxfId="4119" priority="3960"/>
  </conditionalFormatting>
  <conditionalFormatting sqref="A242:A252 A232:A233 A254:A1048576">
    <cfRule type="duplicateValues" dxfId="4118" priority="3959"/>
  </conditionalFormatting>
  <conditionalFormatting sqref="B13:B16">
    <cfRule type="duplicateValues" dxfId="4117" priority="3958"/>
  </conditionalFormatting>
  <conditionalFormatting sqref="B24">
    <cfRule type="duplicateValues" dxfId="4116" priority="3957"/>
  </conditionalFormatting>
  <conditionalFormatting sqref="B25 B18:B23">
    <cfRule type="duplicateValues" dxfId="4115" priority="3956"/>
  </conditionalFormatting>
  <conditionalFormatting sqref="B27:B36">
    <cfRule type="duplicateValues" dxfId="4114" priority="3955"/>
  </conditionalFormatting>
  <conditionalFormatting sqref="B38:B42">
    <cfRule type="duplicateValues" dxfId="4113" priority="3954"/>
  </conditionalFormatting>
  <conditionalFormatting sqref="B44:B48">
    <cfRule type="duplicateValues" dxfId="4112" priority="3953"/>
  </conditionalFormatting>
  <conditionalFormatting sqref="B50:B139">
    <cfRule type="duplicateValues" dxfId="4111" priority="3952"/>
  </conditionalFormatting>
  <conditionalFormatting sqref="B74">
    <cfRule type="duplicateValues" dxfId="4110" priority="3950"/>
    <cfRule type="duplicateValues" dxfId="4109" priority="3951"/>
  </conditionalFormatting>
  <conditionalFormatting sqref="B77:B93 B59:B60 B72:B74 B62:B64">
    <cfRule type="duplicateValues" dxfId="4108" priority="3947" stopIfTrue="1"/>
    <cfRule type="duplicateValues" dxfId="4107" priority="3948" stopIfTrue="1"/>
    <cfRule type="duplicateValues" dxfId="4106" priority="3949" stopIfTrue="1"/>
  </conditionalFormatting>
  <conditionalFormatting sqref="B141:B142">
    <cfRule type="duplicateValues" dxfId="4105" priority="3946"/>
  </conditionalFormatting>
  <conditionalFormatting sqref="B144:B145">
    <cfRule type="duplicateValues" dxfId="4104" priority="3945"/>
  </conditionalFormatting>
  <conditionalFormatting sqref="B147:B149">
    <cfRule type="duplicateValues" dxfId="4103" priority="3944"/>
  </conditionalFormatting>
  <conditionalFormatting sqref="B159">
    <cfRule type="duplicateValues" dxfId="4102" priority="3941" stopIfTrue="1"/>
    <cfRule type="duplicateValues" dxfId="4101" priority="3942" stopIfTrue="1"/>
    <cfRule type="duplicateValues" dxfId="4100" priority="3943" stopIfTrue="1"/>
  </conditionalFormatting>
  <conditionalFormatting sqref="B161">
    <cfRule type="duplicateValues" dxfId="4099" priority="3937" stopIfTrue="1"/>
    <cfRule type="duplicateValues" dxfId="4098" priority="3938" stopIfTrue="1"/>
    <cfRule type="duplicateValues" dxfId="4097" priority="3939" stopIfTrue="1"/>
    <cfRule type="duplicateValues" dxfId="4096" priority="3940"/>
  </conditionalFormatting>
  <conditionalFormatting sqref="B162 B152:B160">
    <cfRule type="duplicateValues" dxfId="4095" priority="3936"/>
  </conditionalFormatting>
  <conditionalFormatting sqref="B164">
    <cfRule type="duplicateValues" dxfId="4094" priority="3933"/>
    <cfRule type="duplicateValues" dxfId="4093" priority="3934"/>
    <cfRule type="duplicateValues" dxfId="4092" priority="3935"/>
  </conditionalFormatting>
  <conditionalFormatting sqref="B165:B177">
    <cfRule type="duplicateValues" dxfId="4091" priority="3932"/>
  </conditionalFormatting>
  <conditionalFormatting sqref="B175">
    <cfRule type="duplicateValues" dxfId="4090" priority="3929" stopIfTrue="1"/>
    <cfRule type="duplicateValues" dxfId="4089" priority="3930" stopIfTrue="1"/>
    <cfRule type="duplicateValues" dxfId="4088" priority="3931" stopIfTrue="1"/>
  </conditionalFormatting>
  <conditionalFormatting sqref="B178">
    <cfRule type="duplicateValues" dxfId="4087" priority="3928"/>
  </conditionalFormatting>
  <conditionalFormatting sqref="B194:B195 B191">
    <cfRule type="duplicateValues" dxfId="4086" priority="3925" stopIfTrue="1"/>
    <cfRule type="duplicateValues" dxfId="4085" priority="3926" stopIfTrue="1"/>
    <cfRule type="duplicateValues" dxfId="4084" priority="3927" stopIfTrue="1"/>
  </conditionalFormatting>
  <conditionalFormatting sqref="B198">
    <cfRule type="duplicateValues" dxfId="4083" priority="3922" stopIfTrue="1"/>
    <cfRule type="duplicateValues" dxfId="4082" priority="3923" stopIfTrue="1"/>
    <cfRule type="duplicateValues" dxfId="4081" priority="3924" stopIfTrue="1"/>
  </conditionalFormatting>
  <conditionalFormatting sqref="B199 B193 B196:B197">
    <cfRule type="duplicateValues" dxfId="4080" priority="3919" stopIfTrue="1"/>
    <cfRule type="duplicateValues" dxfId="4079" priority="3920" stopIfTrue="1"/>
    <cfRule type="duplicateValues" dxfId="4078" priority="3921" stopIfTrue="1"/>
  </conditionalFormatting>
  <conditionalFormatting sqref="B200:B202 B192 B204:B215">
    <cfRule type="duplicateValues" dxfId="4077" priority="3916" stopIfTrue="1"/>
    <cfRule type="duplicateValues" dxfId="4076" priority="3917" stopIfTrue="1"/>
    <cfRule type="duplicateValues" dxfId="4075" priority="3918" stopIfTrue="1"/>
  </conditionalFormatting>
  <conditionalFormatting sqref="B203">
    <cfRule type="duplicateValues" dxfId="4074" priority="3915"/>
  </conditionalFormatting>
  <conditionalFormatting sqref="B204:B215 B180:B202">
    <cfRule type="duplicateValues" dxfId="4073" priority="3914"/>
  </conditionalFormatting>
  <conditionalFormatting sqref="B217:B230">
    <cfRule type="duplicateValues" dxfId="4072" priority="3913"/>
  </conditionalFormatting>
  <conditionalFormatting sqref="B218 B221 B229">
    <cfRule type="expression" dxfId="4071" priority="3912" stopIfTrue="1">
      <formula>AND(COUNTIF($B$925:$B$65604,B218)+COUNTIF($B$780:$B$780,B218)+COUNTIF($B$677:$B$677,B218)+COUNTIF($B$1:$B$422,B218)+COUNTIF($B$470:$B$505,B218)+COUNTIF($B$508:$B$520,B218)+COUNTIF($B$535:$B$633,B218)+COUNTIF($B$650:$B$659,B218)+COUNTIF($B$681:$B$697,B218)+COUNTIF($B$699:$B$778,B218)+COUNTIF($B$782:$B$842,B218)+COUNTIF($B$874:$B$918,B218)&gt;1,NOT(ISBLANK(B218)))</formula>
    </cfRule>
  </conditionalFormatting>
  <conditionalFormatting sqref="B220">
    <cfRule type="duplicateValues" dxfId="4070" priority="3909" stopIfTrue="1"/>
    <cfRule type="duplicateValues" dxfId="4069" priority="3910" stopIfTrue="1"/>
    <cfRule type="duplicateValues" dxfId="4068" priority="3911" stopIfTrue="1"/>
  </conditionalFormatting>
  <conditionalFormatting sqref="B223">
    <cfRule type="expression" dxfId="4067" priority="3907" stopIfTrue="1">
      <formula>AND(COUNTIF($B$906:$B$65585,B223)+COUNTIF($B$761:$B$761,B223)+COUNTIF($B$658:$B$658,B223)+COUNTIF($B$1:$B$403,B223)+COUNTIF($B$451:$B$486,B223)+COUNTIF($B$489:$B$501,B223)+COUNTIF($B$516:$B$614,B223)+COUNTIF($B$631:$B$640,B223)+COUNTIF($B$662:$B$678,B223)+COUNTIF($B$680:$B$759,B223)+COUNTIF($B$763:$B$823,B223)+COUNTIF($B$855:$B$899,B223)&gt;1,NOT(ISBLANK(B223)))</formula>
    </cfRule>
    <cfRule type="expression" dxfId="4066" priority="3908" stopIfTrue="1">
      <formula>AND(COUNTIF($B$906:$B$65585,B223)+COUNTIF($B$761:$B$761,B223)+COUNTIF($B$658:$B$658,B223)+COUNTIF($B$1:$B$333,B223)+COUNTIF($B$341:$B$403,B223)+COUNTIF($B$451:$B$486,B223)+COUNTIF($B$489:$B$501,B223)+COUNTIF($B$516:$B$614,B223)+COUNTIF($B$631:$B$640,B223)+COUNTIF($B$662:$B$678,B223)+COUNTIF($B$680:$B$759,B223)+COUNTIF($B$763:$B$823,B223)+COUNTIF($B$855:$B$899,B223)&gt;1,NOT(ISBLANK(B223)))</formula>
    </cfRule>
  </conditionalFormatting>
  <conditionalFormatting sqref="B226">
    <cfRule type="duplicateValues" dxfId="4065" priority="3904" stopIfTrue="1"/>
    <cfRule type="duplicateValues" dxfId="4064" priority="3905" stopIfTrue="1"/>
    <cfRule type="duplicateValues" dxfId="4063" priority="3906" stopIfTrue="1"/>
  </conditionalFormatting>
  <conditionalFormatting sqref="B227">
    <cfRule type="duplicateValues" dxfId="4062" priority="3901" stopIfTrue="1"/>
    <cfRule type="duplicateValues" dxfId="4061" priority="3902" stopIfTrue="1"/>
    <cfRule type="duplicateValues" dxfId="4060" priority="3903" stopIfTrue="1"/>
  </conditionalFormatting>
  <conditionalFormatting sqref="B228">
    <cfRule type="duplicateValues" dxfId="4059" priority="3898" stopIfTrue="1"/>
    <cfRule type="duplicateValues" dxfId="4058" priority="3899" stopIfTrue="1"/>
    <cfRule type="duplicateValues" dxfId="4057" priority="3900" stopIfTrue="1"/>
  </conditionalFormatting>
  <conditionalFormatting sqref="B229 B218 B221">
    <cfRule type="expression" dxfId="4056" priority="3897" stopIfTrue="1">
      <formula>AND(COUNTIF($B$925:$B$65604,B218)+COUNTIF($B$780:$B$780,B218)+COUNTIF($B$677:$B$677,B218)+COUNTIF($B$1:$B$352,B218)+COUNTIF($B$360:$B$422,B218)+COUNTIF($B$470:$B$505,B218)+COUNTIF($B$508:$B$520,B218)+COUNTIF($B$535:$B$633,B218)+COUNTIF($B$650:$B$659,B218)+COUNTIF($B$681:$B$697,B218)+COUNTIF($B$699:$B$778,B218)+COUNTIF($B$782:$B$842,B218)+COUNTIF($B$874:$B$918,B218)&gt;1,NOT(ISBLANK(B218)))</formula>
    </cfRule>
  </conditionalFormatting>
  <conditionalFormatting sqref="B236:B240">
    <cfRule type="duplicateValues" dxfId="4055" priority="3896"/>
  </conditionalFormatting>
  <conditionalFormatting sqref="B256:B1048576 B236:B252 B179 B1:B12 B17 B26 B37 B43 B49 B140 B143 B146 B150:B151 B163 B216 B231:B234">
    <cfRule type="duplicateValues" dxfId="4054" priority="3895"/>
  </conditionalFormatting>
  <conditionalFormatting sqref="B13:C14">
    <cfRule type="duplicateValues" dxfId="4053" priority="3894"/>
  </conditionalFormatting>
  <conditionalFormatting sqref="B13:C16">
    <cfRule type="duplicateValues" dxfId="4052" priority="3893"/>
  </conditionalFormatting>
  <conditionalFormatting sqref="B15:C15">
    <cfRule type="duplicateValues" dxfId="4051" priority="3892"/>
  </conditionalFormatting>
  <conditionalFormatting sqref="B16:C16">
    <cfRule type="duplicateValues" dxfId="4050" priority="3891"/>
  </conditionalFormatting>
  <conditionalFormatting sqref="B24:C24">
    <cfRule type="duplicateValues" dxfId="4049" priority="3889"/>
    <cfRule type="duplicateValues" dxfId="4048" priority="3890"/>
  </conditionalFormatting>
  <conditionalFormatting sqref="B25:C25 B18:C23">
    <cfRule type="duplicateValues" dxfId="4047" priority="3887"/>
    <cfRule type="duplicateValues" dxfId="4046" priority="3888"/>
  </conditionalFormatting>
  <conditionalFormatting sqref="B27:C27">
    <cfRule type="duplicateValues" dxfId="4045" priority="3886"/>
  </conditionalFormatting>
  <conditionalFormatting sqref="B27:C36">
    <cfRule type="duplicateValues" dxfId="4044" priority="3885"/>
  </conditionalFormatting>
  <conditionalFormatting sqref="B28:C36">
    <cfRule type="duplicateValues" dxfId="4043" priority="3884"/>
  </conditionalFormatting>
  <conditionalFormatting sqref="B38:C42">
    <cfRule type="duplicateValues" dxfId="4042" priority="3882"/>
    <cfRule type="duplicateValues" dxfId="4041" priority="3883"/>
  </conditionalFormatting>
  <conditionalFormatting sqref="B44:C48">
    <cfRule type="duplicateValues" dxfId="4040" priority="3880"/>
    <cfRule type="duplicateValues" dxfId="4039" priority="3881"/>
  </conditionalFormatting>
  <conditionalFormatting sqref="B50:C139">
    <cfRule type="duplicateValues" dxfId="4038" priority="3878"/>
    <cfRule type="duplicateValues" dxfId="4037" priority="3879"/>
  </conditionalFormatting>
  <conditionalFormatting sqref="B141:C142">
    <cfRule type="duplicateValues" dxfId="4036" priority="3876"/>
    <cfRule type="duplicateValues" dxfId="4035" priority="3877"/>
  </conditionalFormatting>
  <conditionalFormatting sqref="B144:C145">
    <cfRule type="duplicateValues" dxfId="4034" priority="3874"/>
    <cfRule type="duplicateValues" dxfId="4033" priority="3875"/>
  </conditionalFormatting>
  <conditionalFormatting sqref="B147:C149">
    <cfRule type="duplicateValues" dxfId="4032" priority="3872"/>
    <cfRule type="duplicateValues" dxfId="4031" priority="3873"/>
  </conditionalFormatting>
  <conditionalFormatting sqref="B161:C161">
    <cfRule type="duplicateValues" dxfId="4030" priority="3871"/>
  </conditionalFormatting>
  <conditionalFormatting sqref="B162:C162 B152:C160">
    <cfRule type="duplicateValues" dxfId="4029" priority="3869"/>
    <cfRule type="duplicateValues" dxfId="4028" priority="3870"/>
  </conditionalFormatting>
  <conditionalFormatting sqref="B203:C203">
    <cfRule type="duplicateValues" dxfId="4027" priority="3867"/>
    <cfRule type="duplicateValues" dxfId="4026" priority="3868"/>
  </conditionalFormatting>
  <conditionalFormatting sqref="B204:C206">
    <cfRule type="duplicateValues" dxfId="4025" priority="3865"/>
    <cfRule type="duplicateValues" dxfId="4024" priority="3866"/>
  </conditionalFormatting>
  <conditionalFormatting sqref="B207:C207">
    <cfRule type="duplicateValues" dxfId="4023" priority="3863"/>
    <cfRule type="duplicateValues" dxfId="4022" priority="3864"/>
  </conditionalFormatting>
  <conditionalFormatting sqref="B208:C208">
    <cfRule type="duplicateValues" dxfId="4021" priority="3861"/>
    <cfRule type="duplicateValues" dxfId="4020" priority="3862"/>
  </conditionalFormatting>
  <conditionalFormatting sqref="B209:C211">
    <cfRule type="duplicateValues" dxfId="4019" priority="3859"/>
    <cfRule type="duplicateValues" dxfId="4018" priority="3860"/>
  </conditionalFormatting>
  <conditionalFormatting sqref="B212:C214">
    <cfRule type="duplicateValues" dxfId="4017" priority="3857"/>
    <cfRule type="duplicateValues" dxfId="4016" priority="3858"/>
  </conditionalFormatting>
  <conditionalFormatting sqref="B215:C215 B180:C202">
    <cfRule type="duplicateValues" dxfId="4015" priority="3855"/>
    <cfRule type="duplicateValues" dxfId="4014" priority="3856"/>
  </conditionalFormatting>
  <conditionalFormatting sqref="B216:C216 B179:C179 B17:C17 B26:C26 B37:C37 B43:C43 B49:C49 B140:C140 B143:C143 B146:C146 B150:C151 B163:C163">
    <cfRule type="duplicateValues" dxfId="4013" priority="3854"/>
  </conditionalFormatting>
  <conditionalFormatting sqref="B216:C216 B179:C179 B37:C37 B17:C17 B26:C26 B43:C43 B49:C49 B140:C140 B143:C143 B146:C146 B150:C151 B163:C163">
    <cfRule type="duplicateValues" dxfId="4012" priority="3853"/>
  </conditionalFormatting>
  <conditionalFormatting sqref="B219:C219">
    <cfRule type="duplicateValues" dxfId="4011" priority="3852"/>
  </conditionalFormatting>
  <conditionalFormatting sqref="B228:C228">
    <cfRule type="duplicateValues" dxfId="4010" priority="3851"/>
  </conditionalFormatting>
  <conditionalFormatting sqref="B229:C229">
    <cfRule type="duplicateValues" dxfId="4009" priority="3850" stopIfTrue="1"/>
  </conditionalFormatting>
  <conditionalFormatting sqref="B230:C230 B228:C228 B222:C222 B224:C224">
    <cfRule type="duplicateValues" dxfId="4008" priority="3849"/>
  </conditionalFormatting>
  <conditionalFormatting sqref="C15:C16">
    <cfRule type="duplicateValues" dxfId="4007" priority="3848"/>
  </conditionalFormatting>
  <conditionalFormatting sqref="C28:C36">
    <cfRule type="duplicateValues" dxfId="4006" priority="3847"/>
  </conditionalFormatting>
  <conditionalFormatting sqref="C38:C41">
    <cfRule type="duplicateValues" dxfId="4005" priority="3846"/>
  </conditionalFormatting>
  <conditionalFormatting sqref="C42">
    <cfRule type="duplicateValues" dxfId="4004" priority="3845"/>
  </conditionalFormatting>
  <conditionalFormatting sqref="C44:C48">
    <cfRule type="duplicateValues" dxfId="4003" priority="3844"/>
  </conditionalFormatting>
  <conditionalFormatting sqref="C61 C71">
    <cfRule type="duplicateValues" dxfId="4002" priority="3843"/>
  </conditionalFormatting>
  <conditionalFormatting sqref="C65">
    <cfRule type="duplicateValues" dxfId="4001" priority="3842"/>
  </conditionalFormatting>
  <conditionalFormatting sqref="C66">
    <cfRule type="duplicateValues" dxfId="4000" priority="3841"/>
  </conditionalFormatting>
  <conditionalFormatting sqref="C75">
    <cfRule type="duplicateValues" dxfId="3999" priority="3840"/>
  </conditionalFormatting>
  <conditionalFormatting sqref="C76:C93 C67:C69 C72:C74 C62:C64 C50:C60">
    <cfRule type="duplicateValues" dxfId="3998" priority="3839"/>
  </conditionalFormatting>
  <conditionalFormatting sqref="C77:C93 C59:C60 C72:C74 C62:C64">
    <cfRule type="duplicateValues" dxfId="3997" priority="3838" stopIfTrue="1"/>
  </conditionalFormatting>
  <conditionalFormatting sqref="C141:C142">
    <cfRule type="duplicateValues" dxfId="3996" priority="3837"/>
  </conditionalFormatting>
  <conditionalFormatting sqref="C144:C145">
    <cfRule type="duplicateValues" dxfId="3995" priority="3836"/>
  </conditionalFormatting>
  <conditionalFormatting sqref="C147:C149">
    <cfRule type="duplicateValues" dxfId="3994" priority="3835"/>
  </conditionalFormatting>
  <conditionalFormatting sqref="C151">
    <cfRule type="duplicateValues" dxfId="3993" priority="3834"/>
  </conditionalFormatting>
  <conditionalFormatting sqref="C154">
    <cfRule type="duplicateValues" dxfId="3992" priority="3833"/>
  </conditionalFormatting>
  <conditionalFormatting sqref="C155:C157 C152:C153">
    <cfRule type="duplicateValues" dxfId="3991" priority="3832"/>
  </conditionalFormatting>
  <conditionalFormatting sqref="C159">
    <cfRule type="timePeriod" dxfId="3990" priority="3829" timePeriod="lastMonth">
      <formula>AND(MONTH(C159)=MONTH(EDATE(TODAY(),0-1)),YEAR(C159)=YEAR(EDATE(TODAY(),0-1)))</formula>
    </cfRule>
    <cfRule type="duplicateValues" dxfId="3989" priority="3830" stopIfTrue="1"/>
    <cfRule type="duplicateValues" dxfId="3988" priority="3831"/>
  </conditionalFormatting>
  <conditionalFormatting sqref="C161">
    <cfRule type="duplicateValues" dxfId="3987" priority="3827"/>
    <cfRule type="duplicateValues" dxfId="3986" priority="3828" stopIfTrue="1"/>
  </conditionalFormatting>
  <conditionalFormatting sqref="C162 C158 C160">
    <cfRule type="duplicateValues" dxfId="3985" priority="3826"/>
  </conditionalFormatting>
  <conditionalFormatting sqref="C164 B165:C177">
    <cfRule type="duplicateValues" dxfId="3984" priority="3825"/>
  </conditionalFormatting>
  <conditionalFormatting sqref="C164">
    <cfRule type="duplicateValues" dxfId="3983" priority="3824"/>
  </conditionalFormatting>
  <conditionalFormatting sqref="C165 C167:C174 C176:C177">
    <cfRule type="duplicateValues" dxfId="3982" priority="3823"/>
  </conditionalFormatting>
  <conditionalFormatting sqref="C166">
    <cfRule type="duplicateValues" dxfId="3981" priority="3822"/>
  </conditionalFormatting>
  <conditionalFormatting sqref="C175">
    <cfRule type="duplicateValues" dxfId="3980" priority="3820"/>
    <cfRule type="duplicateValues" dxfId="3979" priority="3821" stopIfTrue="1"/>
  </conditionalFormatting>
  <conditionalFormatting sqref="C178">
    <cfRule type="duplicateValues" dxfId="3978" priority="3819"/>
  </conditionalFormatting>
  <conditionalFormatting sqref="C194:C195 C181:C191">
    <cfRule type="duplicateValues" dxfId="3977" priority="3818"/>
  </conditionalFormatting>
  <conditionalFormatting sqref="C198">
    <cfRule type="duplicateValues" dxfId="3976" priority="3816"/>
    <cfRule type="duplicateValues" dxfId="3975" priority="3817" stopIfTrue="1"/>
  </conditionalFormatting>
  <conditionalFormatting sqref="C199 C193 C196:C197">
    <cfRule type="duplicateValues" dxfId="3974" priority="3815"/>
  </conditionalFormatting>
  <conditionalFormatting sqref="C200:C202 C192 C204:C215">
    <cfRule type="duplicateValues" dxfId="3973" priority="3813"/>
    <cfRule type="duplicateValues" dxfId="3972" priority="3814" stopIfTrue="1"/>
  </conditionalFormatting>
  <conditionalFormatting sqref="C219">
    <cfRule type="duplicateValues" dxfId="3971" priority="3812"/>
  </conditionalFormatting>
  <conditionalFormatting sqref="C222:C223">
    <cfRule type="duplicateValues" dxfId="3970" priority="3811"/>
  </conditionalFormatting>
  <conditionalFormatting sqref="C223">
    <cfRule type="duplicateValues" dxfId="3969" priority="3809"/>
    <cfRule type="duplicateValues" dxfId="3968" priority="3810"/>
  </conditionalFormatting>
  <conditionalFormatting sqref="C224">
    <cfRule type="duplicateValues" dxfId="3967" priority="3808"/>
  </conditionalFormatting>
  <conditionalFormatting sqref="C225:C227 C217 C220">
    <cfRule type="duplicateValues" dxfId="3966" priority="3807"/>
  </conditionalFormatting>
  <conditionalFormatting sqref="C226">
    <cfRule type="duplicateValues" dxfId="3965" priority="3806" stopIfTrue="1"/>
  </conditionalFormatting>
  <conditionalFormatting sqref="C228">
    <cfRule type="duplicateValues" dxfId="3964" priority="3804"/>
    <cfRule type="duplicateValues" dxfId="3963" priority="3805" stopIfTrue="1"/>
  </conditionalFormatting>
  <conditionalFormatting sqref="C229 C218 C221">
    <cfRule type="expression" dxfId="3962" priority="3803" stopIfTrue="1">
      <formula>AND(COUNTIF($C$910:$C$912,C218)+COUNTIF($C$898:$C$903,C218)+COUNTIF($C$857:$C$857,C218)+COUNTIF($C$667:$C$697,C218)+COUNTIF($C$1:$C$626,C218)+COUNTIF($C$628:$C$633,C218)+COUNTIF($C$643:$C$647,C218)+COUNTIF($C$650:$C$659,C218)+COUNTIF($C$699:$C$780,C218)+COUNTIF($C$782:$C$842,C218)+COUNTIF($C$874:$C$896,C218)+COUNTIF($C$925:$C$65604,C218)&gt;1,NOT(ISBLANK(C218)))</formula>
    </cfRule>
  </conditionalFormatting>
  <conditionalFormatting sqref="C230">
    <cfRule type="duplicateValues" dxfId="3961" priority="3802"/>
  </conditionalFormatting>
  <conditionalFormatting sqref="C231">
    <cfRule type="duplicateValues" dxfId="3960" priority="3796"/>
    <cfRule type="duplicateValues" dxfId="3959" priority="3797"/>
    <cfRule type="duplicateValues" dxfId="3958" priority="3798" stopIfTrue="1"/>
    <cfRule type="duplicateValues" dxfId="3957" priority="3799"/>
    <cfRule type="duplicateValues" dxfId="3956" priority="3800"/>
    <cfRule type="duplicateValues" dxfId="3955" priority="3801"/>
  </conditionalFormatting>
  <conditionalFormatting sqref="C256:C1048576 C245:C252 C231:C233 C242:C243">
    <cfRule type="duplicateValues" dxfId="3954" priority="3795"/>
  </conditionalFormatting>
  <conditionalFormatting sqref="C256:C1048576 C245:C252 C232:C233 C242:C243">
    <cfRule type="duplicateValues" dxfId="3953" priority="3794"/>
  </conditionalFormatting>
  <conditionalFormatting sqref="C256:C1048576 C245:C252 BH6:BI6 C231:C233 C1:C5 C7 C242:C243">
    <cfRule type="duplicateValues" dxfId="3952" priority="3793"/>
  </conditionalFormatting>
  <conditionalFormatting sqref="C256:C1048576 C245:C252 BH6:BI6 C232:C233 C1:C5 C7 C242:C243">
    <cfRule type="duplicateValues" dxfId="3951" priority="3792"/>
  </conditionalFormatting>
  <conditionalFormatting sqref="C141:D142">
    <cfRule type="timePeriod" dxfId="3950" priority="3791" timePeriod="lastMonth">
      <formula>AND(MONTH(C141)=MONTH(EDATE(TODAY(),0-1)),YEAR(C141)=YEAR(EDATE(TODAY(),0-1)))</formula>
    </cfRule>
  </conditionalFormatting>
  <conditionalFormatting sqref="C166:D172">
    <cfRule type="timePeriod" dxfId="3949" priority="3790" timePeriod="lastMonth">
      <formula>AND(MONTH(C166)=MONTH(EDATE(TODAY(),0-1)),YEAR(C166)=YEAR(EDATE(TODAY(),0-1)))</formula>
    </cfRule>
  </conditionalFormatting>
  <conditionalFormatting sqref="E15:E16 E40 E44:E45 E48 E50 E56 E68:E78 E80 E82:E83 E93:E95 E100:Y100 E106:E107 E109 E111 E113:E118 F117:Y117 E121:E122 E142 E144 E147:E149 E151 E153:E155 E161 E166 E168:E170 E175 BF18:BG25 BF50:BG139 AJ164:AJ178 BF164:BG178 BF180:BG215 E23:E24 AJ180:AJ203 AJ18:AJ23 E123:AJ136 E138:AJ139 E137:F137 H137:AJ137">
    <cfRule type="containsText" dxfId="3948" priority="3789" operator="containsText" text="P">
      <formula>NOT(ISERROR(SEARCH("P",E15)))</formula>
    </cfRule>
  </conditionalFormatting>
  <conditionalFormatting sqref="E15:E16 E44:E45 E82:E83 E109 E111 E121:E122 E142 E147:E149 E168:E170">
    <cfRule type="expression" dxfId="3947" priority="3787" stopIfTrue="1">
      <formula>IF(WEEKDAY(E$8)=1,TRUE,FALSE)</formula>
    </cfRule>
    <cfRule type="containsText" dxfId="3946" priority="3788" operator="containsText" text="P">
      <formula>NOT(ISERROR(SEARCH("P",E15)))</formula>
    </cfRule>
  </conditionalFormatting>
  <conditionalFormatting sqref="E38:E42 E47:E48 E50:E56 E58:E61 E63:E80 E85:E89 E91 E93:E96 E98:E100 E103:E107 E119:AJ119 E144:E145 E151:E161 E164:E166 E172 E175:E176">
    <cfRule type="containsText" dxfId="3945" priority="3786" operator="containsText" text="P">
      <formula>NOT(ISERROR(SEARCH("P",E38)))</formula>
    </cfRule>
  </conditionalFormatting>
  <conditionalFormatting sqref="E189">
    <cfRule type="expression" dxfId="3944" priority="3783" stopIfTrue="1">
      <formula>IF(WEEKDAY(E$8)=1,TRUE,FALSE)</formula>
    </cfRule>
    <cfRule type="containsText" dxfId="3943" priority="3784" operator="containsText" text="P">
      <formula>NOT(ISERROR(SEARCH("P",E189)))</formula>
    </cfRule>
    <cfRule type="containsText" dxfId="3942" priority="3785" operator="containsText" text="K">
      <formula>NOT(ISERROR(SEARCH("K",E189)))</formula>
    </cfRule>
  </conditionalFormatting>
  <conditionalFormatting sqref="E194">
    <cfRule type="expression" dxfId="3941" priority="3780" stopIfTrue="1">
      <formula>IF(WEEKDAY(E$8)=1,TRUE,FALSE)</formula>
    </cfRule>
    <cfRule type="containsText" dxfId="3940" priority="3781" operator="containsText" text="P">
      <formula>NOT(ISERROR(SEARCH("P",E194)))</formula>
    </cfRule>
    <cfRule type="containsText" dxfId="3939" priority="3782" operator="containsText" text="K">
      <formula>NOT(ISERROR(SEARCH("K",E194)))</formula>
    </cfRule>
  </conditionalFormatting>
  <conditionalFormatting sqref="E196">
    <cfRule type="expression" dxfId="3938" priority="3777" stopIfTrue="1">
      <formula>IF(WEEKDAY(E$8)=1,TRUE,FALSE)</formula>
    </cfRule>
    <cfRule type="containsText" dxfId="3937" priority="3778" operator="containsText" text="P">
      <formula>NOT(ISERROR(SEARCH("P",E196)))</formula>
    </cfRule>
    <cfRule type="containsText" dxfId="3936" priority="3779" operator="containsText" text="K">
      <formula>NOT(ISERROR(SEARCH("K",E196)))</formula>
    </cfRule>
  </conditionalFormatting>
  <conditionalFormatting sqref="E197">
    <cfRule type="containsText" dxfId="3935" priority="3774" operator="containsText" text="P">
      <formula>NOT(ISERROR(SEARCH(("P"),(E197))))</formula>
    </cfRule>
    <cfRule type="containsText" dxfId="3934" priority="3775" operator="containsText" text="K">
      <formula>NOT(ISERROR(SEARCH(("K"),(E197))))</formula>
    </cfRule>
    <cfRule type="expression" dxfId="3933" priority="3776" stopIfTrue="1">
      <formula>IF(WEEKDAY(E$8)=1,TRUE,FALSE)</formula>
    </cfRule>
  </conditionalFormatting>
  <conditionalFormatting sqref="E198 AH198 G201:H201 K201:K206">
    <cfRule type="expression" dxfId="3932" priority="3771" stopIfTrue="1">
      <formula>IF(WEEKDAY(E$8)=1,TRUE,FALSE)</formula>
    </cfRule>
    <cfRule type="containsText" dxfId="3931" priority="3772" operator="containsText" text="P">
      <formula>NOT(ISERROR(SEARCH("P",E198)))</formula>
    </cfRule>
    <cfRule type="containsText" dxfId="3930" priority="3773" operator="containsText" text="K">
      <formula>NOT(ISERROR(SEARCH("K",E198)))</formula>
    </cfRule>
  </conditionalFormatting>
  <conditionalFormatting sqref="E199">
    <cfRule type="containsText" dxfId="3929" priority="3768" operator="containsText" text="P">
      <formula>NOT(ISERROR(SEARCH(("P"),(E199))))</formula>
    </cfRule>
    <cfRule type="containsText" dxfId="3928" priority="3769" operator="containsText" text="K">
      <formula>NOT(ISERROR(SEARCH(("K"),(E199))))</formula>
    </cfRule>
    <cfRule type="expression" dxfId="3927" priority="3770" stopIfTrue="1">
      <formula>IF(WEEKDAY(E$8)=1,TRUE,FALSE)</formula>
    </cfRule>
  </conditionalFormatting>
  <conditionalFormatting sqref="E201">
    <cfRule type="expression" dxfId="3926" priority="3765" stopIfTrue="1">
      <formula>IF(WEEKDAY(E$8)=1,TRUE,FALSE)</formula>
    </cfRule>
    <cfRule type="containsText" dxfId="3925" priority="3766" operator="containsText" text="P">
      <formula>NOT(ISERROR(SEARCH("P",E201)))</formula>
    </cfRule>
    <cfRule type="containsText" dxfId="3924" priority="3767" operator="containsText" text="K">
      <formula>NOT(ISERROR(SEARCH("K",E201)))</formula>
    </cfRule>
  </conditionalFormatting>
  <conditionalFormatting sqref="E202:E203">
    <cfRule type="containsText" dxfId="3923" priority="3762" operator="containsText" text="P">
      <formula>NOT(ISERROR(SEARCH(("P"),(E202))))</formula>
    </cfRule>
    <cfRule type="containsText" dxfId="3922" priority="3763" operator="containsText" text="K">
      <formula>NOT(ISERROR(SEARCH(("K"),(E202))))</formula>
    </cfRule>
    <cfRule type="expression" dxfId="3921" priority="3764" stopIfTrue="1">
      <formula>IF(WEEKDAY(E$8)=1,TRUE,FALSE)</formula>
    </cfRule>
  </conditionalFormatting>
  <conditionalFormatting sqref="E207:E208">
    <cfRule type="containsText" dxfId="3920" priority="3759" operator="containsText" text="P">
      <formula>NOT(ISERROR(SEARCH(("P"),(E207))))</formula>
    </cfRule>
    <cfRule type="containsText" dxfId="3919" priority="3760" operator="containsText" text="K">
      <formula>NOT(ISERROR(SEARCH(("K"),(E207))))</formula>
    </cfRule>
    <cfRule type="expression" dxfId="3918" priority="3761" stopIfTrue="1">
      <formula>IF(WEEKDAY(E$8)=1,TRUE,FALSE)</formula>
    </cfRule>
  </conditionalFormatting>
  <conditionalFormatting sqref="E218:E223">
    <cfRule type="containsText" dxfId="3917" priority="3756" operator="containsText" text="K">
      <formula>NOT(ISERROR(SEARCH("K",E218)))</formula>
    </cfRule>
    <cfRule type="expression" dxfId="3916" priority="3757" stopIfTrue="1">
      <formula>IF(WEEKDAY(E$8)=1,TRUE,FALSE)</formula>
    </cfRule>
    <cfRule type="containsText" dxfId="3915" priority="3758" operator="containsText" text="P">
      <formula>NOT(ISERROR(SEARCH("P",E218)))</formula>
    </cfRule>
  </conditionalFormatting>
  <conditionalFormatting sqref="E15:F16 E23:E24 E40 E44:E45 E48 E50 E56 E68:E78 E80:I80 E82:Y83 E93:E95 E100:Y100 E106:S107 E109 E110:S112 E117 E142 E144 E147:E149 E151 E153:O155 E161 E166 E168:E170 E175 E120:AJ136 E138:AJ139 E137:F137 H137:AJ137">
    <cfRule type="containsText" dxfId="3914" priority="3755" operator="containsText" text="K">
      <formula>NOT(ISERROR(SEARCH("K",E15)))</formula>
    </cfRule>
  </conditionalFormatting>
  <conditionalFormatting sqref="E15:F16 E44:E45 E82:E83 E109 E110:S112 E121:E122 E142 E147:E149 E168:E170 E40 E48 E50 E56 E68:E78 E80 E93:E95 E100:Y100 E106:E107 E144 E151 E153:E155 E161 E166 E175 E117:Y117 E123:AJ136 E138:AJ139 E137:F137 H137:J137 L137:AJ137">
    <cfRule type="expression" dxfId="3913" priority="3754" stopIfTrue="1">
      <formula>IF(WEEKDAY(E$8)=1,TRUE,FALSE)</formula>
    </cfRule>
  </conditionalFormatting>
  <conditionalFormatting sqref="E57:F57">
    <cfRule type="containsText" dxfId="3912" priority="3751" operator="containsText" text="P">
      <formula>NOT(ISERROR(SEARCH(("P"),(E57))))</formula>
    </cfRule>
    <cfRule type="containsText" dxfId="3911" priority="3752" operator="containsText" text="K">
      <formula>NOT(ISERROR(SEARCH(("K"),(E57))))</formula>
    </cfRule>
    <cfRule type="expression" dxfId="3910" priority="3753" stopIfTrue="1">
      <formula>IF(WEEKDAY(E$8)=1,TRUE,FALSE)</formula>
    </cfRule>
  </conditionalFormatting>
  <conditionalFormatting sqref="E102:F102 G177 Y176:Y177">
    <cfRule type="containsText" dxfId="3909" priority="3750" operator="containsText" text="K">
      <formula>NOT(ISERROR(SEARCH("K",E102)))</formula>
    </cfRule>
  </conditionalFormatting>
  <conditionalFormatting sqref="E102:F102 G177">
    <cfRule type="containsText" dxfId="3908" priority="3749" operator="containsText" text="P">
      <formula>NOT(ISERROR(SEARCH("P",E102)))</formula>
    </cfRule>
  </conditionalFormatting>
  <conditionalFormatting sqref="E108:F108 F109">
    <cfRule type="containsText" dxfId="3907" priority="3746" operator="containsText" text="P">
      <formula>NOT(ISERROR(SEARCH(("P"),(E108))))</formula>
    </cfRule>
    <cfRule type="containsText" dxfId="3906" priority="3747" operator="containsText" text="K">
      <formula>NOT(ISERROR(SEARCH(("K"),(E108))))</formula>
    </cfRule>
    <cfRule type="expression" dxfId="3905" priority="3748" stopIfTrue="1">
      <formula>IF(WEEKDAY(E$8)=1,TRUE,FALSE)</formula>
    </cfRule>
  </conditionalFormatting>
  <conditionalFormatting sqref="E141:F141">
    <cfRule type="containsText" dxfId="3904" priority="3743" operator="containsText" text="P">
      <formula>NOT(ISERROR(SEARCH(("P"),(E141))))</formula>
    </cfRule>
    <cfRule type="containsText" dxfId="3903" priority="3744" operator="containsText" text="K">
      <formula>NOT(ISERROR(SEARCH(("K"),(E141))))</formula>
    </cfRule>
    <cfRule type="expression" dxfId="3902" priority="3745" stopIfTrue="1">
      <formula>IF(WEEKDAY(E$8)=1,TRUE,FALSE)</formula>
    </cfRule>
  </conditionalFormatting>
  <conditionalFormatting sqref="E162:F162">
    <cfRule type="containsText" dxfId="3901" priority="3740" operator="containsText" text="P">
      <formula>NOT(ISERROR(SEARCH(("P"),(E162))))</formula>
    </cfRule>
    <cfRule type="containsText" dxfId="3900" priority="3741" operator="containsText" text="K">
      <formula>NOT(ISERROR(SEARCH(("K"),(E162))))</formula>
    </cfRule>
    <cfRule type="expression" dxfId="3899" priority="3742" stopIfTrue="1">
      <formula>IF(WEEKDAY(E$8)=1,TRUE,FALSE)</formula>
    </cfRule>
  </conditionalFormatting>
  <conditionalFormatting sqref="E167:F167">
    <cfRule type="containsText" dxfId="3898" priority="3737" operator="containsText" text="P">
      <formula>NOT(ISERROR(SEARCH(("P"),(E167))))</formula>
    </cfRule>
    <cfRule type="containsText" dxfId="3897" priority="3738" operator="containsText" text="K">
      <formula>NOT(ISERROR(SEARCH(("K"),(E167))))</formula>
    </cfRule>
    <cfRule type="expression" dxfId="3896" priority="3739" stopIfTrue="1">
      <formula>IF(WEEKDAY(E$8)=1,TRUE,FALSE)</formula>
    </cfRule>
  </conditionalFormatting>
  <conditionalFormatting sqref="E171:F171 W176:Y177 I172:M172 F169:F170">
    <cfRule type="containsText" dxfId="3895" priority="3736" operator="containsText" text="P">
      <formula>NOT(ISERROR(SEARCH("P",E169)))</formula>
    </cfRule>
  </conditionalFormatting>
  <conditionalFormatting sqref="E177:F177">
    <cfRule type="containsText" dxfId="3894" priority="3733" operator="containsText" text="P">
      <formula>NOT(ISERROR(SEARCH(("P"),(E177))))</formula>
    </cfRule>
    <cfRule type="containsText" dxfId="3893" priority="3734" operator="containsText" text="K">
      <formula>NOT(ISERROR(SEARCH(("K"),(E177))))</formula>
    </cfRule>
    <cfRule type="expression" dxfId="3892" priority="3735" stopIfTrue="1">
      <formula>IF(WEEKDAY(E$8)=1,TRUE,FALSE)</formula>
    </cfRule>
  </conditionalFormatting>
  <conditionalFormatting sqref="E178:F178">
    <cfRule type="containsText" dxfId="3891" priority="3731" operator="containsText" text="P">
      <formula>NOT(ISERROR(SEARCH("P",E178)))</formula>
    </cfRule>
    <cfRule type="containsText" dxfId="3890" priority="3732" operator="containsText" text="K">
      <formula>NOT(ISERROR(SEARCH("K",E178)))</formula>
    </cfRule>
  </conditionalFormatting>
  <conditionalFormatting sqref="E187:F187 E195:J195 F198">
    <cfRule type="containsText" dxfId="3889" priority="3728" operator="containsText" text="P">
      <formula>NOT(ISERROR(SEARCH(("P"),(E187))))</formula>
    </cfRule>
    <cfRule type="containsText" dxfId="3888" priority="3729" operator="containsText" text="K">
      <formula>NOT(ISERROR(SEARCH(("K"),(E187))))</formula>
    </cfRule>
    <cfRule type="expression" dxfId="3887" priority="3730" stopIfTrue="1">
      <formula>IF(WEEKDAY(E$8)=1,TRUE,FALSE)</formula>
    </cfRule>
  </conditionalFormatting>
  <conditionalFormatting sqref="E224:F230">
    <cfRule type="containsText" dxfId="3886" priority="3725" operator="containsText" text="P">
      <formula>NOT(ISERROR(SEARCH(("P"),(E224))))</formula>
    </cfRule>
    <cfRule type="containsText" dxfId="3885" priority="3726" operator="containsText" text="K">
      <formula>NOT(ISERROR(SEARCH(("K"),(E224))))</formula>
    </cfRule>
    <cfRule type="expression" dxfId="3884" priority="3727" stopIfTrue="1">
      <formula>IF(WEEKDAY(E$8)=1,TRUE,FALSE)</formula>
    </cfRule>
  </conditionalFormatting>
  <conditionalFormatting sqref="E14:G14 N14 U14:Y14 AF14:AH14 T44:V44">
    <cfRule type="containsText" dxfId="3883" priority="3723" operator="containsText" text="P">
      <formula>NOT(ISERROR(SEARCH("P",E14)))</formula>
    </cfRule>
    <cfRule type="containsText" dxfId="3882" priority="3724" operator="containsText" text="K">
      <formula>NOT(ISERROR(SEARCH("K",E14)))</formula>
    </cfRule>
  </conditionalFormatting>
  <conditionalFormatting sqref="E102:G102">
    <cfRule type="expression" dxfId="3881" priority="3722" stopIfTrue="1">
      <formula>IF(WEEKDAY(E$8)=1,TRUE,FALSE)</formula>
    </cfRule>
  </conditionalFormatting>
  <conditionalFormatting sqref="E171:G171">
    <cfRule type="containsText" dxfId="3880" priority="3721" operator="containsText" text="K">
      <formula>NOT(ISERROR(SEARCH("K",E171)))</formula>
    </cfRule>
  </conditionalFormatting>
  <conditionalFormatting sqref="E173:G173 I173">
    <cfRule type="expression" dxfId="3879" priority="3718" stopIfTrue="1">
      <formula>IF(WEEKDAY(E$8)=1,TRUE,FALSE)</formula>
    </cfRule>
    <cfRule type="containsText" dxfId="3878" priority="3719" operator="containsText" text="P">
      <formula>NOT(ISERROR(SEARCH("P",E173)))</formula>
    </cfRule>
    <cfRule type="containsText" dxfId="3877" priority="3720" operator="containsText" text="K">
      <formula>NOT(ISERROR(SEARCH("K",E173)))</formula>
    </cfRule>
  </conditionalFormatting>
  <conditionalFormatting sqref="E174:G174 I174">
    <cfRule type="expression" dxfId="3876" priority="3715" stopIfTrue="1">
      <formula>IF(WEEKDAY(E$8)=1,TRUE,FALSE)</formula>
    </cfRule>
    <cfRule type="containsText" dxfId="3875" priority="3716" operator="containsText" text="P">
      <formula>NOT(ISERROR(SEARCH("P",E174)))</formula>
    </cfRule>
    <cfRule type="containsText" dxfId="3874" priority="3717" operator="containsText" text="K">
      <formula>NOT(ISERROR(SEARCH("K",E174)))</formula>
    </cfRule>
  </conditionalFormatting>
  <conditionalFormatting sqref="E178:G178">
    <cfRule type="expression" dxfId="3873" priority="3714" stopIfTrue="1">
      <formula>IF(WEEKDAY(E$8)=1,TRUE,FALSE)</formula>
    </cfRule>
  </conditionalFormatting>
  <conditionalFormatting sqref="E81:H81 F80:H80">
    <cfRule type="expression" dxfId="3872" priority="3713" stopIfTrue="1">
      <formula>IF(WEEKDAY(E$8)=1,TRUE,FALSE)</formula>
    </cfRule>
  </conditionalFormatting>
  <conditionalFormatting sqref="E81:H81">
    <cfRule type="containsText" dxfId="3871" priority="3712" operator="containsText" text="K">
      <formula>NOT(ISERROR(SEARCH("K",E81)))</formula>
    </cfRule>
  </conditionalFormatting>
  <conditionalFormatting sqref="AJ27:AJ36 BF27:BG36">
    <cfRule type="expression" dxfId="3870" priority="3710" stopIfTrue="1">
      <formula>IF(WEEKDAY(AJ$8)=1,TRUE,FALSE)</formula>
    </cfRule>
    <cfRule type="containsText" dxfId="3869" priority="3711" operator="containsText" text="P">
      <formula>NOT(ISERROR(SEARCH("P",AJ27)))</formula>
    </cfRule>
  </conditionalFormatting>
  <conditionalFormatting sqref="E25:M25">
    <cfRule type="expression" dxfId="3868" priority="3707" stopIfTrue="1">
      <formula>IF(WEEKDAY(E$8)=1,TRUE,FALSE)</formula>
    </cfRule>
    <cfRule type="containsText" dxfId="3867" priority="3708" operator="containsText" text="K">
      <formula>NOT(ISERROR(SEARCH("K",E25)))</formula>
    </cfRule>
    <cfRule type="containsText" dxfId="3866" priority="3709" operator="containsText" text="P">
      <formula>NOT(ISERROR(SEARCH("P",E25)))</formula>
    </cfRule>
  </conditionalFormatting>
  <conditionalFormatting sqref="E101:M101 O101:S101 U101:Y101">
    <cfRule type="containsText" dxfId="3865" priority="3706" operator="containsText" text="K">
      <formula>NOT(ISERROR(SEARCH("K",E101)))</formula>
    </cfRule>
  </conditionalFormatting>
  <conditionalFormatting sqref="E101:N101">
    <cfRule type="expression" dxfId="3864" priority="3705" stopIfTrue="1">
      <formula>IF(WEEKDAY(E$8)=1,TRUE,FALSE)</formula>
    </cfRule>
  </conditionalFormatting>
  <conditionalFormatting sqref="E217:Q217">
    <cfRule type="expression" dxfId="3863" priority="3703" stopIfTrue="1">
      <formula>IF(WEEKDAY(E$8)=1,TRUE,FALSE)</formula>
    </cfRule>
    <cfRule type="containsText" dxfId="3862" priority="3704" operator="containsText" text="P">
      <formula>NOT(ISERROR(SEARCH("P",E217)))</formula>
    </cfRule>
  </conditionalFormatting>
  <conditionalFormatting sqref="E22:Y22">
    <cfRule type="expression" dxfId="3861" priority="3702" stopIfTrue="1">
      <formula>IF(WEEKDAY(E$8)=1,TRUE,FALSE)</formula>
    </cfRule>
  </conditionalFormatting>
  <conditionalFormatting sqref="E27:AB27 Z28:AB35 E28:Y36">
    <cfRule type="containsText" dxfId="3860" priority="3699" operator="containsText" text="P">
      <formula>NOT(ISERROR(SEARCH(("P"),(E27))))</formula>
    </cfRule>
    <cfRule type="containsText" dxfId="3859" priority="3700" operator="containsText" text="K">
      <formula>NOT(ISERROR(SEARCH(("K"),(E27))))</formula>
    </cfRule>
    <cfRule type="expression" dxfId="3858" priority="3701" stopIfTrue="1">
      <formula>IF(WEEKDAY(E$8)=1,TRUE,FALSE)</formula>
    </cfRule>
  </conditionalFormatting>
  <conditionalFormatting sqref="E22:AC22 F23 H23:M23 O23:R23">
    <cfRule type="containsText" dxfId="3857" priority="3698" operator="containsText" text="P">
      <formula>NOT(ISERROR(SEARCH("P",E22)))</formula>
    </cfRule>
  </conditionalFormatting>
  <conditionalFormatting sqref="E22:AC22 F23 H23:M23 O23:S23">
    <cfRule type="containsText" dxfId="3856" priority="3697" operator="containsText" text="K">
      <formula>NOT(ISERROR(SEARCH("K",E22)))</formula>
    </cfRule>
  </conditionalFormatting>
  <conditionalFormatting sqref="E13:AH13">
    <cfRule type="expression" dxfId="3855" priority="3694" stopIfTrue="1">
      <formula>IF(WEEKDAY(E$8)=1,TRUE,FALSE)</formula>
    </cfRule>
    <cfRule type="containsText" dxfId="3854" priority="3695" operator="containsText" text="K">
      <formula>NOT(ISERROR(SEARCH("K",E13)))</formula>
    </cfRule>
    <cfRule type="containsText" dxfId="3853" priority="3696" operator="containsText" text="P">
      <formula>NOT(ISERROR(SEARCH("P",E13)))</formula>
    </cfRule>
  </conditionalFormatting>
  <conditionalFormatting sqref="E8:AI8">
    <cfRule type="expression" dxfId="3852" priority="3693">
      <formula>IF(WEEKDAY(E$8)=1,TRUE,FALSE)</formula>
    </cfRule>
  </conditionalFormatting>
  <conditionalFormatting sqref="F38:F39">
    <cfRule type="containsText" dxfId="3851" priority="3690" operator="containsText" text="P">
      <formula>NOT(ISERROR(SEARCH(("P"),(F38))))</formula>
    </cfRule>
    <cfRule type="containsText" dxfId="3850" priority="3691" operator="containsText" text="K">
      <formula>NOT(ISERROR(SEARCH(("K"),(F38))))</formula>
    </cfRule>
    <cfRule type="expression" dxfId="3849" priority="3692" stopIfTrue="1">
      <formula>IF(WEEKDAY(F$8)=1,TRUE,FALSE)</formula>
    </cfRule>
  </conditionalFormatting>
  <conditionalFormatting sqref="F40 H40:K40 N40 U40:W40">
    <cfRule type="containsText" dxfId="3848" priority="3689" operator="containsText" text="K">
      <formula>NOT(ISERROR(SEARCH("K",F40)))</formula>
    </cfRule>
  </conditionalFormatting>
  <conditionalFormatting sqref="F40 H40:K40 U40:W40 N40">
    <cfRule type="containsText" dxfId="3847" priority="3688" operator="containsText" text="P">
      <formula>NOT(ISERROR(SEARCH("P",F40)))</formula>
    </cfRule>
  </conditionalFormatting>
  <conditionalFormatting sqref="F40 H40:K40 U40:W40">
    <cfRule type="containsText" dxfId="3846" priority="3685" operator="containsText" text="P">
      <formula>NOT(ISERROR(SEARCH("P",F40)))</formula>
    </cfRule>
    <cfRule type="containsText" dxfId="3845" priority="3686" operator="containsText" text="K">
      <formula>NOT(ISERROR(SEARCH("K",F40)))</formula>
    </cfRule>
    <cfRule type="expression" dxfId="3844" priority="3687" stopIfTrue="1">
      <formula>IF(WEEKDAY(F$8)=1,TRUE,FALSE)</formula>
    </cfRule>
  </conditionalFormatting>
  <conditionalFormatting sqref="F40 I41 K41:M41 O41:T41 V41:Y41">
    <cfRule type="containsText" dxfId="3843" priority="3683" operator="containsText" text="P">
      <formula>NOT(ISERROR(SEARCH("P",F40)))</formula>
    </cfRule>
    <cfRule type="containsText" dxfId="3842" priority="3684" operator="containsText" text="K">
      <formula>NOT(ISERROR(SEARCH("K",F40)))</formula>
    </cfRule>
  </conditionalFormatting>
  <conditionalFormatting sqref="F41:F42">
    <cfRule type="containsText" dxfId="3841" priority="3680" operator="containsText" text="P">
      <formula>NOT(ISERROR(SEARCH(("P"),(F41))))</formula>
    </cfRule>
    <cfRule type="containsText" dxfId="3840" priority="3681" operator="containsText" text="K">
      <formula>NOT(ISERROR(SEARCH(("K"),(F41))))</formula>
    </cfRule>
    <cfRule type="expression" dxfId="3839" priority="3682" stopIfTrue="1">
      <formula>IF(WEEKDAY(F$8)=1,TRUE,FALSE)</formula>
    </cfRule>
  </conditionalFormatting>
  <conditionalFormatting sqref="F44 G103:S103 G104:X104 G105:S105 H44:K44 O44:R44 M44 G109:S109 G108:Y108 F118:AJ118 E119:AJ120 F121:AJ122 BG17 Q99:Y99 U105:Y105 U107:Y107 F223:S223 U223:Y223">
    <cfRule type="expression" dxfId="3838" priority="3679" stopIfTrue="1">
      <formula>IF(WEEKDAY(E$8)=1,TRUE,FALSE)</formula>
    </cfRule>
  </conditionalFormatting>
  <conditionalFormatting sqref="F44 X44:Y44 J103:J105 F116:Y117 AJ217:AJ224 BF217:BG230 J224:J230 AJ226:AJ230 G103:H104 Z164:AF178 Z217:AF230 W218:W222 P156:Q160 AJ194:AJ215 P151:P153">
    <cfRule type="containsText" dxfId="3837" priority="3678" operator="containsText" text="K">
      <formula>NOT(ISERROR(SEARCH("K",F44)))</formula>
    </cfRule>
  </conditionalFormatting>
  <conditionalFormatting sqref="F45 E46:F46 F47">
    <cfRule type="containsText" dxfId="3836" priority="3675" operator="containsText" text="P">
      <formula>NOT(ISERROR(SEARCH(("P"),(E45))))</formula>
    </cfRule>
    <cfRule type="containsText" dxfId="3835" priority="3676" operator="containsText" text="K">
      <formula>NOT(ISERROR(SEARCH(("K"),(E45))))</formula>
    </cfRule>
    <cfRule type="expression" dxfId="3834" priority="3677" stopIfTrue="1">
      <formula>IF(WEEKDAY(E$8)=1,TRUE,FALSE)</formula>
    </cfRule>
  </conditionalFormatting>
  <conditionalFormatting sqref="F48">
    <cfRule type="expression" dxfId="3833" priority="3669" stopIfTrue="1">
      <formula>IF(WEEKDAY(F$8)=1,TRUE,FALSE)</formula>
    </cfRule>
    <cfRule type="containsText" dxfId="3832" priority="3670" operator="containsText" text="P">
      <formula>NOT(ISERROR(SEARCH("P",F48)))</formula>
    </cfRule>
    <cfRule type="containsText" dxfId="3831" priority="3671" operator="containsText" text="K">
      <formula>NOT(ISERROR(SEARCH("K",F48)))</formula>
    </cfRule>
    <cfRule type="expression" dxfId="3830" priority="3672" stopIfTrue="1">
      <formula>IF(WEEKDAY(F$8)=1,TRUE,FALSE)</formula>
    </cfRule>
    <cfRule type="containsText" dxfId="3829" priority="3673" operator="containsText" text="P">
      <formula>NOT(ISERROR(SEARCH("P",F48)))</formula>
    </cfRule>
    <cfRule type="containsText" dxfId="3828" priority="3674" operator="containsText" text="K">
      <formula>NOT(ISERROR(SEARCH("K",F48)))</formula>
    </cfRule>
  </conditionalFormatting>
  <conditionalFormatting sqref="F50:F55">
    <cfRule type="containsText" dxfId="3827" priority="3666" operator="containsText" text="P">
      <formula>NOT(ISERROR(SEARCH(("P"),(F50))))</formula>
    </cfRule>
    <cfRule type="containsText" dxfId="3826" priority="3667" operator="containsText" text="K">
      <formula>NOT(ISERROR(SEARCH(("K"),(F50))))</formula>
    </cfRule>
    <cfRule type="expression" dxfId="3825" priority="3668" stopIfTrue="1">
      <formula>IF(WEEKDAY(F$8)=1,TRUE,FALSE)</formula>
    </cfRule>
  </conditionalFormatting>
  <conditionalFormatting sqref="F59">
    <cfRule type="containsText" dxfId="3824" priority="3663" operator="containsText" text="P">
      <formula>NOT(ISERROR(SEARCH(("P"),(F59))))</formula>
    </cfRule>
    <cfRule type="containsText" dxfId="3823" priority="3664" operator="containsText" text="K">
      <formula>NOT(ISERROR(SEARCH(("K"),(F59))))</formula>
    </cfRule>
    <cfRule type="expression" dxfId="3822" priority="3665" stopIfTrue="1">
      <formula>IF(WEEKDAY(F$8)=1,TRUE,FALSE)</formula>
    </cfRule>
  </conditionalFormatting>
  <conditionalFormatting sqref="F61 E62:F62 F63:F66">
    <cfRule type="containsText" dxfId="3821" priority="3660" operator="containsText" text="P">
      <formula>NOT(ISERROR(SEARCH(("P"),(E61))))</formula>
    </cfRule>
    <cfRule type="containsText" dxfId="3820" priority="3661" operator="containsText" text="K">
      <formula>NOT(ISERROR(SEARCH(("K"),(E61))))</formula>
    </cfRule>
    <cfRule type="expression" dxfId="3819" priority="3662" stopIfTrue="1">
      <formula>IF(WEEKDAY(E$8)=1,TRUE,FALSE)</formula>
    </cfRule>
  </conditionalFormatting>
  <conditionalFormatting sqref="F79 G85:H91 Q85:Q91">
    <cfRule type="containsText" dxfId="3818" priority="3659" operator="containsText" text="P">
      <formula>NOT(ISERROR(SEARCH("P",F79)))</formula>
    </cfRule>
  </conditionalFormatting>
  <conditionalFormatting sqref="F96 E97:F97 F98:F99">
    <cfRule type="containsText" dxfId="3817" priority="3656" operator="containsText" text="P">
      <formula>NOT(ISERROR(SEARCH(("P"),(E96))))</formula>
    </cfRule>
    <cfRule type="containsText" dxfId="3816" priority="3657" operator="containsText" text="K">
      <formula>NOT(ISERROR(SEARCH(("K"),(E96))))</formula>
    </cfRule>
    <cfRule type="expression" dxfId="3815" priority="3658" stopIfTrue="1">
      <formula>IF(WEEKDAY(E$8)=1,TRUE,FALSE)</formula>
    </cfRule>
  </conditionalFormatting>
  <conditionalFormatting sqref="F103:F105">
    <cfRule type="containsText" dxfId="3814" priority="3653" operator="containsText" text="P">
      <formula>NOT(ISERROR(SEARCH(("P"),(F103))))</formula>
    </cfRule>
    <cfRule type="containsText" dxfId="3813" priority="3654" operator="containsText" text="K">
      <formula>NOT(ISERROR(SEARCH(("K"),(F103))))</formula>
    </cfRule>
    <cfRule type="expression" dxfId="3812" priority="3655" stopIfTrue="1">
      <formula>IF(WEEKDAY(F$8)=1,TRUE,FALSE)</formula>
    </cfRule>
  </conditionalFormatting>
  <conditionalFormatting sqref="F156:F160">
    <cfRule type="containsText" dxfId="3811" priority="3650" operator="containsText" text="P">
      <formula>NOT(ISERROR(SEARCH(("P"),(F156))))</formula>
    </cfRule>
    <cfRule type="containsText" dxfId="3810" priority="3651" operator="containsText" text="K">
      <formula>NOT(ISERROR(SEARCH(("K"),(F156))))</formula>
    </cfRule>
    <cfRule type="expression" dxfId="3809" priority="3652" stopIfTrue="1">
      <formula>IF(WEEKDAY(F$8)=1,TRUE,FALSE)</formula>
    </cfRule>
  </conditionalFormatting>
  <conditionalFormatting sqref="F164:F165">
    <cfRule type="containsText" dxfId="3808" priority="3647" operator="containsText" text="P">
      <formula>NOT(ISERROR(SEARCH(("P"),(F164))))</formula>
    </cfRule>
    <cfRule type="containsText" dxfId="3807" priority="3648" operator="containsText" text="K">
      <formula>NOT(ISERROR(SEARCH(("K"),(F164))))</formula>
    </cfRule>
    <cfRule type="expression" dxfId="3806" priority="3649" stopIfTrue="1">
      <formula>IF(WEEKDAY(F$8)=1,TRUE,FALSE)</formula>
    </cfRule>
  </conditionalFormatting>
  <conditionalFormatting sqref="F169">
    <cfRule type="containsText" dxfId="3805" priority="3646" operator="containsText" text="K">
      <formula>NOT(ISERROR(SEARCH("K",F169)))</formula>
    </cfRule>
  </conditionalFormatting>
  <conditionalFormatting sqref="F172">
    <cfRule type="containsText" dxfId="3804" priority="3643" operator="containsText" text="P">
      <formula>NOT(ISERROR(SEARCH(("P"),(F172))))</formula>
    </cfRule>
    <cfRule type="containsText" dxfId="3803" priority="3644" operator="containsText" text="K">
      <formula>NOT(ISERROR(SEARCH(("K"),(F172))))</formula>
    </cfRule>
    <cfRule type="expression" dxfId="3802" priority="3645" stopIfTrue="1">
      <formula>IF(WEEKDAY(F$8)=1,TRUE,FALSE)</formula>
    </cfRule>
  </conditionalFormatting>
  <conditionalFormatting sqref="F175">
    <cfRule type="containsText" dxfId="3801" priority="3641" operator="containsText" text="K">
      <formula>NOT(ISERROR(SEARCH("K",F175)))</formula>
    </cfRule>
    <cfRule type="expression" dxfId="3800" priority="3642" stopIfTrue="1">
      <formula>IF(WEEKDAY(F$8)=1,TRUE,FALSE)</formula>
    </cfRule>
  </conditionalFormatting>
  <conditionalFormatting sqref="F176">
    <cfRule type="containsText" dxfId="3799" priority="3638" operator="containsText" text="P">
      <formula>NOT(ISERROR(SEARCH(("P"),(F176))))</formula>
    </cfRule>
    <cfRule type="containsText" dxfId="3798" priority="3639" operator="containsText" text="K">
      <formula>NOT(ISERROR(SEARCH(("K"),(F176))))</formula>
    </cfRule>
    <cfRule type="expression" dxfId="3797" priority="3640" stopIfTrue="1">
      <formula>IF(WEEKDAY(F$8)=1,TRUE,FALSE)</formula>
    </cfRule>
  </conditionalFormatting>
  <conditionalFormatting sqref="F196:F197">
    <cfRule type="expression" dxfId="3796" priority="3635" stopIfTrue="1">
      <formula>IF(WEEKDAY(F$8)=1,TRUE,FALSE)</formula>
    </cfRule>
    <cfRule type="containsText" dxfId="3795" priority="3636" operator="containsText" text="K">
      <formula>NOT(ISERROR(SEARCH("K",F196)))</formula>
    </cfRule>
    <cfRule type="containsText" dxfId="3794" priority="3637" operator="containsText" text="P">
      <formula>NOT(ISERROR(SEARCH("P",F196)))</formula>
    </cfRule>
  </conditionalFormatting>
  <conditionalFormatting sqref="F201">
    <cfRule type="expression" dxfId="3793" priority="3632" stopIfTrue="1">
      <formula>IF(WEEKDAY(F$8)=1,TRUE,FALSE)</formula>
    </cfRule>
    <cfRule type="containsText" dxfId="3792" priority="3633" operator="containsText" text="K">
      <formula>NOT(ISERROR(SEARCH("K",F201)))</formula>
    </cfRule>
    <cfRule type="containsText" dxfId="3791" priority="3634" operator="containsText" text="P">
      <formula>NOT(ISERROR(SEARCH("P",F201)))</formula>
    </cfRule>
  </conditionalFormatting>
  <conditionalFormatting sqref="F232:F233 E324:F455 E456:AI1082">
    <cfRule type="cellIs" dxfId="3790" priority="3628" operator="equal">
      <formula>"D"</formula>
    </cfRule>
    <cfRule type="expression" dxfId="3789" priority="3629">
      <formula>IF(WEEKDAY(E$8)=1,TRUE,FALSE)</formula>
    </cfRule>
    <cfRule type="containsText" dxfId="3788" priority="3630" operator="containsText" text="P">
      <formula>NOT(ISERROR(SEARCH("P",E232)))</formula>
    </cfRule>
    <cfRule type="containsText" dxfId="3787" priority="3631" operator="containsText" text="K">
      <formula>NOT(ISERROR(SEARCH("K",E232)))</formula>
    </cfRule>
  </conditionalFormatting>
  <conditionalFormatting sqref="F168:G168 I168">
    <cfRule type="expression" dxfId="3786" priority="3625" stopIfTrue="1">
      <formula>IF(WEEKDAY(F$8)=1,TRUE,FALSE)</formula>
    </cfRule>
    <cfRule type="containsText" dxfId="3785" priority="3626" operator="containsText" text="P">
      <formula>NOT(ISERROR(SEARCH("P",F168)))</formula>
    </cfRule>
    <cfRule type="containsText" dxfId="3784" priority="3627" operator="containsText" text="K">
      <formula>NOT(ISERROR(SEARCH("K",F168)))</formula>
    </cfRule>
  </conditionalFormatting>
  <conditionalFormatting sqref="F169:G170">
    <cfRule type="expression" dxfId="3783" priority="3624" stopIfTrue="1">
      <formula>IF(WEEKDAY(F$8)=1,TRUE,FALSE)</formula>
    </cfRule>
  </conditionalFormatting>
  <conditionalFormatting sqref="F170:G170">
    <cfRule type="containsText" dxfId="3782" priority="3623" operator="containsText" text="K">
      <formula>NOT(ISERROR(SEARCH("K",F170)))</formula>
    </cfRule>
  </conditionalFormatting>
  <conditionalFormatting sqref="F175:G175">
    <cfRule type="containsText" dxfId="3781" priority="3622" operator="containsText" text="P">
      <formula>NOT(ISERROR(SEARCH("P",F175)))</formula>
    </cfRule>
  </conditionalFormatting>
  <conditionalFormatting sqref="F180:G180">
    <cfRule type="expression" dxfId="3780" priority="3619" stopIfTrue="1">
      <formula>IF(WEEKDAY(F$8)=1,TRUE,FALSE)</formula>
    </cfRule>
    <cfRule type="containsText" dxfId="3779" priority="3620" operator="containsText" text="K">
      <formula>NOT(ISERROR(SEARCH("K",F180)))</formula>
    </cfRule>
    <cfRule type="containsText" dxfId="3778" priority="3621" operator="containsText" text="P">
      <formula>NOT(ISERROR(SEARCH("P",F180)))</formula>
    </cfRule>
  </conditionalFormatting>
  <conditionalFormatting sqref="F183:G183 F185:G185 G184">
    <cfRule type="expression" dxfId="3777" priority="3616" stopIfTrue="1">
      <formula>IF(WEEKDAY(F$8)=1,TRUE,FALSE)</formula>
    </cfRule>
    <cfRule type="containsText" dxfId="3776" priority="3617" operator="containsText" text="K">
      <formula>NOT(ISERROR(SEARCH("K",F183)))</formula>
    </cfRule>
    <cfRule type="containsText" dxfId="3775" priority="3618" operator="containsText" text="P">
      <formula>NOT(ISERROR(SEARCH("P",F183)))</formula>
    </cfRule>
  </conditionalFormatting>
  <conditionalFormatting sqref="F189:G189">
    <cfRule type="expression" dxfId="3774" priority="3613" stopIfTrue="1">
      <formula>IF(WEEKDAY(F$8)=1,TRUE,FALSE)</formula>
    </cfRule>
    <cfRule type="containsText" dxfId="3773" priority="3614" operator="containsText" text="K">
      <formula>NOT(ISERROR(SEARCH("K",F189)))</formula>
    </cfRule>
    <cfRule type="containsText" dxfId="3772" priority="3615" operator="containsText" text="P">
      <formula>NOT(ISERROR(SEARCH("P",F189)))</formula>
    </cfRule>
  </conditionalFormatting>
  <conditionalFormatting sqref="F194:G194">
    <cfRule type="expression" dxfId="3771" priority="3610" stopIfTrue="1">
      <formula>IF(WEEKDAY(F$8)=1,TRUE,FALSE)</formula>
    </cfRule>
    <cfRule type="containsText" dxfId="3770" priority="3611" operator="containsText" text="K">
      <formula>NOT(ISERROR(SEARCH("K",F194)))</formula>
    </cfRule>
    <cfRule type="containsText" dxfId="3769" priority="3612" operator="containsText" text="P">
      <formula>NOT(ISERROR(SEARCH("P",F194)))</formula>
    </cfRule>
  </conditionalFormatting>
  <conditionalFormatting sqref="F199:G199">
    <cfRule type="expression" dxfId="3768" priority="3607" stopIfTrue="1">
      <formula>IF(WEEKDAY(F$8)=1,TRUE,FALSE)</formula>
    </cfRule>
    <cfRule type="containsText" dxfId="3767" priority="3608" operator="containsText" text="K">
      <formula>NOT(ISERROR(SEARCH("K",F199)))</formula>
    </cfRule>
    <cfRule type="containsText" dxfId="3766" priority="3609" operator="containsText" text="P">
      <formula>NOT(ISERROR(SEARCH("P",F199)))</formula>
    </cfRule>
  </conditionalFormatting>
  <conditionalFormatting sqref="F202:G203 F207:G208 G204:G206">
    <cfRule type="expression" dxfId="3765" priority="3604" stopIfTrue="1">
      <formula>IF(WEEKDAY(F$8)=1,TRUE,FALSE)</formula>
    </cfRule>
    <cfRule type="containsText" dxfId="3764" priority="3605" operator="containsText" text="K">
      <formula>NOT(ISERROR(SEARCH("K",F202)))</formula>
    </cfRule>
    <cfRule type="containsText" dxfId="3763" priority="3606" operator="containsText" text="P">
      <formula>NOT(ISERROR(SEARCH("P",F202)))</formula>
    </cfRule>
  </conditionalFormatting>
  <conditionalFormatting sqref="G211">
    <cfRule type="expression" dxfId="3762" priority="3601" stopIfTrue="1">
      <formula>IF(WEEKDAY(G$8)=1,TRUE,FALSE)</formula>
    </cfRule>
    <cfRule type="containsText" dxfId="3761" priority="3602" operator="containsText" text="K">
      <formula>NOT(ISERROR(SEARCH("K",G211)))</formula>
    </cfRule>
    <cfRule type="containsText" dxfId="3760" priority="3603" operator="containsText" text="P">
      <formula>NOT(ISERROR(SEARCH("P",G211)))</formula>
    </cfRule>
  </conditionalFormatting>
  <conditionalFormatting sqref="F80:H80 E81:H81">
    <cfRule type="containsText" dxfId="3759" priority="3600" operator="containsText" text="P">
      <formula>NOT(ISERROR(SEARCH("P",E80)))</formula>
    </cfRule>
  </conditionalFormatting>
  <conditionalFormatting sqref="F145:H145 W218:W222 Z164:AE178 Z217:AE230 G103:H104 J103:J104">
    <cfRule type="containsText" dxfId="3758" priority="3599" operator="containsText" text="P">
      <formula>NOT(ISERROR(SEARCH("P",F103)))</formula>
    </cfRule>
  </conditionalFormatting>
  <conditionalFormatting sqref="F145:H145 AI154:AI159 W218:W222">
    <cfRule type="expression" dxfId="3757" priority="3598" stopIfTrue="1">
      <formula>IF(WEEKDAY(F$8)=1,TRUE,FALSE)</formula>
    </cfRule>
  </conditionalFormatting>
  <conditionalFormatting sqref="F151:H151">
    <cfRule type="expression" dxfId="3756" priority="3595" stopIfTrue="1">
      <formula>IF(WEEKDAY(F$8)=1,TRUE,FALSE)</formula>
    </cfRule>
    <cfRule type="containsText" dxfId="3755" priority="3596" operator="containsText" text="P">
      <formula>NOT(ISERROR(SEARCH("P",F151)))</formula>
    </cfRule>
    <cfRule type="containsText" dxfId="3754" priority="3597" operator="containsText" text="K">
      <formula>NOT(ISERROR(SEARCH("K",F151)))</formula>
    </cfRule>
  </conditionalFormatting>
  <conditionalFormatting sqref="F145:I145 K145:Y145 AG145">
    <cfRule type="expression" dxfId="3753" priority="3594" stopIfTrue="1">
      <formula>IF(WEEKDAY(F$8)=1,TRUE,FALSE)</formula>
    </cfRule>
  </conditionalFormatting>
  <conditionalFormatting sqref="F145:I145 K145:Y145">
    <cfRule type="containsText" dxfId="3752" priority="3592" operator="containsText" text="P">
      <formula>NOT(ISERROR(SEARCH("P",F145)))</formula>
    </cfRule>
    <cfRule type="containsText" dxfId="3751" priority="3593" operator="containsText" text="K">
      <formula>NOT(ISERROR(SEARCH("K",F145)))</formula>
    </cfRule>
  </conditionalFormatting>
  <conditionalFormatting sqref="F152:I152 K152:O152 R152:Y152 Y153 R156:Y160 I162 P162 AH197 U98:Y98 H203 J203 O203:Q203">
    <cfRule type="containsText" dxfId="3750" priority="3591" operator="containsText" text="K">
      <formula>NOT(ISERROR(SEARCH("K",F98)))</formula>
    </cfRule>
  </conditionalFormatting>
  <conditionalFormatting sqref="F152:I152 K152:O152 R152:Y152 Y153 R156:Y160 I162 P162">
    <cfRule type="containsText" dxfId="3749" priority="3590" operator="containsText" text="P">
      <formula>NOT(ISERROR(SEARCH("P",F152)))</formula>
    </cfRule>
  </conditionalFormatting>
  <conditionalFormatting sqref="F166:I166">
    <cfRule type="expression" dxfId="3748" priority="3587" stopIfTrue="1">
      <formula>IF(WEEKDAY(F$8)=1,TRUE,FALSE)</formula>
    </cfRule>
    <cfRule type="containsText" dxfId="3747" priority="3588" operator="containsText" text="P">
      <formula>NOT(ISERROR(SEARCH("P",F166)))</formula>
    </cfRule>
    <cfRule type="containsText" dxfId="3746" priority="3589" operator="containsText" text="K">
      <formula>NOT(ISERROR(SEARCH("K",F166)))</formula>
    </cfRule>
  </conditionalFormatting>
  <conditionalFormatting sqref="F56:J56 M56:S56 U56:Y56 AI102">
    <cfRule type="containsText" dxfId="3745" priority="3586" operator="containsText" text="K">
      <formula>NOT(ISERROR(SEARCH("K",F56)))</formula>
    </cfRule>
  </conditionalFormatting>
  <conditionalFormatting sqref="F68:J68 M68:S68 U68:Y68">
    <cfRule type="expression" dxfId="3744" priority="3583" stopIfTrue="1">
      <formula>IF(WEEKDAY(F$8)=1,TRUE,FALSE)</formula>
    </cfRule>
    <cfRule type="containsText" dxfId="3743" priority="3584" operator="containsText" text="P">
      <formula>NOT(ISERROR(SEARCH("P",F68)))</formula>
    </cfRule>
    <cfRule type="containsText" dxfId="3742" priority="3585" operator="containsText" text="K">
      <formula>NOT(ISERROR(SEARCH("K",F68)))</formula>
    </cfRule>
  </conditionalFormatting>
  <conditionalFormatting sqref="F68:J68 M68:S68">
    <cfRule type="containsText" dxfId="3741" priority="3582" operator="containsText" text="P">
      <formula>NOT(ISERROR(SEARCH("P",F68)))</formula>
    </cfRule>
  </conditionalFormatting>
  <conditionalFormatting sqref="F75:J75 M75:Y75">
    <cfRule type="containsText" dxfId="3740" priority="3578" operator="containsText" text="P">
      <formula>NOT(ISERROR(SEARCH("P",F75)))</formula>
    </cfRule>
    <cfRule type="expression" dxfId="3739" priority="3579" stopIfTrue="1">
      <formula>IF(WEEKDAY(F$8)=1,TRUE,FALSE)</formula>
    </cfRule>
    <cfRule type="containsText" dxfId="3738" priority="3580" operator="containsText" text="P">
      <formula>NOT(ISERROR(SEARCH("P",F75)))</formula>
    </cfRule>
    <cfRule type="containsText" dxfId="3737" priority="3581" operator="containsText" text="K">
      <formula>NOT(ISERROR(SEARCH("K",F75)))</formula>
    </cfRule>
  </conditionalFormatting>
  <conditionalFormatting sqref="F78:J78 J103:J105">
    <cfRule type="containsText" dxfId="3736" priority="3577" operator="containsText" text="P">
      <formula>NOT(ISERROR(SEARCH("P",F78)))</formula>
    </cfRule>
  </conditionalFormatting>
  <conditionalFormatting sqref="F78:J78 N78:S78 U78:Y78">
    <cfRule type="containsText" dxfId="3735" priority="3576" operator="containsText" text="P">
      <formula>NOT(ISERROR(SEARCH("P",F78)))</formula>
    </cfRule>
  </conditionalFormatting>
  <conditionalFormatting sqref="F78:J78 U78:Y78 N78:S78">
    <cfRule type="expression" dxfId="3734" priority="3575" stopIfTrue="1">
      <formula>IF(WEEKDAY(F$8)=1,TRUE,FALSE)</formula>
    </cfRule>
  </conditionalFormatting>
  <conditionalFormatting sqref="F152:J152 I162">
    <cfRule type="containsText" dxfId="3733" priority="3574" operator="containsText" text="P">
      <formula>NOT(ISERROR(SEARCH("P",F152)))</formula>
    </cfRule>
  </conditionalFormatting>
  <conditionalFormatting sqref="F44:K44 M44 V44">
    <cfRule type="expression" dxfId="3732" priority="3573" stopIfTrue="1">
      <formula>IF(WEEKDAY(F$8)=1,TRUE,FALSE)</formula>
    </cfRule>
  </conditionalFormatting>
  <conditionalFormatting sqref="F44:K44">
    <cfRule type="containsText" dxfId="3731" priority="3572" operator="containsText" text="K">
      <formula>NOT(ISERROR(SEARCH("K",F44)))</formula>
    </cfRule>
  </conditionalFormatting>
  <conditionalFormatting sqref="F67:K67">
    <cfRule type="containsText" dxfId="3730" priority="3570" operator="containsText" text="P">
      <formula>NOT(ISERROR(SEARCH("P",F67)))</formula>
    </cfRule>
    <cfRule type="containsText" dxfId="3729" priority="3571" operator="containsText" text="K">
      <formula>NOT(ISERROR(SEARCH("K",F67)))</formula>
    </cfRule>
  </conditionalFormatting>
  <conditionalFormatting sqref="F67:L67">
    <cfRule type="expression" dxfId="3728" priority="3569" stopIfTrue="1">
      <formula>IF(WEEKDAY(F$8)=1,TRUE,FALSE)</formula>
    </cfRule>
  </conditionalFormatting>
  <conditionalFormatting sqref="F78:L78 N78:S78 U78:Y78 K79:V79">
    <cfRule type="containsText" dxfId="3727" priority="3568" operator="containsText" text="K">
      <formula>NOT(ISERROR(SEARCH("K",F78)))</formula>
    </cfRule>
  </conditionalFormatting>
  <conditionalFormatting sqref="F218:N220">
    <cfRule type="containsText" dxfId="3726" priority="3567" operator="containsText" text="P">
      <formula>NOT(ISERROR(SEARCH("P",F218)))</formula>
    </cfRule>
  </conditionalFormatting>
  <conditionalFormatting sqref="F152:O152 AJ230 I162 P162">
    <cfRule type="containsText" dxfId="3725" priority="3566" operator="containsText" text="K">
      <formula>NOT(ISERROR(SEARCH("K",F152)))</formula>
    </cfRule>
  </conditionalFormatting>
  <conditionalFormatting sqref="F152:O155 I162 P162 AJ230 V116:Y116">
    <cfRule type="expression" dxfId="3724" priority="3565" stopIfTrue="1">
      <formula>IF(WEEKDAY(F$8)=1,TRUE,FALSE)</formula>
    </cfRule>
  </conditionalFormatting>
  <conditionalFormatting sqref="F56:S56">
    <cfRule type="expression" dxfId="3723" priority="3564" stopIfTrue="1">
      <formula>IF(WEEKDAY(F$8)=1,TRUE,FALSE)</formula>
    </cfRule>
  </conditionalFormatting>
  <conditionalFormatting sqref="F69:S74 U69:Y74">
    <cfRule type="containsText" dxfId="3722" priority="3562" operator="containsText" text="K">
      <formula>NOT(ISERROR(SEARCH("K",F69)))</formula>
    </cfRule>
    <cfRule type="expression" dxfId="3721" priority="3563" stopIfTrue="1">
      <formula>IF(WEEKDAY(F$8)=1,TRUE,FALSE)</formula>
    </cfRule>
  </conditionalFormatting>
  <conditionalFormatting sqref="F144:S144 V144">
    <cfRule type="expression" dxfId="3720" priority="3558" stopIfTrue="1">
      <formula>IF(WEEKDAY(F$8)=1,TRUE,FALSE)</formula>
    </cfRule>
    <cfRule type="containsText" dxfId="3719" priority="3559" operator="containsText" text="K">
      <formula>NOT(ISERROR(SEARCH("K",F144)))</formula>
    </cfRule>
    <cfRule type="expression" dxfId="3718" priority="3560" stopIfTrue="1">
      <formula>IF(WEEKDAY(F$8)=1,TRUE,FALSE)</formula>
    </cfRule>
    <cfRule type="containsText" dxfId="3717" priority="3561" operator="containsText" text="P">
      <formula>NOT(ISERROR(SEARCH("P",F144)))</formula>
    </cfRule>
  </conditionalFormatting>
  <conditionalFormatting sqref="F147:S147 U147:Y147 F148:Y149">
    <cfRule type="expression" dxfId="3716" priority="3553" stopIfTrue="1">
      <formula>IF(WEEKDAY(F$8)=1,TRUE,FALSE)</formula>
    </cfRule>
    <cfRule type="containsText" dxfId="3715" priority="3554" operator="containsText" text="P">
      <formula>NOT(ISERROR(SEARCH("P",F147)))</formula>
    </cfRule>
    <cfRule type="expression" dxfId="3714" priority="3555" stopIfTrue="1">
      <formula>IF(WEEKDAY(F$8)=1,TRUE,FALSE)</formula>
    </cfRule>
    <cfRule type="containsText" dxfId="3713" priority="3556" operator="containsText" text="P">
      <formula>NOT(ISERROR(SEARCH("P",F147)))</formula>
    </cfRule>
    <cfRule type="containsText" dxfId="3712" priority="3557" operator="containsText" text="K">
      <formula>NOT(ISERROR(SEARCH("K",F147)))</formula>
    </cfRule>
  </conditionalFormatting>
  <conditionalFormatting sqref="F221:S221 U221:V221">
    <cfRule type="containsText" dxfId="3711" priority="3552" operator="containsText" text="P">
      <formula>NOT(ISERROR(SEARCH("P",F221)))</formula>
    </cfRule>
  </conditionalFormatting>
  <conditionalFormatting sqref="F106:T107">
    <cfRule type="expression" dxfId="3710" priority="3551" stopIfTrue="1">
      <formula>IF(WEEKDAY(F$8)=1,TRUE,FALSE)</formula>
    </cfRule>
  </conditionalFormatting>
  <conditionalFormatting sqref="F144:T144">
    <cfRule type="containsText" dxfId="3709" priority="3550" operator="containsText" text="K">
      <formula>NOT(ISERROR(SEARCH("K",F144)))</formula>
    </cfRule>
  </conditionalFormatting>
  <conditionalFormatting sqref="F147:T147">
    <cfRule type="containsText" dxfId="3708" priority="3549" operator="containsText" text="K">
      <formula>NOT(ISERROR(SEARCH("K",F147)))</formula>
    </cfRule>
  </conditionalFormatting>
  <conditionalFormatting sqref="F219:U219">
    <cfRule type="expression" dxfId="3707" priority="3548" stopIfTrue="1">
      <formula>IF(WEEKDAY(F$8)=1,TRUE,FALSE)</formula>
    </cfRule>
  </conditionalFormatting>
  <conditionalFormatting sqref="F218:V218 X218:Y218">
    <cfRule type="expression" dxfId="3706" priority="3547" stopIfTrue="1">
      <formula>IF(WEEKDAY(F$8)=1,TRUE,FALSE)</formula>
    </cfRule>
  </conditionalFormatting>
  <conditionalFormatting sqref="F220:V220 F221:S222 U221:V221">
    <cfRule type="expression" dxfId="3705" priority="3546" stopIfTrue="1">
      <formula>IF(WEEKDAY(F$8)=1,TRUE,FALSE)</formula>
    </cfRule>
  </conditionalFormatting>
  <conditionalFormatting sqref="F142:W142">
    <cfRule type="expression" dxfId="3704" priority="3545" stopIfTrue="1">
      <formula>IF(WEEKDAY(F$8)=1,TRUE,FALSE)</formula>
    </cfRule>
  </conditionalFormatting>
  <conditionalFormatting sqref="F161:W161">
    <cfRule type="expression" dxfId="3703" priority="3540" stopIfTrue="1">
      <formula>IF(WEEKDAY(F$8)=1,TRUE,FALSE)</formula>
    </cfRule>
    <cfRule type="containsText" dxfId="3702" priority="3541" operator="containsText" text="P">
      <formula>NOT(ISERROR(SEARCH("P",F161)))</formula>
    </cfRule>
    <cfRule type="expression" dxfId="3701" priority="3542" stopIfTrue="1">
      <formula>IF(WEEKDAY(F$8)=1,TRUE,FALSE)</formula>
    </cfRule>
    <cfRule type="containsText" dxfId="3700" priority="3543" operator="containsText" text="P">
      <formula>NOT(ISERROR(SEARCH("P",F161)))</formula>
    </cfRule>
    <cfRule type="containsText" dxfId="3699" priority="3544" operator="containsText" text="K">
      <formula>NOT(ISERROR(SEARCH("K",F161)))</formula>
    </cfRule>
  </conditionalFormatting>
  <conditionalFormatting sqref="F75:Y75">
    <cfRule type="expression" dxfId="3698" priority="3539" stopIfTrue="1">
      <formula>IF(WEEKDAY(F$8)=1,TRUE,FALSE)</formula>
    </cfRule>
  </conditionalFormatting>
  <conditionalFormatting sqref="F82:Y83">
    <cfRule type="expression" dxfId="3697" priority="3538" stopIfTrue="1">
      <formula>IF(WEEKDAY(F$8)=1,TRUE,FALSE)</formula>
    </cfRule>
  </conditionalFormatting>
  <conditionalFormatting sqref="F93:Y95">
    <cfRule type="containsText" dxfId="3696" priority="3536" operator="containsText" text="K">
      <formula>NOT(ISERROR(SEARCH("K",F93)))</formula>
    </cfRule>
    <cfRule type="expression" dxfId="3695" priority="3537" stopIfTrue="1">
      <formula>IF(WEEKDAY(F$8)=1,TRUE,FALSE)</formula>
    </cfRule>
  </conditionalFormatting>
  <conditionalFormatting sqref="F161:Y161">
    <cfRule type="containsText" dxfId="3694" priority="3535" operator="containsText" text="K">
      <formula>NOT(ISERROR(SEARCH("K",F161)))</formula>
    </cfRule>
  </conditionalFormatting>
  <conditionalFormatting sqref="F24:AJ24 L44:L47 S44:S47 AJ44:AJ48 BF44:BG48 AJ50:AJ89 Z50:AE112 Q85:Q91 R90:Y90 AF99:AJ101 AF103:AJ112 T109:Y112 F113:Y115 Z113:AJ117 I151:I155 AJ151:AJ158 BF151:BG161 F153:H155 J153:O155 V153:V155 F15:F16 E110:S110 F111:S111 E112:S112 E120:AJ120 F121:AJ122 F118:AJ118 AJ25 X44 U44:U46 P154:P160">
    <cfRule type="containsText" dxfId="3693" priority="3534" operator="containsText" text="P">
      <formula>NOT(ISERROR(SEARCH("P",E15)))</formula>
    </cfRule>
  </conditionalFormatting>
  <conditionalFormatting sqref="F24:AJ24">
    <cfRule type="expression" dxfId="3692" priority="3533" stopIfTrue="1">
      <formula>IF(WEEKDAY(F$8)=1,TRUE,FALSE)</formula>
    </cfRule>
  </conditionalFormatting>
  <conditionalFormatting sqref="G15 N15 U15 G16:U16">
    <cfRule type="containsText" dxfId="3691" priority="3532" operator="containsText" text="K">
      <formula>NOT(ISERROR(SEARCH("K",G15)))</formula>
    </cfRule>
  </conditionalFormatting>
  <conditionalFormatting sqref="G15 N15 U15 V116:Y116">
    <cfRule type="containsText" dxfId="3690" priority="3531" operator="containsText" text="P">
      <formula>NOT(ISERROR(SEARCH("P",G15)))</formula>
    </cfRule>
  </conditionalFormatting>
  <conditionalFormatting sqref="G15 N15 U15 Z154:AF162">
    <cfRule type="expression" dxfId="3689" priority="3530" stopIfTrue="1">
      <formula>IF(WEEKDAY(G$8)=1,TRUE,FALSE)</formula>
    </cfRule>
  </conditionalFormatting>
  <conditionalFormatting sqref="G15 N15 U15 AF154:AF162">
    <cfRule type="containsText" dxfId="3688" priority="3529" operator="containsText" text="P">
      <formula>NOT(ISERROR(SEARCH("P",G15)))</formula>
    </cfRule>
  </conditionalFormatting>
  <conditionalFormatting sqref="G23 N23 E185 E190:F190 E193:F193">
    <cfRule type="containsText" dxfId="3687" priority="3526" operator="containsText" text="P">
      <formula>NOT(ISERROR(SEARCH(("P"),(E23))))</formula>
    </cfRule>
    <cfRule type="containsText" dxfId="3686" priority="3527" operator="containsText" text="K">
      <formula>NOT(ISERROR(SEARCH(("K"),(E23))))</formula>
    </cfRule>
    <cfRule type="expression" dxfId="3685" priority="3528" stopIfTrue="1">
      <formula>IF(WEEKDAY(E$8)=1,TRUE,FALSE)</formula>
    </cfRule>
  </conditionalFormatting>
  <conditionalFormatting sqref="G38">
    <cfRule type="expression" dxfId="3684" priority="3523" stopIfTrue="1">
      <formula>IF(WEEKDAY(G$8)=1,TRUE,FALSE)</formula>
    </cfRule>
    <cfRule type="containsText" dxfId="3683" priority="3524" operator="containsText" text="P">
      <formula>NOT(ISERROR(SEARCH("P",G38)))</formula>
    </cfRule>
    <cfRule type="containsText" dxfId="3682" priority="3525" operator="containsText" text="K">
      <formula>NOT(ISERROR(SEARCH("K",G38)))</formula>
    </cfRule>
  </conditionalFormatting>
  <conditionalFormatting sqref="G38:G42">
    <cfRule type="expression" dxfId="3681" priority="3517" stopIfTrue="1">
      <formula>IF(WEEKDAY(G$8)=1,TRUE,FALSE)</formula>
    </cfRule>
    <cfRule type="containsText" dxfId="3680" priority="3518" operator="containsText" text="P">
      <formula>NOT(ISERROR(SEARCH("P",G38)))</formula>
    </cfRule>
    <cfRule type="containsText" dxfId="3679" priority="3519" operator="containsText" text="K">
      <formula>NOT(ISERROR(SEARCH("K",G38)))</formula>
    </cfRule>
    <cfRule type="expression" dxfId="3678" priority="3520" stopIfTrue="1">
      <formula>IF(WEEKDAY(G$8)=1,TRUE,FALSE)</formula>
    </cfRule>
    <cfRule type="containsText" dxfId="3677" priority="3521" operator="containsText" text="P">
      <formula>NOT(ISERROR(SEARCH("P",G38)))</formula>
    </cfRule>
    <cfRule type="containsText" dxfId="3676" priority="3522" operator="containsText" text="K">
      <formula>NOT(ISERROR(SEARCH("K",G38)))</formula>
    </cfRule>
  </conditionalFormatting>
  <conditionalFormatting sqref="G39:G42">
    <cfRule type="expression" dxfId="3675" priority="3514" stopIfTrue="1">
      <formula>IF(WEEKDAY(G$8)=1,TRUE,FALSE)</formula>
    </cfRule>
    <cfRule type="containsText" dxfId="3674" priority="3515" operator="containsText" text="P">
      <formula>NOT(ISERROR(SEARCH("P",G39)))</formula>
    </cfRule>
    <cfRule type="containsText" dxfId="3673" priority="3516" operator="containsText" text="K">
      <formula>NOT(ISERROR(SEARCH("K",G39)))</formula>
    </cfRule>
  </conditionalFormatting>
  <conditionalFormatting sqref="G44">
    <cfRule type="containsText" dxfId="3672" priority="3513" operator="containsText" text="P">
      <formula>NOT(ISERROR(SEARCH("P",G44)))</formula>
    </cfRule>
  </conditionalFormatting>
  <conditionalFormatting sqref="G45:G47">
    <cfRule type="expression" dxfId="3671" priority="3511" stopIfTrue="1">
      <formula>IF(WEEKDAY(G$8)=1,TRUE,FALSE)</formula>
    </cfRule>
    <cfRule type="containsText" dxfId="3670" priority="3512" operator="containsText" text="P">
      <formula>NOT(ISERROR(SEARCH("P",G45)))</formula>
    </cfRule>
  </conditionalFormatting>
  <conditionalFormatting sqref="G48 K48:O48">
    <cfRule type="expression" dxfId="3669" priority="3510" stopIfTrue="1">
      <formula>IF(WEEKDAY(G$8)=1,TRUE,FALSE)</formula>
    </cfRule>
  </conditionalFormatting>
  <conditionalFormatting sqref="G48 K48:P48">
    <cfRule type="containsText" dxfId="3668" priority="3509" operator="containsText" text="P">
      <formula>NOT(ISERROR(SEARCH("P",G48)))</formula>
    </cfRule>
  </conditionalFormatting>
  <conditionalFormatting sqref="G48">
    <cfRule type="containsText" dxfId="3667" priority="3508" operator="containsText" text="P">
      <formula>NOT(ISERROR(SEARCH("P",G48)))</formula>
    </cfRule>
  </conditionalFormatting>
  <conditionalFormatting sqref="G67">
    <cfRule type="expression" dxfId="3666" priority="3506" stopIfTrue="1">
      <formula>IF(WEEKDAY(G$8)=1,TRUE,FALSE)</formula>
    </cfRule>
    <cfRule type="containsText" dxfId="3665" priority="3507" operator="containsText" text="P">
      <formula>NOT(ISERROR(SEARCH("P",G67)))</formula>
    </cfRule>
  </conditionalFormatting>
  <conditionalFormatting sqref="G102 K102:L102">
    <cfRule type="containsText" dxfId="3664" priority="3505" operator="containsText" text="K">
      <formula>NOT(ISERROR(SEARCH("K",G102)))</formula>
    </cfRule>
  </conditionalFormatting>
  <conditionalFormatting sqref="G102">
    <cfRule type="containsText" dxfId="3663" priority="3503" operator="containsText" text="K">
      <formula>NOT(ISERROR(SEARCH("K",G102)))</formula>
    </cfRule>
    <cfRule type="containsText" dxfId="3662" priority="3504" operator="containsText" text="P">
      <formula>NOT(ISERROR(SEARCH("P",G102)))</formula>
    </cfRule>
  </conditionalFormatting>
  <conditionalFormatting sqref="G162 I162 K162:M162">
    <cfRule type="expression" dxfId="3661" priority="3501" stopIfTrue="1">
      <formula>IF(WEEKDAY(G$8)=1,TRUE,FALSE)</formula>
    </cfRule>
    <cfRule type="containsText" dxfId="3660" priority="3502" operator="containsText" text="P">
      <formula>NOT(ISERROR(SEARCH("P",G162)))</formula>
    </cfRule>
  </conditionalFormatting>
  <conditionalFormatting sqref="G162 I162 K162:N162">
    <cfRule type="containsText" dxfId="3659" priority="3500" operator="containsText" text="K">
      <formula>NOT(ISERROR(SEARCH("K",G162)))</formula>
    </cfRule>
  </conditionalFormatting>
  <conditionalFormatting sqref="G162 I162 K162:O162">
    <cfRule type="containsText" dxfId="3658" priority="3499" operator="containsText" text="P">
      <formula>NOT(ISERROR(SEARCH("P",G162)))</formula>
    </cfRule>
  </conditionalFormatting>
  <conditionalFormatting sqref="G162">
    <cfRule type="expression" dxfId="3657" priority="3496" stopIfTrue="1">
      <formula>IF(WEEKDAY(G$8)=1,TRUE,FALSE)</formula>
    </cfRule>
    <cfRule type="containsText" dxfId="3656" priority="3497" operator="containsText" text="P">
      <formula>NOT(ISERROR(SEARCH("P",G162)))</formula>
    </cfRule>
    <cfRule type="containsText" dxfId="3655" priority="3498" operator="containsText" text="K">
      <formula>NOT(ISERROR(SEARCH("K",G162)))</formula>
    </cfRule>
  </conditionalFormatting>
  <conditionalFormatting sqref="G168 I168">
    <cfRule type="containsText" dxfId="3654" priority="3495" operator="containsText" text="P">
      <formula>NOT(ISERROR(SEARCH("P",G168)))</formula>
    </cfRule>
  </conditionalFormatting>
  <conditionalFormatting sqref="G168 I168:I169 M168:N168">
    <cfRule type="expression" dxfId="3653" priority="3494" stopIfTrue="1">
      <formula>IF(WEEKDAY(G$8)=1,TRUE,FALSE)</formula>
    </cfRule>
  </conditionalFormatting>
  <conditionalFormatting sqref="G168 I168:J168">
    <cfRule type="containsText" dxfId="3652" priority="3493" operator="containsText" text="K">
      <formula>NOT(ISERROR(SEARCH("K",G168)))</formula>
    </cfRule>
  </conditionalFormatting>
  <conditionalFormatting sqref="G169">
    <cfRule type="containsText" dxfId="3651" priority="3485" operator="containsText" text="P">
      <formula>NOT(ISERROR(SEARCH("P",G169)))</formula>
    </cfRule>
    <cfRule type="containsText" dxfId="3650" priority="3486" operator="containsText" text="K">
      <formula>NOT(ISERROR(SEARCH("K",G169)))</formula>
    </cfRule>
    <cfRule type="expression" dxfId="3649" priority="3487" stopIfTrue="1">
      <formula>IF(WEEKDAY(G$8)=1,TRUE,FALSE)</formula>
    </cfRule>
    <cfRule type="containsText" dxfId="3648" priority="3488" operator="containsText" text="P">
      <formula>NOT(ISERROR(SEARCH("P",G169)))</formula>
    </cfRule>
    <cfRule type="containsText" dxfId="3647" priority="3489" operator="containsText" text="K">
      <formula>NOT(ISERROR(SEARCH("K",G169)))</formula>
    </cfRule>
    <cfRule type="expression" dxfId="3646" priority="3490" stopIfTrue="1">
      <formula>IF(WEEKDAY(G$8)=1,TRUE,FALSE)</formula>
    </cfRule>
    <cfRule type="containsText" dxfId="3645" priority="3491" operator="containsText" text="P">
      <formula>NOT(ISERROR(SEARCH("P",G169)))</formula>
    </cfRule>
    <cfRule type="containsText" dxfId="3644" priority="3492" operator="containsText" text="K">
      <formula>NOT(ISERROR(SEARCH("K",G169)))</formula>
    </cfRule>
  </conditionalFormatting>
  <conditionalFormatting sqref="G170">
    <cfRule type="containsText" dxfId="3643" priority="3481" operator="containsText" text="K">
      <formula>NOT(ISERROR(SEARCH("K",G170)))</formula>
    </cfRule>
    <cfRule type="expression" dxfId="3642" priority="3482" stopIfTrue="1">
      <formula>IF(WEEKDAY(G$8)=1,TRUE,FALSE)</formula>
    </cfRule>
    <cfRule type="containsText" dxfId="3641" priority="3483" operator="containsText" text="P">
      <formula>NOT(ISERROR(SEARCH("P",G170)))</formula>
    </cfRule>
    <cfRule type="containsText" dxfId="3640" priority="3484" operator="containsText" text="P">
      <formula>NOT(ISERROR(SEARCH("P",G170)))</formula>
    </cfRule>
  </conditionalFormatting>
  <conditionalFormatting sqref="G170:G171">
    <cfRule type="containsText" dxfId="3639" priority="3480" operator="containsText" text="P">
      <formula>NOT(ISERROR(SEARCH("P",G170)))</formula>
    </cfRule>
  </conditionalFormatting>
  <conditionalFormatting sqref="G171">
    <cfRule type="containsText" dxfId="3638" priority="3477" operator="containsText" text="K">
      <formula>NOT(ISERROR(SEARCH("K",G171)))</formula>
    </cfRule>
    <cfRule type="expression" dxfId="3637" priority="3478" stopIfTrue="1">
      <formula>IF(WEEKDAY(G$8)=1,TRUE,FALSE)</formula>
    </cfRule>
    <cfRule type="containsText" dxfId="3636" priority="3479" operator="containsText" text="P">
      <formula>NOT(ISERROR(SEARCH("P",G171)))</formula>
    </cfRule>
  </conditionalFormatting>
  <conditionalFormatting sqref="G173 I173 M173:O173">
    <cfRule type="expression" dxfId="3635" priority="3476" stopIfTrue="1">
      <formula>IF(WEEKDAY(G$8)=1,TRUE,FALSE)</formula>
    </cfRule>
  </conditionalFormatting>
  <conditionalFormatting sqref="G173 I173">
    <cfRule type="containsText" dxfId="3634" priority="3475" operator="containsText" text="P">
      <formula>NOT(ISERROR(SEARCH("P",G173)))</formula>
    </cfRule>
  </conditionalFormatting>
  <conditionalFormatting sqref="G173:G174 I174">
    <cfRule type="containsText" dxfId="3633" priority="3474" operator="containsText" text="P">
      <formula>NOT(ISERROR(SEARCH("P",G173)))</formula>
    </cfRule>
  </conditionalFormatting>
  <conditionalFormatting sqref="G174 I174 M174:N174">
    <cfRule type="expression" dxfId="3632" priority="3473" stopIfTrue="1">
      <formula>IF(WEEKDAY(G$8)=1,TRUE,FALSE)</formula>
    </cfRule>
  </conditionalFormatting>
  <conditionalFormatting sqref="G174 I174:J174">
    <cfRule type="containsText" dxfId="3631" priority="3472" operator="containsText" text="K">
      <formula>NOT(ISERROR(SEARCH("K",G174)))</formula>
    </cfRule>
  </conditionalFormatting>
  <conditionalFormatting sqref="G175">
    <cfRule type="containsText" dxfId="3630" priority="3470" operator="containsText" text="P">
      <formula>NOT(ISERROR(SEARCH("P",G175)))</formula>
    </cfRule>
    <cfRule type="containsText" dxfId="3629" priority="3471" operator="containsText" text="K">
      <formula>NOT(ISERROR(SEARCH("K",G175)))</formula>
    </cfRule>
  </conditionalFormatting>
  <conditionalFormatting sqref="G175:G176">
    <cfRule type="containsText" dxfId="3628" priority="3468" operator="containsText" text="K">
      <formula>NOT(ISERROR(SEARCH("K",G175)))</formula>
    </cfRule>
    <cfRule type="expression" dxfId="3627" priority="3469" stopIfTrue="1">
      <formula>IF(WEEKDAY(G$8)=1,TRUE,FALSE)</formula>
    </cfRule>
  </conditionalFormatting>
  <conditionalFormatting sqref="G175:G177">
    <cfRule type="containsText" dxfId="3626" priority="3467" operator="containsText" text="P">
      <formula>NOT(ISERROR(SEARCH("P",G175)))</formula>
    </cfRule>
  </conditionalFormatting>
  <conditionalFormatting sqref="G176">
    <cfRule type="containsText" dxfId="3625" priority="3462" operator="containsText" text="P">
      <formula>NOT(ISERROR(SEARCH("P",G176)))</formula>
    </cfRule>
    <cfRule type="containsText" dxfId="3624" priority="3463" operator="containsText" text="K">
      <formula>NOT(ISERROR(SEARCH("K",G176)))</formula>
    </cfRule>
    <cfRule type="expression" dxfId="3623" priority="3464" stopIfTrue="1">
      <formula>IF(WEEKDAY(G$8)=1,TRUE,FALSE)</formula>
    </cfRule>
    <cfRule type="containsText" dxfId="3622" priority="3465" operator="containsText" text="P">
      <formula>NOT(ISERROR(SEARCH("P",G176)))</formula>
    </cfRule>
    <cfRule type="containsText" dxfId="3621" priority="3466" operator="containsText" text="K">
      <formula>NOT(ISERROR(SEARCH("K",G176)))</formula>
    </cfRule>
  </conditionalFormatting>
  <conditionalFormatting sqref="G176:G177 E171:F171">
    <cfRule type="expression" dxfId="3620" priority="3461" stopIfTrue="1">
      <formula>IF(WEEKDAY(E$8)=1,TRUE,FALSE)</formula>
    </cfRule>
  </conditionalFormatting>
  <conditionalFormatting sqref="G177:G178 I178:J178">
    <cfRule type="expression" dxfId="3619" priority="3460" stopIfTrue="1">
      <formula>IF(WEEKDAY(G$8)=1,TRUE,FALSE)</formula>
    </cfRule>
  </conditionalFormatting>
  <conditionalFormatting sqref="G177:G178">
    <cfRule type="containsText" dxfId="3618" priority="3459" operator="containsText" text="K">
      <formula>NOT(ISERROR(SEARCH("K",G177)))</formula>
    </cfRule>
  </conditionalFormatting>
  <conditionalFormatting sqref="G178">
    <cfRule type="containsText" dxfId="3617" priority="3457" operator="containsText" text="P">
      <formula>NOT(ISERROR(SEARCH("P",G178)))</formula>
    </cfRule>
    <cfRule type="containsText" dxfId="3616" priority="3458" operator="containsText" text="P">
      <formula>NOT(ISERROR(SEARCH("P",G178)))</formula>
    </cfRule>
  </conditionalFormatting>
  <conditionalFormatting sqref="G181:G182">
    <cfRule type="expression" dxfId="3615" priority="3454" stopIfTrue="1">
      <formula>IF(WEEKDAY(G$8)=1,TRUE,FALSE)</formula>
    </cfRule>
    <cfRule type="containsText" dxfId="3614" priority="3455" operator="containsText" text="K">
      <formula>NOT(ISERROR(SEARCH("K",G181)))</formula>
    </cfRule>
    <cfRule type="containsText" dxfId="3613" priority="3456" operator="containsText" text="P">
      <formula>NOT(ISERROR(SEARCH("P",G181)))</formula>
    </cfRule>
  </conditionalFormatting>
  <conditionalFormatting sqref="G187:G188">
    <cfRule type="expression" dxfId="3612" priority="3451" stopIfTrue="1">
      <formula>IF(WEEKDAY(G$8)=1,TRUE,FALSE)</formula>
    </cfRule>
    <cfRule type="containsText" dxfId="3611" priority="3452" operator="containsText" text="K">
      <formula>NOT(ISERROR(SEARCH("K",G187)))</formula>
    </cfRule>
    <cfRule type="containsText" dxfId="3610" priority="3453" operator="containsText" text="P">
      <formula>NOT(ISERROR(SEARCH("P",G187)))</formula>
    </cfRule>
  </conditionalFormatting>
  <conditionalFormatting sqref="G190">
    <cfRule type="containsText" dxfId="3609" priority="3450" operator="containsText" text="P">
      <formula>NOT(ISERROR(SEARCH("P",G190)))</formula>
    </cfRule>
  </conditionalFormatting>
  <conditionalFormatting sqref="G191:G193">
    <cfRule type="containsText" dxfId="3608" priority="3449" operator="containsText" text="P">
      <formula>NOT(ISERROR(SEARCH("P",G191)))</formula>
    </cfRule>
  </conditionalFormatting>
  <conditionalFormatting sqref="G193">
    <cfRule type="expression" dxfId="3607" priority="3445" stopIfTrue="1">
      <formula>IF(WEEKDAY(G$8)=1,TRUE,FALSE)</formula>
    </cfRule>
    <cfRule type="containsText" dxfId="3606" priority="3446" operator="containsText" text="P">
      <formula>NOT(ISERROR(SEARCH("P",G193)))</formula>
    </cfRule>
    <cfRule type="containsText" dxfId="3605" priority="3447" operator="containsText" text="K">
      <formula>NOT(ISERROR(SEARCH("K",G193)))</formula>
    </cfRule>
    <cfRule type="expression" dxfId="3604" priority="3448" stopIfTrue="1">
      <formula>IF(WEEKDAY(G$8)=1,TRUE,FALSE)</formula>
    </cfRule>
  </conditionalFormatting>
  <conditionalFormatting sqref="G200">
    <cfRule type="expression" dxfId="3603" priority="3442" stopIfTrue="1">
      <formula>IF(WEEKDAY(G$8)=1,TRUE,FALSE)</formula>
    </cfRule>
    <cfRule type="containsText" dxfId="3602" priority="3443" operator="containsText" text="K">
      <formula>NOT(ISERROR(SEARCH("K",G200)))</formula>
    </cfRule>
    <cfRule type="containsText" dxfId="3601" priority="3444" operator="containsText" text="P">
      <formula>NOT(ISERROR(SEARCH("P",G200)))</formula>
    </cfRule>
  </conditionalFormatting>
  <conditionalFormatting sqref="G209:G210">
    <cfRule type="expression" dxfId="3600" priority="3439" stopIfTrue="1">
      <formula>IF(WEEKDAY(G$8)=1,TRUE,FALSE)</formula>
    </cfRule>
    <cfRule type="containsText" dxfId="3599" priority="3440" operator="containsText" text="K">
      <formula>NOT(ISERROR(SEARCH("K",G209)))</formula>
    </cfRule>
    <cfRule type="containsText" dxfId="3598" priority="3441" operator="containsText" text="P">
      <formula>NOT(ISERROR(SEARCH("P",G209)))</formula>
    </cfRule>
  </conditionalFormatting>
  <conditionalFormatting sqref="G212">
    <cfRule type="expression" dxfId="3597" priority="3436" stopIfTrue="1">
      <formula>IF(WEEKDAY(G$8)=1,TRUE,FALSE)</formula>
    </cfRule>
    <cfRule type="containsText" dxfId="3596" priority="3437" operator="containsText" text="K">
      <formula>NOT(ISERROR(SEARCH("K",G212)))</formula>
    </cfRule>
    <cfRule type="containsText" dxfId="3595" priority="3438" operator="containsText" text="P">
      <formula>NOT(ISERROR(SEARCH("P",G212)))</formula>
    </cfRule>
  </conditionalFormatting>
  <conditionalFormatting sqref="G47:H47">
    <cfRule type="containsText" dxfId="3594" priority="3435" operator="containsText" text="K">
      <formula>NOT(ISERROR(SEARCH("K",G47)))</formula>
    </cfRule>
  </conditionalFormatting>
  <conditionalFormatting sqref="G48:H48">
    <cfRule type="containsText" dxfId="3593" priority="3433" operator="containsText" text="P">
      <formula>NOT(ISERROR(SEARCH("P",G48)))</formula>
    </cfRule>
    <cfRule type="containsText" dxfId="3592" priority="3434" operator="containsText" text="K">
      <formula>NOT(ISERROR(SEARCH("K",G48)))</formula>
    </cfRule>
  </conditionalFormatting>
  <conditionalFormatting sqref="G50:H55">
    <cfRule type="containsText" dxfId="3591" priority="3430" operator="containsText" text="K">
      <formula>NOT(ISERROR(SEARCH("K",G50)))</formula>
    </cfRule>
    <cfRule type="expression" dxfId="3590" priority="3431" stopIfTrue="1">
      <formula>IF(WEEKDAY(G$8)=1,TRUE,FALSE)</formula>
    </cfRule>
    <cfRule type="containsText" dxfId="3589" priority="3432" operator="containsText" text="P">
      <formula>NOT(ISERROR(SEARCH("P",G50)))</formula>
    </cfRule>
  </conditionalFormatting>
  <conditionalFormatting sqref="G59:H59 F60:H60 G61:H66">
    <cfRule type="containsText" dxfId="3588" priority="3429" operator="containsText" text="P">
      <formula>NOT(ISERROR(SEARCH("P",F59)))</formula>
    </cfRule>
  </conditionalFormatting>
  <conditionalFormatting sqref="G79:H79">
    <cfRule type="expression" dxfId="3587" priority="3427" stopIfTrue="1">
      <formula>IF(WEEKDAY(G$8)=1,TRUE,FALSE)</formula>
    </cfRule>
    <cfRule type="containsText" dxfId="3586" priority="3428" operator="containsText" text="P">
      <formula>NOT(ISERROR(SEARCH("P",G79)))</formula>
    </cfRule>
  </conditionalFormatting>
  <conditionalFormatting sqref="G85:H91 Q85:Q91 F79">
    <cfRule type="expression" dxfId="3585" priority="3426" stopIfTrue="1">
      <formula>IF(WEEKDAY(F$8)=1,TRUE,FALSE)</formula>
    </cfRule>
  </conditionalFormatting>
  <conditionalFormatting sqref="G85:H91 Q85:Q91">
    <cfRule type="containsText" dxfId="3584" priority="3425" operator="containsText" text="K">
      <formula>NOT(ISERROR(SEARCH("K",G85)))</formula>
    </cfRule>
  </conditionalFormatting>
  <conditionalFormatting sqref="G96:H98">
    <cfRule type="expression" dxfId="3583" priority="3421" stopIfTrue="1">
      <formula>IF(WEEKDAY(G$8)=1,TRUE,FALSE)</formula>
    </cfRule>
    <cfRule type="containsText" dxfId="3582" priority="3422" operator="containsText" text="P">
      <formula>NOT(ISERROR(SEARCH("P",G96)))</formula>
    </cfRule>
    <cfRule type="expression" dxfId="3581" priority="3423" stopIfTrue="1">
      <formula>IF(WEEKDAY(G$8)=1,TRUE,FALSE)</formula>
    </cfRule>
    <cfRule type="containsText" dxfId="3580" priority="3424" operator="containsText" text="P">
      <formula>NOT(ISERROR(SEARCH("P",G96)))</formula>
    </cfRule>
  </conditionalFormatting>
  <conditionalFormatting sqref="G104:H104">
    <cfRule type="containsText" dxfId="3579" priority="3420" operator="containsText" text="K">
      <formula>NOT(ISERROR(SEARCH("K",G104)))</formula>
    </cfRule>
  </conditionalFormatting>
  <conditionalFormatting sqref="G141:H141 O141 V141:Y141">
    <cfRule type="expression" dxfId="3578" priority="3419" stopIfTrue="1">
      <formula>IF(WEEKDAY(G$8)=1,TRUE,FALSE)</formula>
    </cfRule>
  </conditionalFormatting>
  <conditionalFormatting sqref="G141:H141">
    <cfRule type="containsText" dxfId="3577" priority="3418" operator="containsText" text="P">
      <formula>NOT(ISERROR(SEARCH("P",G141)))</formula>
    </cfRule>
  </conditionalFormatting>
  <conditionalFormatting sqref="G151:H151">
    <cfRule type="expression" dxfId="3576" priority="3416" stopIfTrue="1">
      <formula>IF(WEEKDAY(G$8)=1,TRUE,FALSE)</formula>
    </cfRule>
    <cfRule type="containsText" dxfId="3575" priority="3417" operator="containsText" text="P">
      <formula>NOT(ISERROR(SEARCH("P",G151)))</formula>
    </cfRule>
  </conditionalFormatting>
  <conditionalFormatting sqref="G164:H165">
    <cfRule type="containsText" dxfId="3574" priority="3413" operator="containsText" text="K">
      <formula>NOT(ISERROR(SEARCH("K",G164)))</formula>
    </cfRule>
    <cfRule type="expression" dxfId="3573" priority="3414" stopIfTrue="1">
      <formula>IF(WEEKDAY(G$8)=1,TRUE,FALSE)</formula>
    </cfRule>
    <cfRule type="containsText" dxfId="3572" priority="3415" operator="containsText" text="P">
      <formula>NOT(ISERROR(SEARCH("P",G164)))</formula>
    </cfRule>
  </conditionalFormatting>
  <conditionalFormatting sqref="G167:H167">
    <cfRule type="containsText" dxfId="3571" priority="3410" operator="containsText" text="K">
      <formula>NOT(ISERROR(SEARCH("K",G167)))</formula>
    </cfRule>
    <cfRule type="expression" dxfId="3570" priority="3411" stopIfTrue="1">
      <formula>IF(WEEKDAY(G$8)=1,TRUE,FALSE)</formula>
    </cfRule>
    <cfRule type="containsText" dxfId="3569" priority="3412" operator="containsText" text="P">
      <formula>NOT(ISERROR(SEARCH("P",G167)))</formula>
    </cfRule>
  </conditionalFormatting>
  <conditionalFormatting sqref="G172:H172">
    <cfRule type="containsText" dxfId="3568" priority="3407" operator="containsText" text="K">
      <formula>NOT(ISERROR(SEARCH("K",G172)))</formula>
    </cfRule>
    <cfRule type="expression" dxfId="3567" priority="3408" stopIfTrue="1">
      <formula>IF(WEEKDAY(G$8)=1,TRUE,FALSE)</formula>
    </cfRule>
    <cfRule type="containsText" dxfId="3566" priority="3409" operator="containsText" text="P">
      <formula>NOT(ISERROR(SEARCH("P",G172)))</formula>
    </cfRule>
  </conditionalFormatting>
  <conditionalFormatting sqref="G178:H178">
    <cfRule type="containsText" dxfId="3565" priority="3406" operator="containsText" text="P">
      <formula>NOT(ISERROR(SEARCH("P",G178)))</formula>
    </cfRule>
  </conditionalFormatting>
  <conditionalFormatting sqref="G45:I46">
    <cfRule type="containsText" dxfId="3564" priority="3405" operator="containsText" text="K">
      <formula>NOT(ISERROR(SEARCH("K",G45)))</formula>
    </cfRule>
  </conditionalFormatting>
  <conditionalFormatting sqref="G47:I47">
    <cfRule type="expression" dxfId="3563" priority="3404" stopIfTrue="1">
      <formula>IF(WEEKDAY(G$8)=1,TRUE,FALSE)</formula>
    </cfRule>
  </conditionalFormatting>
  <conditionalFormatting sqref="G104:I104">
    <cfRule type="containsText" dxfId="3562" priority="3403" operator="containsText" text="P">
      <formula>NOT(ISERROR(SEARCH("P",G104)))</formula>
    </cfRule>
  </conditionalFormatting>
  <conditionalFormatting sqref="G166:I166 M166:O166">
    <cfRule type="expression" dxfId="3561" priority="3402" stopIfTrue="1">
      <formula>IF(WEEKDAY(G$8)=1,TRUE,FALSE)</formula>
    </cfRule>
  </conditionalFormatting>
  <conditionalFormatting sqref="G166:I166">
    <cfRule type="containsText" dxfId="3560" priority="3401" operator="containsText" text="P">
      <formula>NOT(ISERROR(SEARCH("P",G166)))</formula>
    </cfRule>
  </conditionalFormatting>
  <conditionalFormatting sqref="G224:I224 N224:S224">
    <cfRule type="containsText" dxfId="3559" priority="3399" operator="containsText" text="P">
      <formula>NOT(ISERROR(SEARCH("P",G224)))</formula>
    </cfRule>
    <cfRule type="containsText" dxfId="3558" priority="3400" operator="containsText" text="K">
      <formula>NOT(ISERROR(SEARCH("K",G224)))</formula>
    </cfRule>
  </conditionalFormatting>
  <conditionalFormatting sqref="G225:I225 N225:O225 Q225:S225">
    <cfRule type="containsText" dxfId="3557" priority="3397" operator="containsText" text="P">
      <formula>NOT(ISERROR(SEARCH("P",G225)))</formula>
    </cfRule>
    <cfRule type="containsText" dxfId="3556" priority="3398" operator="containsText" text="K">
      <formula>NOT(ISERROR(SEARCH("K",G225)))</formula>
    </cfRule>
  </conditionalFormatting>
  <conditionalFormatting sqref="G227:I227 K227:L227 N227:O227 Q227:S228">
    <cfRule type="containsText" dxfId="3555" priority="3395" operator="containsText" text="P">
      <formula>NOT(ISERROR(SEARCH("P",G227)))</formula>
    </cfRule>
    <cfRule type="containsText" dxfId="3554" priority="3396" operator="containsText" text="K">
      <formula>NOT(ISERROR(SEARCH("K",G227)))</formula>
    </cfRule>
  </conditionalFormatting>
  <conditionalFormatting sqref="G228:I228 N228:O228 Q228:S228">
    <cfRule type="containsText" dxfId="3553" priority="3393" operator="containsText" text="P">
      <formula>NOT(ISERROR(SEARCH("P",G228)))</formula>
    </cfRule>
    <cfRule type="containsText" dxfId="3552" priority="3394" operator="containsText" text="K">
      <formula>NOT(ISERROR(SEARCH("K",G228)))</formula>
    </cfRule>
  </conditionalFormatting>
  <conditionalFormatting sqref="G230:I230 K230">
    <cfRule type="expression" dxfId="3551" priority="3392" stopIfTrue="1">
      <formula>IF(WEEKDAY(G$8)=1,TRUE,FALSE)</formula>
    </cfRule>
  </conditionalFormatting>
  <conditionalFormatting sqref="G230:I230">
    <cfRule type="containsText" dxfId="3550" priority="3390" operator="containsText" text="P">
      <formula>NOT(ISERROR(SEARCH("P",G230)))</formula>
    </cfRule>
    <cfRule type="containsText" dxfId="3549" priority="3391" operator="containsText" text="K">
      <formula>NOT(ISERROR(SEARCH("K",G230)))</formula>
    </cfRule>
  </conditionalFormatting>
  <conditionalFormatting sqref="G15:J15 L15:N15">
    <cfRule type="containsText" dxfId="3548" priority="3389" operator="containsText" text="K">
      <formula>NOT(ISERROR(SEARCH("K",G15)))</formula>
    </cfRule>
  </conditionalFormatting>
  <conditionalFormatting sqref="G47:J47">
    <cfRule type="containsText" dxfId="3547" priority="3388" operator="containsText" text="P">
      <formula>NOT(ISERROR(SEARCH("P",G47)))</formula>
    </cfRule>
  </conditionalFormatting>
  <conditionalFormatting sqref="G79:J79">
    <cfRule type="containsText" dxfId="3546" priority="3387" operator="containsText" text="K">
      <formula>NOT(ISERROR(SEARCH("K",G79)))</formula>
    </cfRule>
  </conditionalFormatting>
  <conditionalFormatting sqref="G156:J160 Z164:AF178 Z217:AF230">
    <cfRule type="expression" dxfId="3545" priority="3386" stopIfTrue="1">
      <formula>IF(WEEKDAY(G$8)=1,TRUE,FALSE)</formula>
    </cfRule>
  </conditionalFormatting>
  <conditionalFormatting sqref="G156:J160 AF164:AF178 AF217:AF230">
    <cfRule type="containsText" dxfId="3544" priority="3385" operator="containsText" text="P">
      <formula>NOT(ISERROR(SEARCH("P",G156)))</formula>
    </cfRule>
  </conditionalFormatting>
  <conditionalFormatting sqref="G166:J166">
    <cfRule type="containsText" dxfId="3543" priority="3383" operator="containsText" text="P">
      <formula>NOT(ISERROR(SEARCH("P",G166)))</formula>
    </cfRule>
    <cfRule type="containsText" dxfId="3542" priority="3384" operator="containsText" text="K">
      <formula>NOT(ISERROR(SEARCH("K",G166)))</formula>
    </cfRule>
  </conditionalFormatting>
  <conditionalFormatting sqref="G175:J175">
    <cfRule type="expression" dxfId="3541" priority="3382" stopIfTrue="1">
      <formula>IF(WEEKDAY(G$8)=1,TRUE,FALSE)</formula>
    </cfRule>
  </conditionalFormatting>
  <conditionalFormatting sqref="G186:J186">
    <cfRule type="expression" dxfId="3540" priority="3379" stopIfTrue="1">
      <formula>IF(WEEKDAY(G$8)=1,TRUE,FALSE)</formula>
    </cfRule>
    <cfRule type="containsText" dxfId="3539" priority="3380" operator="containsText" text="P">
      <formula>NOT(ISERROR(SEARCH("P",G186)))</formula>
    </cfRule>
    <cfRule type="containsText" dxfId="3538" priority="3381" operator="containsText" text="K">
      <formula>NOT(ISERROR(SEARCH("K",G186)))</formula>
    </cfRule>
  </conditionalFormatting>
  <conditionalFormatting sqref="G57:L57 F58:L58 I60:I64 K60:L64 I65:L66">
    <cfRule type="containsText" dxfId="3537" priority="3378" operator="containsText" text="K">
      <formula>NOT(ISERROR(SEARCH("K",F57)))</formula>
    </cfRule>
  </conditionalFormatting>
  <conditionalFormatting sqref="G59:L59 F60:H60 G61:H66">
    <cfRule type="containsText" dxfId="3536" priority="3376" operator="containsText" text="K">
      <formula>NOT(ISERROR(SEARCH("K",F59)))</formula>
    </cfRule>
    <cfRule type="expression" dxfId="3535" priority="3377" stopIfTrue="1">
      <formula>IF(WEEKDAY(F$8)=1,TRUE,FALSE)</formula>
    </cfRule>
  </conditionalFormatting>
  <conditionalFormatting sqref="G102:M102">
    <cfRule type="containsText" dxfId="3534" priority="3374" operator="containsText" text="P">
      <formula>NOT(ISERROR(SEARCH("P",G102)))</formula>
    </cfRule>
    <cfRule type="expression" dxfId="3533" priority="3375" stopIfTrue="1">
      <formula>IF(WEEKDAY(G$8)=1,TRUE,FALSE)</formula>
    </cfRule>
  </conditionalFormatting>
  <conditionalFormatting sqref="G156:O160">
    <cfRule type="containsText" dxfId="3532" priority="3373" operator="containsText" text="K">
      <formula>NOT(ISERROR(SEARCH("K",G156)))</formula>
    </cfRule>
  </conditionalFormatting>
  <conditionalFormatting sqref="G57:P57 F58:M58 I60:I64 K60:L64 I65:L66 P58 Y60:Y66">
    <cfRule type="expression" dxfId="3531" priority="3372" stopIfTrue="1">
      <formula>IF(WEEKDAY(F$8)=1,TRUE,FALSE)</formula>
    </cfRule>
  </conditionalFormatting>
  <conditionalFormatting sqref="G57:P57 R57:S65 F58:M58 P58 I59:L59 N59:P66 K60:L64 I65:L66 U57:Y66 I60:I64">
    <cfRule type="containsText" dxfId="3530" priority="3371" operator="containsText" text="P">
      <formula>NOT(ISERROR(SEARCH("P",F57)))</formula>
    </cfRule>
  </conditionalFormatting>
  <conditionalFormatting sqref="G57:P57 R57:S65 U57:Y66 F58:M58 P58 I59:L59 N59:P66 I60:I64 K60:L64 I65:L66 AH197 G103:I103 K103:S103 U103:Y103 AF103:AI103">
    <cfRule type="expression" dxfId="3529" priority="3370" stopIfTrue="1">
      <formula>IF(WEEKDAY(F$8)=1,TRUE,FALSE)</formula>
    </cfRule>
  </conditionalFormatting>
  <conditionalFormatting sqref="G57:P57 R57:S65 U57:Y66 F58:M58 P58 I59:L59 N59:P66 I60:I64 K60:L64 I65:L66 AJ38:AJ42">
    <cfRule type="containsText" dxfId="3528" priority="3369" operator="containsText" text="P">
      <formula>NOT(ISERROR(SEARCH("P",F38)))</formula>
    </cfRule>
  </conditionalFormatting>
  <conditionalFormatting sqref="G99:P99 R99:X99">
    <cfRule type="containsText" dxfId="3527" priority="3367" operator="containsText" text="P">
      <formula>NOT(ISERROR(SEARCH("P",G99)))</formula>
    </cfRule>
    <cfRule type="containsText" dxfId="3526" priority="3368" operator="containsText" text="K">
      <formula>NOT(ISERROR(SEARCH("K",G99)))</formula>
    </cfRule>
  </conditionalFormatting>
  <conditionalFormatting sqref="G99:Q99">
    <cfRule type="expression" dxfId="3525" priority="3365" stopIfTrue="1">
      <formula>IF(WEEKDAY(G$8)=1,TRUE,FALSE)</formula>
    </cfRule>
    <cfRule type="containsText" dxfId="3524" priority="3366" operator="containsText" text="P">
      <formula>NOT(ISERROR(SEARCH("P",G99)))</formula>
    </cfRule>
  </conditionalFormatting>
  <conditionalFormatting sqref="G16:U16 AI13:AJ14">
    <cfRule type="containsText" dxfId="3523" priority="3364" operator="containsText" text="P">
      <formula>NOT(ISERROR(SEARCH("P",G13)))</formula>
    </cfRule>
  </conditionalFormatting>
  <conditionalFormatting sqref="G16:U16 BF38:BG42 AF101:AI101">
    <cfRule type="expression" dxfId="3522" priority="3363" stopIfTrue="1">
      <formula>IF(WEEKDAY(G$8)=1,TRUE,FALSE)</formula>
    </cfRule>
  </conditionalFormatting>
  <conditionalFormatting sqref="G16:U16">
    <cfRule type="containsText" dxfId="3521" priority="3362" operator="containsText" text="P">
      <formula>NOT(ISERROR(SEARCH("P",G16)))</formula>
    </cfRule>
  </conditionalFormatting>
  <conditionalFormatting sqref="G92:Y92">
    <cfRule type="expression" dxfId="3520" priority="3361" stopIfTrue="1">
      <formula>IF(WEEKDAY(G$8)=1,TRUE,FALSE)</formula>
    </cfRule>
  </conditionalFormatting>
  <conditionalFormatting sqref="G99:Y99 G103:I103 K103:S103 U103:Y103">
    <cfRule type="containsText" dxfId="3519" priority="3360" operator="containsText" text="K">
      <formula>NOT(ISERROR(SEARCH("K",G99)))</formula>
    </cfRule>
  </conditionalFormatting>
  <conditionalFormatting sqref="G108:Y108">
    <cfRule type="containsText" dxfId="3518" priority="3359" operator="containsText" text="K">
      <formula>NOT(ISERROR(SEARCH("K",G108)))</formula>
    </cfRule>
  </conditionalFormatting>
  <conditionalFormatting sqref="H38:H39">
    <cfRule type="containsText" dxfId="3517" priority="3356" operator="containsText" text="P">
      <formula>NOT(ISERROR(SEARCH(("P"),(H38))))</formula>
    </cfRule>
    <cfRule type="containsText" dxfId="3516" priority="3357" operator="containsText" text="K">
      <formula>NOT(ISERROR(SEARCH(("K"),(H38))))</formula>
    </cfRule>
    <cfRule type="expression" dxfId="3515" priority="3358" stopIfTrue="1">
      <formula>IF(WEEKDAY(H$8)=1,TRUE,FALSE)</formula>
    </cfRule>
  </conditionalFormatting>
  <conditionalFormatting sqref="H41:H42">
    <cfRule type="containsText" dxfId="3514" priority="3353" operator="containsText" text="P">
      <formula>NOT(ISERROR(SEARCH(("P"),(H41))))</formula>
    </cfRule>
    <cfRule type="containsText" dxfId="3513" priority="3354" operator="containsText" text="K">
      <formula>NOT(ISERROR(SEARCH(("K"),(H41))))</formula>
    </cfRule>
    <cfRule type="expression" dxfId="3512" priority="3355" stopIfTrue="1">
      <formula>IF(WEEKDAY(H$8)=1,TRUE,FALSE)</formula>
    </cfRule>
  </conditionalFormatting>
  <conditionalFormatting sqref="H48">
    <cfRule type="containsText" dxfId="3511" priority="3346" operator="containsText" text="K">
      <formula>NOT(ISERROR(SEARCH("K",H48)))</formula>
    </cfRule>
    <cfRule type="expression" dxfId="3510" priority="3347" stopIfTrue="1">
      <formula>IF(WEEKDAY(H$8)=1,TRUE,FALSE)</formula>
    </cfRule>
    <cfRule type="containsText" dxfId="3509" priority="3348" operator="containsText" text="P">
      <formula>NOT(ISERROR(SEARCH("P",H48)))</formula>
    </cfRule>
    <cfRule type="containsText" dxfId="3508" priority="3349" operator="containsText" text="K">
      <formula>NOT(ISERROR(SEARCH("K",H48)))</formula>
    </cfRule>
    <cfRule type="containsText" dxfId="3507" priority="3350" operator="containsText" text="P">
      <formula>NOT(ISERROR(SEARCH("P",H48)))</formula>
    </cfRule>
    <cfRule type="containsText" dxfId="3506" priority="3351" operator="containsText" text="K">
      <formula>NOT(ISERROR(SEARCH("K",H48)))</formula>
    </cfRule>
    <cfRule type="expression" dxfId="3505" priority="3352" stopIfTrue="1">
      <formula>IF(WEEKDAY(H$8)=1,TRUE,FALSE)</formula>
    </cfRule>
  </conditionalFormatting>
  <conditionalFormatting sqref="H151">
    <cfRule type="containsText" dxfId="3504" priority="3345" operator="containsText" text="K">
      <formula>NOT(ISERROR(SEARCH("K",H151)))</formula>
    </cfRule>
  </conditionalFormatting>
  <conditionalFormatting sqref="H162">
    <cfRule type="containsText" dxfId="3503" priority="3342" operator="containsText" text="P">
      <formula>NOT(ISERROR(SEARCH(("P"),(H162))))</formula>
    </cfRule>
    <cfRule type="containsText" dxfId="3502" priority="3343" operator="containsText" text="K">
      <formula>NOT(ISERROR(SEARCH(("K"),(H162))))</formula>
    </cfRule>
    <cfRule type="expression" dxfId="3501" priority="3344" stopIfTrue="1">
      <formula>IF(WEEKDAY(H$8)=1,TRUE,FALSE)</formula>
    </cfRule>
  </conditionalFormatting>
  <conditionalFormatting sqref="H168:H170">
    <cfRule type="containsText" dxfId="3500" priority="3335" operator="containsText" text="P">
      <formula>NOT(ISERROR(SEARCH("P",H168)))</formula>
    </cfRule>
    <cfRule type="containsText" dxfId="3499" priority="3336" operator="containsText" text="K">
      <formula>NOT(ISERROR(SEARCH("K",H168)))</formula>
    </cfRule>
    <cfRule type="expression" dxfId="3498" priority="3337" stopIfTrue="1">
      <formula>IF(WEEKDAY(H$8)=1,TRUE,FALSE)</formula>
    </cfRule>
    <cfRule type="containsText" dxfId="3497" priority="3338" operator="containsText" text="P">
      <formula>NOT(ISERROR(SEARCH("P",H168)))</formula>
    </cfRule>
    <cfRule type="containsText" dxfId="3496" priority="3339" operator="containsText" text="K">
      <formula>NOT(ISERROR(SEARCH("K",H168)))</formula>
    </cfRule>
    <cfRule type="containsText" dxfId="3495" priority="3340" operator="containsText" text="P">
      <formula>NOT(ISERROR(SEARCH("P",H168)))</formula>
    </cfRule>
    <cfRule type="expression" dxfId="3494" priority="3341" stopIfTrue="1">
      <formula>IF(WEEKDAY(H$8)=1,TRUE,FALSE)</formula>
    </cfRule>
  </conditionalFormatting>
  <conditionalFormatting sqref="H173:H174">
    <cfRule type="containsText" dxfId="3493" priority="3328" operator="containsText" text="P">
      <formula>NOT(ISERROR(SEARCH("P",H173)))</formula>
    </cfRule>
    <cfRule type="containsText" dxfId="3492" priority="3329" operator="containsText" text="K">
      <formula>NOT(ISERROR(SEARCH("K",H173)))</formula>
    </cfRule>
    <cfRule type="expression" dxfId="3491" priority="3330" stopIfTrue="1">
      <formula>IF(WEEKDAY(H$8)=1,TRUE,FALSE)</formula>
    </cfRule>
    <cfRule type="containsText" dxfId="3490" priority="3331" operator="containsText" text="P">
      <formula>NOT(ISERROR(SEARCH("P",H173)))</formula>
    </cfRule>
    <cfRule type="containsText" dxfId="3489" priority="3332" operator="containsText" text="K">
      <formula>NOT(ISERROR(SEARCH("K",H173)))</formula>
    </cfRule>
    <cfRule type="containsText" dxfId="3488" priority="3333" operator="containsText" text="P">
      <formula>NOT(ISERROR(SEARCH("P",H173)))</formula>
    </cfRule>
    <cfRule type="expression" dxfId="3487" priority="3334" stopIfTrue="1">
      <formula>IF(WEEKDAY(H$8)=1,TRUE,FALSE)</formula>
    </cfRule>
  </conditionalFormatting>
  <conditionalFormatting sqref="H176">
    <cfRule type="expression" dxfId="3486" priority="3326" stopIfTrue="1">
      <formula>IF(WEEKDAY(H$8)=1,TRUE,FALSE)</formula>
    </cfRule>
    <cfRule type="containsText" dxfId="3485" priority="3327" operator="containsText" text="P">
      <formula>NOT(ISERROR(SEARCH("P",H176)))</formula>
    </cfRule>
  </conditionalFormatting>
  <conditionalFormatting sqref="H176:H177">
    <cfRule type="containsText" dxfId="3484" priority="3325" operator="containsText" text="K">
      <formula>NOT(ISERROR(SEARCH("K",H176)))</formula>
    </cfRule>
  </conditionalFormatting>
  <conditionalFormatting sqref="H177">
    <cfRule type="expression" dxfId="3483" priority="3323" stopIfTrue="1">
      <formula>IF(WEEKDAY(H$8)=1,TRUE,FALSE)</formula>
    </cfRule>
    <cfRule type="containsText" dxfId="3482" priority="3324" operator="containsText" text="P">
      <formula>NOT(ISERROR(SEARCH("P",H177)))</formula>
    </cfRule>
  </conditionalFormatting>
  <conditionalFormatting sqref="H178">
    <cfRule type="containsText" dxfId="3481" priority="3317" operator="containsText" text="P">
      <formula>NOT(ISERROR(SEARCH("P",H178)))</formula>
    </cfRule>
    <cfRule type="containsText" dxfId="3480" priority="3318" operator="containsText" text="K">
      <formula>NOT(ISERROR(SEARCH("K",H178)))</formula>
    </cfRule>
    <cfRule type="expression" dxfId="3479" priority="3319" stopIfTrue="1">
      <formula>IF(WEEKDAY(H$8)=1,TRUE,FALSE)</formula>
    </cfRule>
    <cfRule type="containsText" dxfId="3478" priority="3320" operator="containsText" text="P">
      <formula>NOT(ISERROR(SEARCH("P",H178)))</formula>
    </cfRule>
    <cfRule type="containsText" dxfId="3477" priority="3321" operator="containsText" text="K">
      <formula>NOT(ISERROR(SEARCH("K",H178)))</formula>
    </cfRule>
    <cfRule type="expression" dxfId="3476" priority="3322" stopIfTrue="1">
      <formula>IF(WEEKDAY(H$8)=1,TRUE,FALSE)</formula>
    </cfRule>
  </conditionalFormatting>
  <conditionalFormatting sqref="H203 J203 O203:Q203 F116:U116 AJ217:AJ224 BF217:BG230 V218:V223 J224:J230 AJ226:AJ230">
    <cfRule type="expression" dxfId="3475" priority="3316" stopIfTrue="1">
      <formula>IF(WEEKDAY(F$8)=1,TRUE,FALSE)</formula>
    </cfRule>
  </conditionalFormatting>
  <conditionalFormatting sqref="H204:H208 J207:S208 W207:X212 E209:F210 H209:S210 G213:L213 V213:X213 E214:X215 H211:L212 P211:S213">
    <cfRule type="expression" dxfId="3474" priority="3313" stopIfTrue="1">
      <formula>IF(WEEKDAY(E$8)=1,TRUE,FALSE)</formula>
    </cfRule>
    <cfRule type="containsText" dxfId="3473" priority="3314" operator="containsText" text="P">
      <formula>NOT(ISERROR(SEARCH("P",E204)))</formula>
    </cfRule>
    <cfRule type="containsText" dxfId="3472" priority="3315" operator="containsText" text="K">
      <formula>NOT(ISERROR(SEARCH("K",E204)))</formula>
    </cfRule>
  </conditionalFormatting>
  <conditionalFormatting sqref="H220">
    <cfRule type="expression" dxfId="3471" priority="3310" stopIfTrue="1">
      <formula>IF(WEEKDAY(H$8)=1,TRUE,FALSE)</formula>
    </cfRule>
    <cfRule type="containsText" dxfId="3470" priority="3311" operator="containsText" text="P">
      <formula>NOT(ISERROR(SEARCH("P",H220)))</formula>
    </cfRule>
    <cfRule type="containsText" dxfId="3469" priority="3312" operator="containsText" text="K">
      <formula>NOT(ISERROR(SEARCH("K",H220)))</formula>
    </cfRule>
  </conditionalFormatting>
  <conditionalFormatting sqref="H222:H223">
    <cfRule type="expression" dxfId="3468" priority="3307" stopIfTrue="1">
      <formula>IF(WEEKDAY(H$8)=1,TRUE,FALSE)</formula>
    </cfRule>
    <cfRule type="containsText" dxfId="3467" priority="3308" operator="containsText" text="P">
      <formula>NOT(ISERROR(SEARCH("P",H222)))</formula>
    </cfRule>
    <cfRule type="containsText" dxfId="3466" priority="3309" operator="containsText" text="K">
      <formula>NOT(ISERROR(SEARCH("K",H222)))</formula>
    </cfRule>
  </conditionalFormatting>
  <conditionalFormatting sqref="H14:J14 AC27:AC35">
    <cfRule type="containsText" dxfId="3465" priority="3305" operator="containsText" text="K">
      <formula>NOT(ISERROR(SEARCH("K",H14)))</formula>
    </cfRule>
    <cfRule type="containsText" dxfId="3464" priority="3306" operator="containsText" text="P">
      <formula>NOT(ISERROR(SEARCH("P",H14)))</formula>
    </cfRule>
  </conditionalFormatting>
  <conditionalFormatting sqref="H15:J15 L15:M15">
    <cfRule type="containsText" dxfId="3463" priority="3304" operator="containsText" text="P">
      <formula>NOT(ISERROR(SEARCH("P",H15)))</formula>
    </cfRule>
  </conditionalFormatting>
  <conditionalFormatting sqref="H45:J46">
    <cfRule type="expression" dxfId="3462" priority="3302" stopIfTrue="1">
      <formula>IF(WEEKDAY(H$8)=1,TRUE,FALSE)</formula>
    </cfRule>
    <cfRule type="containsText" dxfId="3461" priority="3303" operator="containsText" text="P">
      <formula>NOT(ISERROR(SEARCH("P",H45)))</formula>
    </cfRule>
  </conditionalFormatting>
  <conditionalFormatting sqref="H102:J102">
    <cfRule type="expression" dxfId="3460" priority="3297" stopIfTrue="1">
      <formula>IF(WEEKDAY(H$8)=1,TRUE,FALSE)</formula>
    </cfRule>
    <cfRule type="containsText" dxfId="3459" priority="3298" operator="containsText" text="P">
      <formula>NOT(ISERROR(SEARCH("P",H102)))</formula>
    </cfRule>
    <cfRule type="containsText" dxfId="3458" priority="3299" operator="containsText" text="K">
      <formula>NOT(ISERROR(SEARCH("K",H102)))</formula>
    </cfRule>
    <cfRule type="expression" dxfId="3457" priority="3300" stopIfTrue="1">
      <formula>IF(WEEKDAY(H$8)=1,TRUE,FALSE)</formula>
    </cfRule>
    <cfRule type="containsText" dxfId="3456" priority="3301" operator="containsText" text="K">
      <formula>NOT(ISERROR(SEARCH("K",H102)))</formula>
    </cfRule>
  </conditionalFormatting>
  <conditionalFormatting sqref="H175:J175">
    <cfRule type="containsText" dxfId="3455" priority="3295" operator="containsText" text="P">
      <formula>NOT(ISERROR(SEARCH("P",H175)))</formula>
    </cfRule>
    <cfRule type="containsText" dxfId="3454" priority="3296" operator="containsText" text="K">
      <formula>NOT(ISERROR(SEARCH("K",H175)))</formula>
    </cfRule>
  </conditionalFormatting>
  <conditionalFormatting sqref="H181:J185">
    <cfRule type="expression" dxfId="3453" priority="3292" stopIfTrue="1">
      <formula>IF(WEEKDAY(H$8)=1,TRUE,FALSE)</formula>
    </cfRule>
    <cfRule type="containsText" dxfId="3452" priority="3293" operator="containsText" text="P">
      <formula>NOT(ISERROR(SEARCH("P",H181)))</formula>
    </cfRule>
    <cfRule type="containsText" dxfId="3451" priority="3294" operator="containsText" text="K">
      <formula>NOT(ISERROR(SEARCH("K",H181)))</formula>
    </cfRule>
  </conditionalFormatting>
  <conditionalFormatting sqref="H187:J194 G196:J198 H199:J199 I201:I208">
    <cfRule type="expression" dxfId="3450" priority="3289" stopIfTrue="1">
      <formula>IF(WEEKDAY(G$8)=1,TRUE,FALSE)</formula>
    </cfRule>
    <cfRule type="containsText" dxfId="3449" priority="3290" operator="containsText" text="P">
      <formula>NOT(ISERROR(SEARCH("P",G187)))</formula>
    </cfRule>
    <cfRule type="containsText" dxfId="3448" priority="3291" operator="containsText" text="K">
      <formula>NOT(ISERROR(SEARCH("K",G187)))</formula>
    </cfRule>
  </conditionalFormatting>
  <conditionalFormatting sqref="H40:K40">
    <cfRule type="expression" dxfId="3447" priority="3287" stopIfTrue="1">
      <formula>IF(WEEKDAY(H$8)=1,TRUE,FALSE)</formula>
    </cfRule>
    <cfRule type="containsText" dxfId="3446" priority="3288" operator="containsText" text="P">
      <formula>NOT(ISERROR(SEARCH("P",H40)))</formula>
    </cfRule>
  </conditionalFormatting>
  <conditionalFormatting sqref="H48:L48">
    <cfRule type="containsText" dxfId="3445" priority="3286" operator="containsText" text="P">
      <formula>NOT(ISERROR(SEARCH("P",H48)))</formula>
    </cfRule>
  </conditionalFormatting>
  <conditionalFormatting sqref="H175:L175">
    <cfRule type="expression" dxfId="3444" priority="3285" stopIfTrue="1">
      <formula>IF(WEEKDAY(H$8)=1,TRUE,FALSE)</formula>
    </cfRule>
  </conditionalFormatting>
  <conditionalFormatting sqref="H14:M15">
    <cfRule type="expression" dxfId="3443" priority="3284" stopIfTrue="1">
      <formula>IF(WEEKDAY(H$8)=1,TRUE,FALSE)</formula>
    </cfRule>
  </conditionalFormatting>
  <conditionalFormatting sqref="H175:N175">
    <cfRule type="containsText" dxfId="3442" priority="3283" operator="containsText" text="P">
      <formula>NOT(ISERROR(SEARCH("P",H175)))</formula>
    </cfRule>
  </conditionalFormatting>
  <conditionalFormatting sqref="I38 K38:M38">
    <cfRule type="expression" dxfId="3441" priority="3269" stopIfTrue="1">
      <formula>IF(WEEKDAY(I$8)=1,TRUE,FALSE)</formula>
    </cfRule>
    <cfRule type="containsText" dxfId="3440" priority="3270" operator="containsText" text="P">
      <formula>NOT(ISERROR(SEARCH("P",I38)))</formula>
    </cfRule>
    <cfRule type="containsText" dxfId="3439" priority="3271" operator="containsText" text="K">
      <formula>NOT(ISERROR(SEARCH("K",I38)))</formula>
    </cfRule>
    <cfRule type="expression" dxfId="3438" priority="3272" stopIfTrue="1">
      <formula>IF(WEEKDAY(I$8)=1,TRUE,FALSE)</formula>
    </cfRule>
    <cfRule type="containsText" dxfId="3437" priority="3273" operator="containsText" text="P">
      <formula>NOT(ISERROR(SEARCH("P",I38)))</formula>
    </cfRule>
    <cfRule type="containsText" dxfId="3436" priority="3274" operator="containsText" text="K">
      <formula>NOT(ISERROR(SEARCH("K",I38)))</formula>
    </cfRule>
    <cfRule type="expression" dxfId="3435" priority="3275" stopIfTrue="1">
      <formula>IF(WEEKDAY(I$8)=1,TRUE,FALSE)</formula>
    </cfRule>
    <cfRule type="containsText" dxfId="3434" priority="3276" operator="containsText" text="P">
      <formula>NOT(ISERROR(SEARCH("P",I38)))</formula>
    </cfRule>
    <cfRule type="containsText" dxfId="3433" priority="3277" operator="containsText" text="K">
      <formula>NOT(ISERROR(SEARCH("K",I38)))</formula>
    </cfRule>
    <cfRule type="containsText" dxfId="3432" priority="3278" operator="containsText" text="P">
      <formula>NOT(ISERROR(SEARCH("P",I38)))</formula>
    </cfRule>
    <cfRule type="containsText" dxfId="3431" priority="3279" operator="containsText" text="K">
      <formula>NOT(ISERROR(SEARCH("K",I38)))</formula>
    </cfRule>
    <cfRule type="expression" dxfId="3430" priority="3280" stopIfTrue="1">
      <formula>IF(WEEKDAY(I$8)=1,TRUE,FALSE)</formula>
    </cfRule>
    <cfRule type="containsText" dxfId="3429" priority="3281" operator="containsText" text="P">
      <formula>NOT(ISERROR(SEARCH("P",I38)))</formula>
    </cfRule>
    <cfRule type="containsText" dxfId="3428" priority="3282" operator="containsText" text="K">
      <formula>NOT(ISERROR(SEARCH("K",I38)))</formula>
    </cfRule>
  </conditionalFormatting>
  <conditionalFormatting sqref="I38 K38:N38">
    <cfRule type="containsText" dxfId="3427" priority="3264" operator="containsText" text="P">
      <formula>NOT(ISERROR(SEARCH("P",I38)))</formula>
    </cfRule>
    <cfRule type="containsText" dxfId="3426" priority="3265" operator="containsText" text="K">
      <formula>NOT(ISERROR(SEARCH("K",I38)))</formula>
    </cfRule>
    <cfRule type="expression" dxfId="3425" priority="3266" stopIfTrue="1">
      <formula>IF(WEEKDAY(I$8)=1,TRUE,FALSE)</formula>
    </cfRule>
    <cfRule type="containsText" dxfId="3424" priority="3267" operator="containsText" text="P">
      <formula>NOT(ISERROR(SEARCH("P",I38)))</formula>
    </cfRule>
    <cfRule type="containsText" dxfId="3423" priority="3268" operator="containsText" text="K">
      <formula>NOT(ISERROR(SEARCH("K",I38)))</formula>
    </cfRule>
  </conditionalFormatting>
  <conditionalFormatting sqref="I38:I39 K39:M39">
    <cfRule type="expression" dxfId="3422" priority="3261" stopIfTrue="1">
      <formula>IF(WEEKDAY(I$8)=1,TRUE,FALSE)</formula>
    </cfRule>
    <cfRule type="containsText" dxfId="3421" priority="3262" operator="containsText" text="P">
      <formula>NOT(ISERROR(SEARCH("P",I38)))</formula>
    </cfRule>
    <cfRule type="containsText" dxfId="3420" priority="3263" operator="containsText" text="K">
      <formula>NOT(ISERROR(SEARCH("K",I38)))</formula>
    </cfRule>
  </conditionalFormatting>
  <conditionalFormatting sqref="I39 K39:M39">
    <cfRule type="containsText" dxfId="3419" priority="3242" operator="containsText" text="P">
      <formula>NOT(ISERROR(SEARCH("P",I39)))</formula>
    </cfRule>
    <cfRule type="containsText" dxfId="3418" priority="3243" operator="containsText" text="K">
      <formula>NOT(ISERROR(SEARCH("K",I39)))</formula>
    </cfRule>
    <cfRule type="expression" dxfId="3417" priority="3244" stopIfTrue="1">
      <formula>IF(WEEKDAY(I$8)=1,TRUE,FALSE)</formula>
    </cfRule>
    <cfRule type="containsText" dxfId="3416" priority="3245" operator="containsText" text="P">
      <formula>NOT(ISERROR(SEARCH("P",I39)))</formula>
    </cfRule>
    <cfRule type="containsText" dxfId="3415" priority="3246" operator="containsText" text="K">
      <formula>NOT(ISERROR(SEARCH("K",I39)))</formula>
    </cfRule>
    <cfRule type="expression" dxfId="3414" priority="3247" stopIfTrue="1">
      <formula>IF(WEEKDAY(I$8)=1,TRUE,FALSE)</formula>
    </cfRule>
    <cfRule type="containsText" dxfId="3413" priority="3248" operator="containsText" text="P">
      <formula>NOT(ISERROR(SEARCH("P",I39)))</formula>
    </cfRule>
    <cfRule type="containsText" dxfId="3412" priority="3249" operator="containsText" text="K">
      <formula>NOT(ISERROR(SEARCH("K",I39)))</formula>
    </cfRule>
    <cfRule type="expression" dxfId="3411" priority="3250" stopIfTrue="1">
      <formula>IF(WEEKDAY(I$8)=1,TRUE,FALSE)</formula>
    </cfRule>
    <cfRule type="containsText" dxfId="3410" priority="3251" operator="containsText" text="P">
      <formula>NOT(ISERROR(SEARCH("P",I39)))</formula>
    </cfRule>
    <cfRule type="containsText" dxfId="3409" priority="3252" operator="containsText" text="K">
      <formula>NOT(ISERROR(SEARCH("K",I39)))</formula>
    </cfRule>
    <cfRule type="expression" dxfId="3408" priority="3253" stopIfTrue="1">
      <formula>IF(WEEKDAY(I$8)=1,TRUE,FALSE)</formula>
    </cfRule>
    <cfRule type="containsText" dxfId="3407" priority="3254" operator="containsText" text="P">
      <formula>NOT(ISERROR(SEARCH("P",I39)))</formula>
    </cfRule>
    <cfRule type="containsText" dxfId="3406" priority="3255" operator="containsText" text="K">
      <formula>NOT(ISERROR(SEARCH("K",I39)))</formula>
    </cfRule>
    <cfRule type="expression" dxfId="3405" priority="3256" stopIfTrue="1">
      <formula>IF(WEEKDAY(I$8)=1,TRUE,FALSE)</formula>
    </cfRule>
    <cfRule type="containsText" dxfId="3404" priority="3257" operator="containsText" text="P">
      <formula>NOT(ISERROR(SEARCH("P",I39)))</formula>
    </cfRule>
    <cfRule type="containsText" dxfId="3403" priority="3258" operator="containsText" text="K">
      <formula>NOT(ISERROR(SEARCH("K",I39)))</formula>
    </cfRule>
    <cfRule type="containsText" dxfId="3402" priority="3259" operator="containsText" text="P">
      <formula>NOT(ISERROR(SEARCH("P",I39)))</formula>
    </cfRule>
    <cfRule type="containsText" dxfId="3401" priority="3260" operator="containsText" text="K">
      <formula>NOT(ISERROR(SEARCH("K",I39)))</formula>
    </cfRule>
  </conditionalFormatting>
  <conditionalFormatting sqref="I41 K41:M41 V41:Y41 O41:T41 F40">
    <cfRule type="expression" dxfId="3400" priority="3241" stopIfTrue="1">
      <formula>IF(WEEKDAY(F$8)=1,TRUE,FALSE)</formula>
    </cfRule>
  </conditionalFormatting>
  <conditionalFormatting sqref="I41 K41:M41 V41:Y41">
    <cfRule type="containsText" dxfId="3399" priority="3239" operator="containsText" text="P">
      <formula>NOT(ISERROR(SEARCH("P",I41)))</formula>
    </cfRule>
    <cfRule type="containsText" dxfId="3398" priority="3240" operator="containsText" text="K">
      <formula>NOT(ISERROR(SEARCH("K",I41)))</formula>
    </cfRule>
  </conditionalFormatting>
  <conditionalFormatting sqref="I41:I42 K41:M42">
    <cfRule type="expression" dxfId="3397" priority="3236" stopIfTrue="1">
      <formula>IF(WEEKDAY(I$8)=1,TRUE,FALSE)</formula>
    </cfRule>
    <cfRule type="containsText" dxfId="3396" priority="3237" operator="containsText" text="P">
      <formula>NOT(ISERROR(SEARCH("P",I41)))</formula>
    </cfRule>
    <cfRule type="containsText" dxfId="3395" priority="3238" operator="containsText" text="K">
      <formula>NOT(ISERROR(SEARCH("K",I41)))</formula>
    </cfRule>
  </conditionalFormatting>
  <conditionalFormatting sqref="I42 K42:O42">
    <cfRule type="containsText" dxfId="3394" priority="3234" operator="containsText" text="P">
      <formula>NOT(ISERROR(SEARCH("P",I42)))</formula>
    </cfRule>
    <cfRule type="containsText" dxfId="3393" priority="3235" operator="containsText" text="K">
      <formula>NOT(ISERROR(SEARCH("K",I42)))</formula>
    </cfRule>
  </conditionalFormatting>
  <conditionalFormatting sqref="I42 K42:T42">
    <cfRule type="containsText" dxfId="3392" priority="3232" operator="containsText" text="P">
      <formula>NOT(ISERROR(SEARCH("P",I42)))</formula>
    </cfRule>
    <cfRule type="containsText" dxfId="3391" priority="3233" operator="containsText" text="K">
      <formula>NOT(ISERROR(SEARCH("K",I42)))</formula>
    </cfRule>
  </conditionalFormatting>
  <conditionalFormatting sqref="I47">
    <cfRule type="containsText" dxfId="3390" priority="3229" operator="containsText" text="K">
      <formula>NOT(ISERROR(SEARCH("K",I47)))</formula>
    </cfRule>
    <cfRule type="expression" dxfId="3389" priority="3230" stopIfTrue="1">
      <formula>IF(WEEKDAY(I$8)=1,TRUE,FALSE)</formula>
    </cfRule>
    <cfRule type="containsText" dxfId="3388" priority="3231" operator="containsText" text="P">
      <formula>NOT(ISERROR(SEARCH("P",I47)))</formula>
    </cfRule>
  </conditionalFormatting>
  <conditionalFormatting sqref="I52">
    <cfRule type="containsText" dxfId="3387" priority="3226" operator="containsText" text="K">
      <formula>NOT(ISERROR(SEARCH("K",I52)))</formula>
    </cfRule>
    <cfRule type="expression" dxfId="3386" priority="3227" stopIfTrue="1">
      <formula>IF(WEEKDAY(I$8)=1,TRUE,FALSE)</formula>
    </cfRule>
    <cfRule type="containsText" dxfId="3385" priority="3228" operator="containsText" text="P">
      <formula>NOT(ISERROR(SEARCH("P",I52)))</formula>
    </cfRule>
  </conditionalFormatting>
  <conditionalFormatting sqref="I81 K81:M81">
    <cfRule type="expression" dxfId="3384" priority="3224" stopIfTrue="1">
      <formula>IF(WEEKDAY(I$8)=1,TRUE,FALSE)</formula>
    </cfRule>
    <cfRule type="containsText" dxfId="3383" priority="3225" operator="containsText" text="P">
      <formula>NOT(ISERROR(SEARCH("P",I81)))</formula>
    </cfRule>
  </conditionalFormatting>
  <conditionalFormatting sqref="I81 K81:N81">
    <cfRule type="containsText" dxfId="3382" priority="3223" operator="containsText" text="K">
      <formula>NOT(ISERROR(SEARCH("K",I81)))</formula>
    </cfRule>
  </conditionalFormatting>
  <conditionalFormatting sqref="I81 K81:O81">
    <cfRule type="containsText" dxfId="3381" priority="3220" operator="containsText" text="K">
      <formula>NOT(ISERROR(SEARCH("K",I81)))</formula>
    </cfRule>
    <cfRule type="expression" dxfId="3380" priority="3221" stopIfTrue="1">
      <formula>IF(WEEKDAY(I$8)=1,TRUE,FALSE)</formula>
    </cfRule>
    <cfRule type="containsText" dxfId="3379" priority="3222" operator="containsText" text="P">
      <formula>NOT(ISERROR(SEARCH("P",I81)))</formula>
    </cfRule>
  </conditionalFormatting>
  <conditionalFormatting sqref="I81 K81:T81">
    <cfRule type="containsText" dxfId="3378" priority="3219" operator="containsText" text="P">
      <formula>NOT(ISERROR(SEARCH("P",I81)))</formula>
    </cfRule>
  </conditionalFormatting>
  <conditionalFormatting sqref="I85:I89">
    <cfRule type="expression" dxfId="3377" priority="3217" stopIfTrue="1">
      <formula>IF(WEEKDAY(I$8)=1,TRUE,FALSE)</formula>
    </cfRule>
    <cfRule type="containsText" dxfId="3376" priority="3218" operator="containsText" text="P">
      <formula>NOT(ISERROR(SEARCH("P",I85)))</formula>
    </cfRule>
  </conditionalFormatting>
  <conditionalFormatting sqref="I151:I153 U44:U47 AJ50:AJ92 X44:Y44 L44:L47 S44:S47 AJ44:AJ48 BF44:BG48 Z50:AE112 Q85:Q91 R90:Y90 F113:Y115 Z113:AJ117 BF151:BG162 E14:G14">
    <cfRule type="expression" dxfId="3375" priority="3216" stopIfTrue="1">
      <formula>IF(WEEKDAY(E$8)=1,TRUE,FALSE)</formula>
    </cfRule>
  </conditionalFormatting>
  <conditionalFormatting sqref="I162 K162:O162 G162">
    <cfRule type="expression" dxfId="3374" priority="3215" stopIfTrue="1">
      <formula>IF(WEEKDAY(G$8)=1,TRUE,FALSE)</formula>
    </cfRule>
  </conditionalFormatting>
  <conditionalFormatting sqref="I162 K162:O162 Q162:T162">
    <cfRule type="containsText" dxfId="3373" priority="3214" operator="containsText" text="P">
      <formula>NOT(ISERROR(SEARCH("P",I162)))</formula>
    </cfRule>
  </conditionalFormatting>
  <conditionalFormatting sqref="I162 K162:O162">
    <cfRule type="containsText" dxfId="3372" priority="3213" operator="containsText" text="K">
      <formula>NOT(ISERROR(SEARCH("K",I162)))</formula>
    </cfRule>
  </conditionalFormatting>
  <conditionalFormatting sqref="I169 N169:P169 V169:W169">
    <cfRule type="containsText" dxfId="3371" priority="3211" operator="containsText" text="P">
      <formula>NOT(ISERROR(SEARCH("P",I169)))</formula>
    </cfRule>
    <cfRule type="containsText" dxfId="3370" priority="3212" operator="containsText" text="K">
      <formula>NOT(ISERROR(SEARCH("K",I169)))</formula>
    </cfRule>
  </conditionalFormatting>
  <conditionalFormatting sqref="I169 V169:W169 N169:P169 F169">
    <cfRule type="expression" dxfId="3369" priority="3210" stopIfTrue="1">
      <formula>IF(WEEKDAY(F$8)=1,TRUE,FALSE)</formula>
    </cfRule>
  </conditionalFormatting>
  <conditionalFormatting sqref="I224 N224:S224">
    <cfRule type="containsText" dxfId="3368" priority="3207" operator="containsText" text="P">
      <formula>NOT(ISERROR(SEARCH("P",I224)))</formula>
    </cfRule>
    <cfRule type="containsText" dxfId="3367" priority="3208" operator="containsText" text="K">
      <formula>NOT(ISERROR(SEARCH("K",I224)))</formula>
    </cfRule>
    <cfRule type="expression" dxfId="3366" priority="3209" stopIfTrue="1">
      <formula>IF(WEEKDAY(G$8)=1,TRUE,FALSE)</formula>
    </cfRule>
  </conditionalFormatting>
  <conditionalFormatting sqref="I224:I225 N225:O225 Q225:S225">
    <cfRule type="containsText" dxfId="3365" priority="3205" operator="containsText" text="P">
      <formula>NOT(ISERROR(SEARCH("P",I224)))</formula>
    </cfRule>
    <cfRule type="containsText" dxfId="3364" priority="3206" operator="containsText" text="K">
      <formula>NOT(ISERROR(SEARCH("K",I224)))</formula>
    </cfRule>
  </conditionalFormatting>
  <conditionalFormatting sqref="I224:I230 H48:J48 AG219:AI224">
    <cfRule type="expression" dxfId="3363" priority="3204" stopIfTrue="1">
      <formula>IF(WEEKDAY(H$8)=1,TRUE,FALSE)</formula>
    </cfRule>
  </conditionalFormatting>
  <conditionalFormatting sqref="I225 N225:O225 Q225:S225">
    <cfRule type="expression" dxfId="3362" priority="3203" stopIfTrue="1">
      <formula>IF(WEEKDAY(G$8)=1,TRUE,FALSE)</formula>
    </cfRule>
  </conditionalFormatting>
  <conditionalFormatting sqref="I226 N226:O226 Q226:S226">
    <cfRule type="containsText" dxfId="3361" priority="3201" operator="containsText" text="K">
      <formula>NOT(ISERROR(SEARCH("K",I226)))</formula>
    </cfRule>
    <cfRule type="expression" dxfId="3360" priority="3202" stopIfTrue="1">
      <formula>IF(WEEKDAY(G$8)=1,TRUE,FALSE)</formula>
    </cfRule>
  </conditionalFormatting>
  <conditionalFormatting sqref="I227 K227:L227 N227:O227 Q227:S227">
    <cfRule type="containsText" dxfId="3359" priority="3198" operator="containsText" text="P">
      <formula>NOT(ISERROR(SEARCH("P",I227)))</formula>
    </cfRule>
    <cfRule type="containsText" dxfId="3358" priority="3199" operator="containsText" text="K">
      <formula>NOT(ISERROR(SEARCH("K",I227)))</formula>
    </cfRule>
    <cfRule type="expression" dxfId="3357" priority="3200" stopIfTrue="1">
      <formula>IF(WEEKDAY(G$8)=1,TRUE,FALSE)</formula>
    </cfRule>
  </conditionalFormatting>
  <conditionalFormatting sqref="I228 N228:O228 Q228:S228">
    <cfRule type="containsText" dxfId="3356" priority="3195" operator="containsText" text="P">
      <formula>NOT(ISERROR(SEARCH("P",I228)))</formula>
    </cfRule>
    <cfRule type="containsText" dxfId="3355" priority="3196" operator="containsText" text="K">
      <formula>NOT(ISERROR(SEARCH("K",I228)))</formula>
    </cfRule>
    <cfRule type="expression" dxfId="3354" priority="3197" stopIfTrue="1">
      <formula>IF(WEEKDAY(G$8)=1,TRUE,FALSE)</formula>
    </cfRule>
  </conditionalFormatting>
  <conditionalFormatting sqref="I228:I229 N228:O229 Q229:S229">
    <cfRule type="containsText" dxfId="3353" priority="3193" operator="containsText" text="P">
      <formula>NOT(ISERROR(SEARCH("P",I228)))</formula>
    </cfRule>
    <cfRule type="containsText" dxfId="3352" priority="3194" operator="containsText" text="K">
      <formula>NOT(ISERROR(SEARCH("K",I228)))</formula>
    </cfRule>
  </conditionalFormatting>
  <conditionalFormatting sqref="I229 N229:O229 Q229:S229">
    <cfRule type="containsText" dxfId="3351" priority="3192" operator="containsText" text="K">
      <formula>NOT(ISERROR(SEARCH("K",I229)))</formula>
    </cfRule>
  </conditionalFormatting>
  <conditionalFormatting sqref="I230">
    <cfRule type="containsText" dxfId="3350" priority="3189" operator="containsText" text="P">
      <formula>NOT(ISERROR(SEARCH("P",I230)))</formula>
    </cfRule>
    <cfRule type="containsText" dxfId="3349" priority="3190" operator="containsText" text="K">
      <formula>NOT(ISERROR(SEARCH("K",I230)))</formula>
    </cfRule>
    <cfRule type="expression" dxfId="3348" priority="3191" stopIfTrue="1">
      <formula>IF(WEEKDAY(G$8)=1,TRUE,FALSE)</formula>
    </cfRule>
  </conditionalFormatting>
  <conditionalFormatting sqref="I47:J47">
    <cfRule type="containsText" dxfId="3347" priority="3188" operator="containsText" text="K">
      <formula>NOT(ISERROR(SEARCH("K",I47)))</formula>
    </cfRule>
  </conditionalFormatting>
  <conditionalFormatting sqref="I48:J48">
    <cfRule type="containsText" dxfId="3346" priority="3183" operator="containsText" text="P">
      <formula>NOT(ISERROR(SEARCH("P",I48)))</formula>
    </cfRule>
    <cfRule type="containsText" dxfId="3345" priority="3184" operator="containsText" text="K">
      <formula>NOT(ISERROR(SEARCH("K",I48)))</formula>
    </cfRule>
    <cfRule type="expression" dxfId="3344" priority="3185" stopIfTrue="1">
      <formula>IF(WEEKDAY(I$8)=1,TRUE,FALSE)</formula>
    </cfRule>
    <cfRule type="containsText" dxfId="3343" priority="3186" operator="containsText" text="P">
      <formula>NOT(ISERROR(SEARCH("P",I48)))</formula>
    </cfRule>
    <cfRule type="containsText" dxfId="3342" priority="3187" operator="containsText" text="K">
      <formula>NOT(ISERROR(SEARCH("K",I48)))</formula>
    </cfRule>
  </conditionalFormatting>
  <conditionalFormatting sqref="I53:J55 J85">
    <cfRule type="containsText" dxfId="3341" priority="3182" operator="containsText" text="K">
      <formula>NOT(ISERROR(SEARCH("K",I53)))</formula>
    </cfRule>
  </conditionalFormatting>
  <conditionalFormatting sqref="I89:J89">
    <cfRule type="expression" dxfId="3340" priority="3180" stopIfTrue="1">
      <formula>IF(WEEKDAY(I$8)=1,TRUE,FALSE)</formula>
    </cfRule>
    <cfRule type="containsText" dxfId="3339" priority="3181" operator="containsText" text="P">
      <formula>NOT(ISERROR(SEARCH("P",I89)))</formula>
    </cfRule>
  </conditionalFormatting>
  <conditionalFormatting sqref="I91:J91">
    <cfRule type="expression" dxfId="3338" priority="3178" stopIfTrue="1">
      <formula>IF(WEEKDAY(I$8)=1,TRUE,FALSE)</formula>
    </cfRule>
    <cfRule type="containsText" dxfId="3337" priority="3179" operator="containsText" text="P">
      <formula>NOT(ISERROR(SEARCH("P",I91)))</formula>
    </cfRule>
  </conditionalFormatting>
  <conditionalFormatting sqref="I165:J165">
    <cfRule type="expression" dxfId="3336" priority="3172" stopIfTrue="1">
      <formula>IF(WEEKDAY(I$8)=1,TRUE,FALSE)</formula>
    </cfRule>
    <cfRule type="containsText" dxfId="3335" priority="3173" operator="containsText" text="P">
      <formula>NOT(ISERROR(SEARCH("P",I165)))</formula>
    </cfRule>
    <cfRule type="containsText" dxfId="3334" priority="3174" operator="containsText" text="K">
      <formula>NOT(ISERROR(SEARCH("K",I165)))</formula>
    </cfRule>
    <cfRule type="expression" dxfId="3333" priority="3175" stopIfTrue="1">
      <formula>IF(WEEKDAY(I$8)=1,TRUE,FALSE)</formula>
    </cfRule>
    <cfRule type="containsText" dxfId="3332" priority="3176" operator="containsText" text="P">
      <formula>NOT(ISERROR(SEARCH("P",I165)))</formula>
    </cfRule>
    <cfRule type="containsText" dxfId="3331" priority="3177" operator="containsText" text="K">
      <formula>NOT(ISERROR(SEARCH("K",I165)))</formula>
    </cfRule>
  </conditionalFormatting>
  <conditionalFormatting sqref="I167:J167">
    <cfRule type="expression" dxfId="3330" priority="3166" stopIfTrue="1">
      <formula>IF(WEEKDAY(I$8)=1,TRUE,FALSE)</formula>
    </cfRule>
    <cfRule type="containsText" dxfId="3329" priority="3167" operator="containsText" text="P">
      <formula>NOT(ISERROR(SEARCH("P",I167)))</formula>
    </cfRule>
    <cfRule type="containsText" dxfId="3328" priority="3168" operator="containsText" text="K">
      <formula>NOT(ISERROR(SEARCH("K",I167)))</formula>
    </cfRule>
    <cfRule type="expression" dxfId="3327" priority="3169" stopIfTrue="1">
      <formula>IF(WEEKDAY(I$8)=1,TRUE,FALSE)</formula>
    </cfRule>
    <cfRule type="containsText" dxfId="3326" priority="3170" operator="containsText" text="P">
      <formula>NOT(ISERROR(SEARCH("P",I167)))</formula>
    </cfRule>
    <cfRule type="containsText" dxfId="3325" priority="3171" operator="containsText" text="K">
      <formula>NOT(ISERROR(SEARCH("K",I167)))</formula>
    </cfRule>
  </conditionalFormatting>
  <conditionalFormatting sqref="I168:J168 G168">
    <cfRule type="containsText" dxfId="3324" priority="3165" operator="containsText" text="P">
      <formula>NOT(ISERROR(SEARCH("P",G168)))</formula>
    </cfRule>
  </conditionalFormatting>
  <conditionalFormatting sqref="I173:J173 G173">
    <cfRule type="containsText" dxfId="3323" priority="3164" operator="containsText" text="K">
      <formula>NOT(ISERROR(SEARCH("K",G173)))</formula>
    </cfRule>
  </conditionalFormatting>
  <conditionalFormatting sqref="I173:J173">
    <cfRule type="containsText" dxfId="3322" priority="3163" operator="containsText" text="P">
      <formula>NOT(ISERROR(SEARCH("P",I173)))</formula>
    </cfRule>
  </conditionalFormatting>
  <conditionalFormatting sqref="I174:J174 G174">
    <cfRule type="containsText" dxfId="3321" priority="3162" operator="containsText" text="P">
      <formula>NOT(ISERROR(SEARCH("P",G174)))</formula>
    </cfRule>
  </conditionalFormatting>
  <conditionalFormatting sqref="I178:J178 G178">
    <cfRule type="containsText" dxfId="3320" priority="3161" operator="containsText" text="K">
      <formula>NOT(ISERROR(SEARCH("K",G178)))</formula>
    </cfRule>
  </conditionalFormatting>
  <conditionalFormatting sqref="I178:J178">
    <cfRule type="containsText" dxfId="3319" priority="3160" operator="containsText" text="P">
      <formula>NOT(ISERROR(SEARCH("P",I178)))</formula>
    </cfRule>
  </conditionalFormatting>
  <conditionalFormatting sqref="I170:L170 G171:L171">
    <cfRule type="expression" dxfId="3318" priority="3158" stopIfTrue="1">
      <formula>IF(WEEKDAY(G$8)=1,TRUE,FALSE)</formula>
    </cfRule>
    <cfRule type="containsText" dxfId="3317" priority="3159" operator="containsText" text="P">
      <formula>NOT(ISERROR(SEARCH("P",G170)))</formula>
    </cfRule>
  </conditionalFormatting>
  <conditionalFormatting sqref="I170:L170 H171:L171">
    <cfRule type="containsText" dxfId="3316" priority="3155" operator="containsText" text="P">
      <formula>NOT(ISERROR(SEARCH("P",H170)))</formula>
    </cfRule>
    <cfRule type="containsText" dxfId="3315" priority="3156" operator="containsText" text="K">
      <formula>NOT(ISERROR(SEARCH("K",H170)))</formula>
    </cfRule>
    <cfRule type="containsText" dxfId="3314" priority="3157" operator="containsText" text="K">
      <formula>NOT(ISERROR(SEARCH("K",H170)))</formula>
    </cfRule>
  </conditionalFormatting>
  <conditionalFormatting sqref="I178:L178">
    <cfRule type="containsText" dxfId="3313" priority="3153" operator="containsText" text="K">
      <formula>NOT(ISERROR(SEARCH("K",I178)))</formula>
    </cfRule>
    <cfRule type="expression" dxfId="3312" priority="3154" stopIfTrue="1">
      <formula>IF(WEEKDAY(I$8)=1,TRUE,FALSE)</formula>
    </cfRule>
  </conditionalFormatting>
  <conditionalFormatting sqref="I97:M97">
    <cfRule type="expression" dxfId="3311" priority="3149" stopIfTrue="1">
      <formula>IF(WEEKDAY(I$8)=1,TRUE,FALSE)</formula>
    </cfRule>
    <cfRule type="containsText" dxfId="3310" priority="3150" operator="containsText" text="P">
      <formula>NOT(ISERROR(SEARCH("P",I97)))</formula>
    </cfRule>
    <cfRule type="expression" dxfId="3309" priority="3151" stopIfTrue="1">
      <formula>IF(WEEKDAY(I$8)=1,TRUE,FALSE)</formula>
    </cfRule>
    <cfRule type="containsText" dxfId="3308" priority="3152" operator="containsText" text="P">
      <formula>NOT(ISERROR(SEARCH("P",I97)))</formula>
    </cfRule>
  </conditionalFormatting>
  <conditionalFormatting sqref="I164:M164">
    <cfRule type="expression" dxfId="3307" priority="3141" stopIfTrue="1">
      <formula>IF(WEEKDAY(I$8)=1,TRUE,FALSE)</formula>
    </cfRule>
    <cfRule type="containsText" dxfId="3306" priority="3142" operator="containsText" text="P">
      <formula>NOT(ISERROR(SEARCH("P",I164)))</formula>
    </cfRule>
    <cfRule type="containsText" dxfId="3305" priority="3143" operator="containsText" text="K">
      <formula>NOT(ISERROR(SEARCH("K",I164)))</formula>
    </cfRule>
    <cfRule type="expression" dxfId="3304" priority="3144" stopIfTrue="1">
      <formula>IF(WEEKDAY(I$8)=1,TRUE,FALSE)</formula>
    </cfRule>
    <cfRule type="containsText" dxfId="3303" priority="3145" operator="containsText" text="P">
      <formula>NOT(ISERROR(SEARCH("P",I164)))</formula>
    </cfRule>
    <cfRule type="containsText" dxfId="3302" priority="3146" operator="containsText" text="K">
      <formula>NOT(ISERROR(SEARCH("K",I164)))</formula>
    </cfRule>
    <cfRule type="expression" dxfId="3301" priority="3147" stopIfTrue="1">
      <formula>IF(WEEKDAY(I$8)=1,TRUE,FALSE)</formula>
    </cfRule>
    <cfRule type="containsText" dxfId="3300" priority="3148" operator="containsText" text="P">
      <formula>NOT(ISERROR(SEARCH("P",I164)))</formula>
    </cfRule>
  </conditionalFormatting>
  <conditionalFormatting sqref="I172:M172">
    <cfRule type="containsText" dxfId="3299" priority="3138" operator="containsText" text="P">
      <formula>NOT(ISERROR(SEARCH("P",I172)))</formula>
    </cfRule>
    <cfRule type="containsText" dxfId="3298" priority="3139" operator="containsText" text="K">
      <formula>NOT(ISERROR(SEARCH("K",I172)))</formula>
    </cfRule>
    <cfRule type="expression" dxfId="3297" priority="3140" stopIfTrue="1">
      <formula>IF(WEEKDAY(I$8)=1,TRUE,FALSE)</formula>
    </cfRule>
  </conditionalFormatting>
  <conditionalFormatting sqref="I176:M176">
    <cfRule type="containsText" dxfId="3296" priority="3135" operator="containsText" text="P">
      <formula>NOT(ISERROR(SEARCH("P",I176)))</formula>
    </cfRule>
    <cfRule type="containsText" dxfId="3295" priority="3136" operator="containsText" text="K">
      <formula>NOT(ISERROR(SEARCH("K",I176)))</formula>
    </cfRule>
    <cfRule type="containsText" dxfId="3294" priority="3137" operator="containsText" text="P">
      <formula>NOT(ISERROR(SEARCH("P",I176)))</formula>
    </cfRule>
  </conditionalFormatting>
  <conditionalFormatting sqref="I176:M177">
    <cfRule type="expression" dxfId="3293" priority="3134" stopIfTrue="1">
      <formula>IF(WEEKDAY(I$8)=1,TRUE,FALSE)</formula>
    </cfRule>
  </conditionalFormatting>
  <conditionalFormatting sqref="I177:M177">
    <cfRule type="containsText" dxfId="3292" priority="3133" operator="containsText" text="P">
      <formula>NOT(ISERROR(SEARCH("P",I177)))</formula>
    </cfRule>
  </conditionalFormatting>
  <conditionalFormatting sqref="I97:N97">
    <cfRule type="expression" dxfId="3291" priority="3131" stopIfTrue="1">
      <formula>IF(WEEKDAY(I$8)=1,TRUE,FALSE)</formula>
    </cfRule>
    <cfRule type="containsText" dxfId="3290" priority="3132" operator="containsText" text="P">
      <formula>NOT(ISERROR(SEARCH("P",I97)))</formula>
    </cfRule>
  </conditionalFormatting>
  <conditionalFormatting sqref="I141:N141">
    <cfRule type="containsText" dxfId="3289" priority="3128" operator="containsText" text="P">
      <formula>NOT(ISERROR(SEARCH(("P"),(I141))))</formula>
    </cfRule>
    <cfRule type="containsText" dxfId="3288" priority="3129" operator="containsText" text="K">
      <formula>NOT(ISERROR(SEARCH(("K"),(I141))))</formula>
    </cfRule>
    <cfRule type="expression" dxfId="3287" priority="3130" stopIfTrue="1">
      <formula>IF(WEEKDAY(I$8)=1,TRUE,FALSE)</formula>
    </cfRule>
  </conditionalFormatting>
  <conditionalFormatting sqref="I164:N164">
    <cfRule type="containsText" dxfId="3286" priority="3127" operator="containsText" text="K">
      <formula>NOT(ISERROR(SEARCH("K",I164)))</formula>
    </cfRule>
  </conditionalFormatting>
  <conditionalFormatting sqref="I172:N172">
    <cfRule type="expression" dxfId="3285" priority="3126" stopIfTrue="1">
      <formula>IF(WEEKDAY(I$8)=1,TRUE,FALSE)</formula>
    </cfRule>
  </conditionalFormatting>
  <conditionalFormatting sqref="I176:N176">
    <cfRule type="expression" dxfId="3284" priority="3125" stopIfTrue="1">
      <formula>IF(WEEKDAY(I$8)=1,TRUE,FALSE)</formula>
    </cfRule>
  </conditionalFormatting>
  <conditionalFormatting sqref="I177:N177">
    <cfRule type="expression" dxfId="3283" priority="3122" stopIfTrue="1">
      <formula>IF(WEEKDAY(I$8)=1,TRUE,FALSE)</formula>
    </cfRule>
    <cfRule type="containsText" dxfId="3282" priority="3123" operator="containsText" text="P">
      <formula>NOT(ISERROR(SEARCH("P",I177)))</formula>
    </cfRule>
    <cfRule type="containsText" dxfId="3281" priority="3124" operator="containsText" text="K">
      <formula>NOT(ISERROR(SEARCH("K",I177)))</formula>
    </cfRule>
  </conditionalFormatting>
  <conditionalFormatting sqref="I97:O97">
    <cfRule type="containsText" dxfId="3280" priority="3121" operator="containsText" text="K">
      <formula>NOT(ISERROR(SEARCH("K",I97)))</formula>
    </cfRule>
  </conditionalFormatting>
  <conditionalFormatting sqref="I170:O170 H171:O171">
    <cfRule type="expression" dxfId="3279" priority="3120" stopIfTrue="1">
      <formula>IF(WEEKDAY(H$8)=1,TRUE,FALSE)</formula>
    </cfRule>
  </conditionalFormatting>
  <conditionalFormatting sqref="I172:O172">
    <cfRule type="containsText" dxfId="3278" priority="3119" operator="containsText" text="K">
      <formula>NOT(ISERROR(SEARCH("K",I172)))</formula>
    </cfRule>
  </conditionalFormatting>
  <conditionalFormatting sqref="I176:O176">
    <cfRule type="containsText" dxfId="3277" priority="3118" operator="containsText" text="K">
      <formula>NOT(ISERROR(SEARCH("K",I176)))</formula>
    </cfRule>
  </conditionalFormatting>
  <conditionalFormatting sqref="I177:O177">
    <cfRule type="expression" dxfId="3276" priority="3115" stopIfTrue="1">
      <formula>IF(WEEKDAY(I$8)=1,TRUE,FALSE)</formula>
    </cfRule>
    <cfRule type="containsText" dxfId="3275" priority="3116" operator="containsText" text="P">
      <formula>NOT(ISERROR(SEARCH("P",I177)))</formula>
    </cfRule>
    <cfRule type="containsText" dxfId="3274" priority="3117" operator="containsText" text="K">
      <formula>NOT(ISERROR(SEARCH("K",I177)))</formula>
    </cfRule>
  </conditionalFormatting>
  <conditionalFormatting sqref="I223:O223">
    <cfRule type="containsText" dxfId="3273" priority="3114" operator="containsText" text="P">
      <formula>NOT(ISERROR(SEARCH("P",I223)))</formula>
    </cfRule>
  </conditionalFormatting>
  <conditionalFormatting sqref="I170:P170 H171:P171">
    <cfRule type="containsText" dxfId="3272" priority="3113" operator="containsText" text="P">
      <formula>NOT(ISERROR(SEARCH("P",H170)))</formula>
    </cfRule>
  </conditionalFormatting>
  <conditionalFormatting sqref="I178:P178">
    <cfRule type="containsText" dxfId="3271" priority="3112" operator="containsText" text="P">
      <formula>NOT(ISERROR(SEARCH("P",I178)))</formula>
    </cfRule>
  </conditionalFormatting>
  <conditionalFormatting sqref="I50:S50 U50:Y50 F69:S73 U69:Y74 F74:N74 P74:S74 F76:S77 U76:Y77 F82:Y83 R84 Y84 F93:S95 U93:Y95 T76:T78 K84 T67:T74">
    <cfRule type="containsText" dxfId="3270" priority="3111" operator="containsText" text="P">
      <formula>NOT(ISERROR(SEARCH("P",F50)))</formula>
    </cfRule>
  </conditionalFormatting>
  <conditionalFormatting sqref="I50:S50 U50:Y50 F76:S77 U76:Y77 T76:T78 K84 R84 Y84">
    <cfRule type="containsText" dxfId="3269" priority="3109" operator="containsText" text="K">
      <formula>NOT(ISERROR(SEARCH("K",F50)))</formula>
    </cfRule>
    <cfRule type="expression" dxfId="3268" priority="3110" stopIfTrue="1">
      <formula>IF(WEEKDAY(F$8)=1,TRUE,FALSE)</formula>
    </cfRule>
  </conditionalFormatting>
  <conditionalFormatting sqref="I52:S52">
    <cfRule type="expression" dxfId="3267" priority="3106" stopIfTrue="1">
      <formula>IF(WEEKDAY(I$8)=1,TRUE,FALSE)</formula>
    </cfRule>
    <cfRule type="containsText" dxfId="3266" priority="3107" operator="containsText" text="P">
      <formula>NOT(ISERROR(SEARCH("P",I52)))</formula>
    </cfRule>
    <cfRule type="containsText" dxfId="3265" priority="3108" operator="containsText" text="K">
      <formula>NOT(ISERROR(SEARCH("K",I52)))</formula>
    </cfRule>
  </conditionalFormatting>
  <conditionalFormatting sqref="I96:S96 I98:J98 J145">
    <cfRule type="expression" dxfId="3264" priority="3105" stopIfTrue="1">
      <formula>IF(WEEKDAY(I$8)=1,TRUE,FALSE)</formula>
    </cfRule>
  </conditionalFormatting>
  <conditionalFormatting sqref="I96:S96 J98 F145:Y145 G96:H98 AF103:AI105">
    <cfRule type="containsText" dxfId="3263" priority="3104" operator="containsText" text="K">
      <formula>NOT(ISERROR(SEARCH("K",F96)))</formula>
    </cfRule>
  </conditionalFormatting>
  <conditionalFormatting sqref="J38:J39">
    <cfRule type="containsText" dxfId="3262" priority="3101" operator="containsText" text="P">
      <formula>NOT(ISERROR(SEARCH(("P"),(J38))))</formula>
    </cfRule>
    <cfRule type="containsText" dxfId="3261" priority="3102" operator="containsText" text="K">
      <formula>NOT(ISERROR(SEARCH(("K"),(J38))))</formula>
    </cfRule>
    <cfRule type="expression" dxfId="3260" priority="3103" stopIfTrue="1">
      <formula>IF(WEEKDAY(J$8)=1,TRUE,FALSE)</formula>
    </cfRule>
  </conditionalFormatting>
  <conditionalFormatting sqref="J41:J42">
    <cfRule type="containsText" dxfId="3259" priority="3098" operator="containsText" text="P">
      <formula>NOT(ISERROR(SEARCH(("P"),(J41))))</formula>
    </cfRule>
    <cfRule type="containsText" dxfId="3258" priority="3099" operator="containsText" text="K">
      <formula>NOT(ISERROR(SEARCH(("K"),(J41))))</formula>
    </cfRule>
    <cfRule type="expression" dxfId="3257" priority="3100" stopIfTrue="1">
      <formula>IF(WEEKDAY(J$8)=1,TRUE,FALSE)</formula>
    </cfRule>
  </conditionalFormatting>
  <conditionalFormatting sqref="J45">
    <cfRule type="expression" dxfId="3256" priority="3096" stopIfTrue="1">
      <formula>IF(WEEKDAY(J$8)=1,TRUE,FALSE)</formula>
    </cfRule>
    <cfRule type="containsText" dxfId="3255" priority="3097" operator="containsText" text="P">
      <formula>NOT(ISERROR(SEARCH("P",J45)))</formula>
    </cfRule>
  </conditionalFormatting>
  <conditionalFormatting sqref="J46">
    <cfRule type="containsText" dxfId="3254" priority="3093" operator="containsText" text="K">
      <formula>NOT(ISERROR(SEARCH("K",J46)))</formula>
    </cfRule>
    <cfRule type="expression" dxfId="3253" priority="3094" stopIfTrue="1">
      <formula>IF(WEEKDAY(J$8)=1,TRUE,FALSE)</formula>
    </cfRule>
    <cfRule type="containsText" dxfId="3252" priority="3095" operator="containsText" text="P">
      <formula>NOT(ISERROR(SEARCH("P",J46)))</formula>
    </cfRule>
  </conditionalFormatting>
  <conditionalFormatting sqref="J47">
    <cfRule type="expression" dxfId="3251" priority="3092" stopIfTrue="1">
      <formula>IF(WEEKDAY(J$8)=1,TRUE,FALSE)</formula>
    </cfRule>
  </conditionalFormatting>
  <conditionalFormatting sqref="J52:J55 J85">
    <cfRule type="containsText" dxfId="3250" priority="3091" operator="containsText" text="P">
      <formula>NOT(ISERROR(SEARCH("P",J52)))</formula>
    </cfRule>
  </conditionalFormatting>
  <conditionalFormatting sqref="J52:J55 J85:P85">
    <cfRule type="expression" dxfId="3249" priority="3090" stopIfTrue="1">
      <formula>IF(WEEKDAY(J$8)=1,TRUE,FALSE)</formula>
    </cfRule>
  </conditionalFormatting>
  <conditionalFormatting sqref="J57">
    <cfRule type="expression" dxfId="3248" priority="3088" stopIfTrue="1">
      <formula>IF(WEEKDAY(J$8)=1,TRUE,FALSE)</formula>
    </cfRule>
    <cfRule type="containsText" dxfId="3247" priority="3089" operator="containsText" text="P">
      <formula>NOT(ISERROR(SEARCH("P",J57)))</formula>
    </cfRule>
  </conditionalFormatting>
  <conditionalFormatting sqref="J60">
    <cfRule type="expression" dxfId="3246" priority="3083" stopIfTrue="1">
      <formula>IF(WEEKDAY(J$8)=1,TRUE,FALSE)</formula>
    </cfRule>
    <cfRule type="containsText" dxfId="3245" priority="3084" operator="containsText" text="P">
      <formula>NOT(ISERROR(SEARCH("P",J60)))</formula>
    </cfRule>
    <cfRule type="expression" dxfId="3244" priority="3085" stopIfTrue="1">
      <formula>IF(WEEKDAY(J$8)=1,TRUE,FALSE)</formula>
    </cfRule>
    <cfRule type="containsText" dxfId="3243" priority="3086" operator="containsText" text="P">
      <formula>NOT(ISERROR(SEARCH("P",J60)))</formula>
    </cfRule>
    <cfRule type="containsText" dxfId="3242" priority="3087" operator="containsText" text="K">
      <formula>NOT(ISERROR(SEARCH("K",J60)))</formula>
    </cfRule>
  </conditionalFormatting>
  <conditionalFormatting sqref="J60:J61">
    <cfRule type="containsText" dxfId="3241" priority="3082" operator="containsText" text="K">
      <formula>NOT(ISERROR(SEARCH("K",J60)))</formula>
    </cfRule>
  </conditionalFormatting>
  <conditionalFormatting sqref="J61">
    <cfRule type="expression" dxfId="3240" priority="3078" stopIfTrue="1">
      <formula>IF(WEEKDAY(J$8)=1,TRUE,FALSE)</formula>
    </cfRule>
    <cfRule type="containsText" dxfId="3239" priority="3079" operator="containsText" text="P">
      <formula>NOT(ISERROR(SEARCH("P",J61)))</formula>
    </cfRule>
    <cfRule type="expression" dxfId="3238" priority="3080" stopIfTrue="1">
      <formula>IF(WEEKDAY(J$8)=1,TRUE,FALSE)</formula>
    </cfRule>
    <cfRule type="containsText" dxfId="3237" priority="3081" operator="containsText" text="P">
      <formula>NOT(ISERROR(SEARCH("P",J61)))</formula>
    </cfRule>
  </conditionalFormatting>
  <conditionalFormatting sqref="J61:J62">
    <cfRule type="containsText" dxfId="3236" priority="3077" operator="containsText" text="K">
      <formula>NOT(ISERROR(SEARCH("K",J61)))</formula>
    </cfRule>
  </conditionalFormatting>
  <conditionalFormatting sqref="J62">
    <cfRule type="expression" dxfId="3235" priority="3073" stopIfTrue="1">
      <formula>IF(WEEKDAY(J$8)=1,TRUE,FALSE)</formula>
    </cfRule>
    <cfRule type="containsText" dxfId="3234" priority="3074" operator="containsText" text="P">
      <formula>NOT(ISERROR(SEARCH("P",J62)))</formula>
    </cfRule>
    <cfRule type="expression" dxfId="3233" priority="3075" stopIfTrue="1">
      <formula>IF(WEEKDAY(J$8)=1,TRUE,FALSE)</formula>
    </cfRule>
    <cfRule type="containsText" dxfId="3232" priority="3076" operator="containsText" text="P">
      <formula>NOT(ISERROR(SEARCH("P",J62)))</formula>
    </cfRule>
  </conditionalFormatting>
  <conditionalFormatting sqref="J62:J63">
    <cfRule type="containsText" dxfId="3231" priority="3072" operator="containsText" text="K">
      <formula>NOT(ISERROR(SEARCH("K",J62)))</formula>
    </cfRule>
  </conditionalFormatting>
  <conditionalFormatting sqref="J63">
    <cfRule type="expression" dxfId="3230" priority="3068" stopIfTrue="1">
      <formula>IF(WEEKDAY(J$8)=1,TRUE,FALSE)</formula>
    </cfRule>
    <cfRule type="containsText" dxfId="3229" priority="3069" operator="containsText" text="P">
      <formula>NOT(ISERROR(SEARCH("P",J63)))</formula>
    </cfRule>
    <cfRule type="expression" dxfId="3228" priority="3070" stopIfTrue="1">
      <formula>IF(WEEKDAY(J$8)=1,TRUE,FALSE)</formula>
    </cfRule>
    <cfRule type="containsText" dxfId="3227" priority="3071" operator="containsText" text="P">
      <formula>NOT(ISERROR(SEARCH("P",J63)))</formula>
    </cfRule>
  </conditionalFormatting>
  <conditionalFormatting sqref="J63:J64">
    <cfRule type="containsText" dxfId="3226" priority="3067" operator="containsText" text="K">
      <formula>NOT(ISERROR(SEARCH("K",J63)))</formula>
    </cfRule>
  </conditionalFormatting>
  <conditionalFormatting sqref="J64">
    <cfRule type="containsText" dxfId="3225" priority="3062" operator="containsText" text="K">
      <formula>NOT(ISERROR(SEARCH("K",J64)))</formula>
    </cfRule>
    <cfRule type="expression" dxfId="3224" priority="3063" stopIfTrue="1">
      <formula>IF(WEEKDAY(J$8)=1,TRUE,FALSE)</formula>
    </cfRule>
    <cfRule type="containsText" dxfId="3223" priority="3064" operator="containsText" text="P">
      <formula>NOT(ISERROR(SEARCH("P",J64)))</formula>
    </cfRule>
    <cfRule type="expression" dxfId="3222" priority="3065" stopIfTrue="1">
      <formula>IF(WEEKDAY(J$8)=1,TRUE,FALSE)</formula>
    </cfRule>
    <cfRule type="containsText" dxfId="3221" priority="3066" operator="containsText" text="P">
      <formula>NOT(ISERROR(SEARCH("P",J64)))</formula>
    </cfRule>
  </conditionalFormatting>
  <conditionalFormatting sqref="J79:J81">
    <cfRule type="expression" dxfId="3220" priority="3060" stopIfTrue="1">
      <formula>IF(WEEKDAY(J$8)=1,TRUE,FALSE)</formula>
    </cfRule>
    <cfRule type="containsText" dxfId="3219" priority="3061" operator="containsText" text="P">
      <formula>NOT(ISERROR(SEARCH("P",J79)))</formula>
    </cfRule>
  </conditionalFormatting>
  <conditionalFormatting sqref="J80:J81">
    <cfRule type="containsText" dxfId="3218" priority="3059" operator="containsText" text="K">
      <formula>NOT(ISERROR(SEARCH("K",J80)))</formula>
    </cfRule>
  </conditionalFormatting>
  <conditionalFormatting sqref="J86">
    <cfRule type="expression" dxfId="3217" priority="3054" stopIfTrue="1">
      <formula>IF(WEEKDAY(J$8)=1,TRUE,FALSE)</formula>
    </cfRule>
    <cfRule type="containsText" dxfId="3216" priority="3055" operator="containsText" text="P">
      <formula>NOT(ISERROR(SEARCH("P",J86)))</formula>
    </cfRule>
    <cfRule type="expression" dxfId="3215" priority="3056" stopIfTrue="1">
      <formula>IF(WEEKDAY(J$8)=1,TRUE,FALSE)</formula>
    </cfRule>
    <cfRule type="containsText" dxfId="3214" priority="3057" operator="containsText" text="P">
      <formula>NOT(ISERROR(SEARCH("P",J86)))</formula>
    </cfRule>
    <cfRule type="containsText" dxfId="3213" priority="3058" operator="containsText" text="K">
      <formula>NOT(ISERROR(SEARCH("K",J86)))</formula>
    </cfRule>
  </conditionalFormatting>
  <conditionalFormatting sqref="J86:J88">
    <cfRule type="containsText" dxfId="3212" priority="3053" operator="containsText" text="K">
      <formula>NOT(ISERROR(SEARCH("K",J86)))</formula>
    </cfRule>
  </conditionalFormatting>
  <conditionalFormatting sqref="J87">
    <cfRule type="containsText" dxfId="3211" priority="3050" operator="containsText" text="K">
      <formula>NOT(ISERROR(SEARCH("K",J87)))</formula>
    </cfRule>
    <cfRule type="expression" dxfId="3210" priority="3051" stopIfTrue="1">
      <formula>IF(WEEKDAY(J$8)=1,TRUE,FALSE)</formula>
    </cfRule>
    <cfRule type="containsText" dxfId="3209" priority="3052" operator="containsText" text="P">
      <formula>NOT(ISERROR(SEARCH("P",J87)))</formula>
    </cfRule>
  </conditionalFormatting>
  <conditionalFormatting sqref="J87:J88">
    <cfRule type="expression" dxfId="3208" priority="3048" stopIfTrue="1">
      <formula>IF(WEEKDAY(J$8)=1,TRUE,FALSE)</formula>
    </cfRule>
    <cfRule type="containsText" dxfId="3207" priority="3049" operator="containsText" text="P">
      <formula>NOT(ISERROR(SEARCH("P",J87)))</formula>
    </cfRule>
  </conditionalFormatting>
  <conditionalFormatting sqref="J89">
    <cfRule type="containsText" dxfId="3206" priority="3044" operator="containsText" text="K">
      <formula>NOT(ISERROR(SEARCH("K",J89)))</formula>
    </cfRule>
    <cfRule type="expression" dxfId="3205" priority="3045" stopIfTrue="1">
      <formula>IF(WEEKDAY(J$8)=1,TRUE,FALSE)</formula>
    </cfRule>
    <cfRule type="containsText" dxfId="3204" priority="3046" operator="containsText" text="P">
      <formula>NOT(ISERROR(SEARCH("P",J89)))</formula>
    </cfRule>
    <cfRule type="containsText" dxfId="3203" priority="3047" operator="containsText" text="K">
      <formula>NOT(ISERROR(SEARCH("K",J89)))</formula>
    </cfRule>
  </conditionalFormatting>
  <conditionalFormatting sqref="J91">
    <cfRule type="containsText" dxfId="3202" priority="3040" operator="containsText" text="K">
      <formula>NOT(ISERROR(SEARCH("K",J91)))</formula>
    </cfRule>
    <cfRule type="expression" dxfId="3201" priority="3041" stopIfTrue="1">
      <formula>IF(WEEKDAY(J$8)=1,TRUE,FALSE)</formula>
    </cfRule>
    <cfRule type="containsText" dxfId="3200" priority="3042" operator="containsText" text="P">
      <formula>NOT(ISERROR(SEARCH("P",J91)))</formula>
    </cfRule>
    <cfRule type="containsText" dxfId="3199" priority="3043" operator="containsText" text="K">
      <formula>NOT(ISERROR(SEARCH("K",J91)))</formula>
    </cfRule>
  </conditionalFormatting>
  <conditionalFormatting sqref="J96 I98:J98 J145">
    <cfRule type="containsText" dxfId="3198" priority="3039" operator="containsText" text="P">
      <formula>NOT(ISERROR(SEARCH("P",I96)))</formula>
    </cfRule>
  </conditionalFormatting>
  <conditionalFormatting sqref="J96 J98 J145">
    <cfRule type="containsText" dxfId="3197" priority="3036" operator="containsText" text="K">
      <formula>NOT(ISERROR(SEARCH("K",J96)))</formula>
    </cfRule>
    <cfRule type="expression" dxfId="3196" priority="3037" stopIfTrue="1">
      <formula>IF(WEEKDAY(J$8)=1,TRUE,FALSE)</formula>
    </cfRule>
    <cfRule type="containsText" dxfId="3195" priority="3038" operator="containsText" text="P">
      <formula>NOT(ISERROR(SEARCH("P",J96)))</formula>
    </cfRule>
  </conditionalFormatting>
  <conditionalFormatting sqref="J103:J105 F78:J78">
    <cfRule type="expression" dxfId="3194" priority="3035" stopIfTrue="1">
      <formula>IF(WEEKDAY(F$8)=1,TRUE,FALSE)</formula>
    </cfRule>
  </conditionalFormatting>
  <conditionalFormatting sqref="J152">
    <cfRule type="expression" dxfId="3193" priority="3033" stopIfTrue="1">
      <formula>IF(WEEKDAY(J$8)=1,TRUE,FALSE)</formula>
    </cfRule>
    <cfRule type="containsText" dxfId="3192" priority="3034" operator="containsText" text="P">
      <formula>NOT(ISERROR(SEARCH("P",J152)))</formula>
    </cfRule>
  </conditionalFormatting>
  <conditionalFormatting sqref="J162">
    <cfRule type="containsText" dxfId="3191" priority="3030" operator="containsText" text="P">
      <formula>NOT(ISERROR(SEARCH(("P"),(J162))))</formula>
    </cfRule>
    <cfRule type="containsText" dxfId="3190" priority="3031" operator="containsText" text="K">
      <formula>NOT(ISERROR(SEARCH(("K"),(J162))))</formula>
    </cfRule>
    <cfRule type="expression" dxfId="3189" priority="3032" stopIfTrue="1">
      <formula>IF(WEEKDAY(J$8)=1,TRUE,FALSE)</formula>
    </cfRule>
  </conditionalFormatting>
  <conditionalFormatting sqref="J165">
    <cfRule type="expression" dxfId="3188" priority="3013" stopIfTrue="1">
      <formula>IF(WEEKDAY(J$8)=1,TRUE,FALSE)</formula>
    </cfRule>
    <cfRule type="containsText" dxfId="3187" priority="3014" operator="containsText" text="P">
      <formula>NOT(ISERROR(SEARCH("P",J165)))</formula>
    </cfRule>
    <cfRule type="containsText" dxfId="3186" priority="3015" operator="containsText" text="K">
      <formula>NOT(ISERROR(SEARCH("K",J165)))</formula>
    </cfRule>
    <cfRule type="expression" dxfId="3185" priority="3016" stopIfTrue="1">
      <formula>IF(WEEKDAY(J$8)=1,TRUE,FALSE)</formula>
    </cfRule>
    <cfRule type="containsText" dxfId="3184" priority="3017" operator="containsText" text="P">
      <formula>NOT(ISERROR(SEARCH("P",J165)))</formula>
    </cfRule>
    <cfRule type="containsText" dxfId="3183" priority="3018" operator="containsText" text="K">
      <formula>NOT(ISERROR(SEARCH("K",J165)))</formula>
    </cfRule>
    <cfRule type="expression" dxfId="3182" priority="3019" stopIfTrue="1">
      <formula>IF(WEEKDAY(J$8)=1,TRUE,FALSE)</formula>
    </cfRule>
    <cfRule type="containsText" dxfId="3181" priority="3020" operator="containsText" text="P">
      <formula>NOT(ISERROR(SEARCH("P",J165)))</formula>
    </cfRule>
    <cfRule type="containsText" dxfId="3180" priority="3021" operator="containsText" text="K">
      <formula>NOT(ISERROR(SEARCH("K",J165)))</formula>
    </cfRule>
    <cfRule type="expression" dxfId="3179" priority="3022" stopIfTrue="1">
      <formula>IF(WEEKDAY(J$8)=1,TRUE,FALSE)</formula>
    </cfRule>
    <cfRule type="containsText" dxfId="3178" priority="3023" operator="containsText" text="P">
      <formula>NOT(ISERROR(SEARCH("P",J165)))</formula>
    </cfRule>
    <cfRule type="containsText" dxfId="3177" priority="3024" operator="containsText" text="K">
      <formula>NOT(ISERROR(SEARCH("K",J165)))</formula>
    </cfRule>
    <cfRule type="expression" dxfId="3176" priority="3025" stopIfTrue="1">
      <formula>IF(WEEKDAY(J$8)=1,TRUE,FALSE)</formula>
    </cfRule>
    <cfRule type="containsText" dxfId="3175" priority="3026" operator="containsText" text="P">
      <formula>NOT(ISERROR(SEARCH("P",J165)))</formula>
    </cfRule>
    <cfRule type="containsText" dxfId="3174" priority="3027" operator="containsText" text="K">
      <formula>NOT(ISERROR(SEARCH("K",J165)))</formula>
    </cfRule>
    <cfRule type="containsText" dxfId="3173" priority="3028" operator="containsText" text="P">
      <formula>NOT(ISERROR(SEARCH("P",J165)))</formula>
    </cfRule>
    <cfRule type="containsText" dxfId="3172" priority="3029" operator="containsText" text="K">
      <formula>NOT(ISERROR(SEARCH("K",J165)))</formula>
    </cfRule>
  </conditionalFormatting>
  <conditionalFormatting sqref="J166">
    <cfRule type="expression" dxfId="3171" priority="3009" stopIfTrue="1">
      <formula>IF(WEEKDAY(J$8)=1,TRUE,FALSE)</formula>
    </cfRule>
    <cfRule type="containsText" dxfId="3170" priority="3010" operator="containsText" text="P">
      <formula>NOT(ISERROR(SEARCH("P",J166)))</formula>
    </cfRule>
    <cfRule type="containsText" dxfId="3169" priority="3011" operator="containsText" text="K">
      <formula>NOT(ISERROR(SEARCH("K",J166)))</formula>
    </cfRule>
    <cfRule type="expression" dxfId="3168" priority="3012" stopIfTrue="1">
      <formula>IF(WEEKDAY(J$8)=1,TRUE,FALSE)</formula>
    </cfRule>
  </conditionalFormatting>
  <conditionalFormatting sqref="J167">
    <cfRule type="expression" dxfId="3167" priority="2992" stopIfTrue="1">
      <formula>IF(WEEKDAY(J$8)=1,TRUE,FALSE)</formula>
    </cfRule>
    <cfRule type="containsText" dxfId="3166" priority="2993" operator="containsText" text="P">
      <formula>NOT(ISERROR(SEARCH("P",J167)))</formula>
    </cfRule>
    <cfRule type="containsText" dxfId="3165" priority="2994" operator="containsText" text="K">
      <formula>NOT(ISERROR(SEARCH("K",J167)))</formula>
    </cfRule>
    <cfRule type="expression" dxfId="3164" priority="2995" stopIfTrue="1">
      <formula>IF(WEEKDAY(J$8)=1,TRUE,FALSE)</formula>
    </cfRule>
    <cfRule type="containsText" dxfId="3163" priority="2996" operator="containsText" text="P">
      <formula>NOT(ISERROR(SEARCH("P",J167)))</formula>
    </cfRule>
    <cfRule type="containsText" dxfId="3162" priority="2997" operator="containsText" text="K">
      <formula>NOT(ISERROR(SEARCH("K",J167)))</formula>
    </cfRule>
    <cfRule type="expression" dxfId="3161" priority="2998" stopIfTrue="1">
      <formula>IF(WEEKDAY(J$8)=1,TRUE,FALSE)</formula>
    </cfRule>
    <cfRule type="containsText" dxfId="3160" priority="2999" operator="containsText" text="P">
      <formula>NOT(ISERROR(SEARCH("P",J167)))</formula>
    </cfRule>
    <cfRule type="containsText" dxfId="3159" priority="3000" operator="containsText" text="K">
      <formula>NOT(ISERROR(SEARCH("K",J167)))</formula>
    </cfRule>
    <cfRule type="expression" dxfId="3158" priority="3001" stopIfTrue="1">
      <formula>IF(WEEKDAY(J$8)=1,TRUE,FALSE)</formula>
    </cfRule>
    <cfRule type="containsText" dxfId="3157" priority="3002" operator="containsText" text="P">
      <formula>NOT(ISERROR(SEARCH("P",J167)))</formula>
    </cfRule>
    <cfRule type="containsText" dxfId="3156" priority="3003" operator="containsText" text="K">
      <formula>NOT(ISERROR(SEARCH("K",J167)))</formula>
    </cfRule>
    <cfRule type="expression" dxfId="3155" priority="3004" stopIfTrue="1">
      <formula>IF(WEEKDAY(J$8)=1,TRUE,FALSE)</formula>
    </cfRule>
    <cfRule type="containsText" dxfId="3154" priority="3005" operator="containsText" text="P">
      <formula>NOT(ISERROR(SEARCH("P",J167)))</formula>
    </cfRule>
    <cfRule type="containsText" dxfId="3153" priority="3006" operator="containsText" text="K">
      <formula>NOT(ISERROR(SEARCH("K",J167)))</formula>
    </cfRule>
    <cfRule type="containsText" dxfId="3152" priority="3007" operator="containsText" text="P">
      <formula>NOT(ISERROR(SEARCH("P",J167)))</formula>
    </cfRule>
    <cfRule type="containsText" dxfId="3151" priority="3008" operator="containsText" text="K">
      <formula>NOT(ISERROR(SEARCH("K",J167)))</formula>
    </cfRule>
  </conditionalFormatting>
  <conditionalFormatting sqref="J168">
    <cfRule type="expression" dxfId="3150" priority="2988" stopIfTrue="1">
      <formula>IF(WEEKDAY(J$8)=1,TRUE,FALSE)</formula>
    </cfRule>
    <cfRule type="containsText" dxfId="3149" priority="2989" operator="containsText" text="P">
      <formula>NOT(ISERROR(SEARCH("P",J168)))</formula>
    </cfRule>
    <cfRule type="containsText" dxfId="3148" priority="2990" operator="containsText" text="K">
      <formula>NOT(ISERROR(SEARCH("K",J168)))</formula>
    </cfRule>
    <cfRule type="expression" dxfId="3147" priority="2991" stopIfTrue="1">
      <formula>IF(WEEKDAY(J$8)=1,TRUE,FALSE)</formula>
    </cfRule>
  </conditionalFormatting>
  <conditionalFormatting sqref="J173">
    <cfRule type="expression" dxfId="3146" priority="2984" stopIfTrue="1">
      <formula>IF(WEEKDAY(J$8)=1,TRUE,FALSE)</formula>
    </cfRule>
    <cfRule type="containsText" dxfId="3145" priority="2985" operator="containsText" text="P">
      <formula>NOT(ISERROR(SEARCH("P",J173)))</formula>
    </cfRule>
    <cfRule type="containsText" dxfId="3144" priority="2986" operator="containsText" text="K">
      <formula>NOT(ISERROR(SEARCH("K",J173)))</formula>
    </cfRule>
    <cfRule type="expression" dxfId="3143" priority="2987" stopIfTrue="1">
      <formula>IF(WEEKDAY(J$8)=1,TRUE,FALSE)</formula>
    </cfRule>
  </conditionalFormatting>
  <conditionalFormatting sqref="J174">
    <cfRule type="expression" dxfId="3142" priority="2980" stopIfTrue="1">
      <formula>IF(WEEKDAY(J$8)=1,TRUE,FALSE)</formula>
    </cfRule>
    <cfRule type="containsText" dxfId="3141" priority="2981" operator="containsText" text="P">
      <formula>NOT(ISERROR(SEARCH("P",J174)))</formula>
    </cfRule>
    <cfRule type="containsText" dxfId="3140" priority="2982" operator="containsText" text="K">
      <formula>NOT(ISERROR(SEARCH("K",J174)))</formula>
    </cfRule>
    <cfRule type="expression" dxfId="3139" priority="2983" stopIfTrue="1">
      <formula>IF(WEEKDAY(J$8)=1,TRUE,FALSE)</formula>
    </cfRule>
  </conditionalFormatting>
  <conditionalFormatting sqref="J201:J202 H202">
    <cfRule type="expression" dxfId="3138" priority="2977" stopIfTrue="1">
      <formula>IF(WEEKDAY(H$8)=1,TRUE,FALSE)</formula>
    </cfRule>
    <cfRule type="containsText" dxfId="3137" priority="2978" operator="containsText" text="P">
      <formula>NOT(ISERROR(SEARCH("P",H201)))</formula>
    </cfRule>
    <cfRule type="containsText" dxfId="3136" priority="2979" operator="containsText" text="K">
      <formula>NOT(ISERROR(SEARCH("K",H201)))</formula>
    </cfRule>
  </conditionalFormatting>
  <conditionalFormatting sqref="J204:J206">
    <cfRule type="expression" dxfId="3135" priority="2974" stopIfTrue="1">
      <formula>IF(WEEKDAY(J$8)=1,TRUE,FALSE)</formula>
    </cfRule>
    <cfRule type="containsText" dxfId="3134" priority="2975" operator="containsText" text="P">
      <formula>NOT(ISERROR(SEARCH("P",J204)))</formula>
    </cfRule>
    <cfRule type="containsText" dxfId="3133" priority="2976" operator="containsText" text="K">
      <formula>NOT(ISERROR(SEARCH("K",J204)))</formula>
    </cfRule>
  </conditionalFormatting>
  <conditionalFormatting sqref="J47:K47 AJ25">
    <cfRule type="expression" dxfId="3132" priority="2972" stopIfTrue="1">
      <formula>IF(WEEKDAY(J$8)=1,TRUE,FALSE)</formula>
    </cfRule>
    <cfRule type="containsText" dxfId="3131" priority="2973" operator="containsText" text="K">
      <formula>NOT(ISERROR(SEARCH("K",J25)))</formula>
    </cfRule>
  </conditionalFormatting>
  <conditionalFormatting sqref="J165:K165">
    <cfRule type="expression" dxfId="3130" priority="2969" stopIfTrue="1">
      <formula>IF(WEEKDAY(J$8)=1,TRUE,FALSE)</formula>
    </cfRule>
    <cfRule type="containsText" dxfId="3129" priority="2970" operator="containsText" text="P">
      <formula>NOT(ISERROR(SEARCH("P",J165)))</formula>
    </cfRule>
    <cfRule type="containsText" dxfId="3128" priority="2971" operator="containsText" text="K">
      <formula>NOT(ISERROR(SEARCH("K",J165)))</formula>
    </cfRule>
  </conditionalFormatting>
  <conditionalFormatting sqref="J166:K166">
    <cfRule type="expression" dxfId="3127" priority="2966" stopIfTrue="1">
      <formula>IF(WEEKDAY(J$8)=1,TRUE,FALSE)</formula>
    </cfRule>
    <cfRule type="containsText" dxfId="3126" priority="2967" operator="containsText" text="P">
      <formula>NOT(ISERROR(SEARCH("P",J166)))</formula>
    </cfRule>
    <cfRule type="containsText" dxfId="3125" priority="2968" operator="containsText" text="K">
      <formula>NOT(ISERROR(SEARCH("K",J166)))</formula>
    </cfRule>
  </conditionalFormatting>
  <conditionalFormatting sqref="J167:K167">
    <cfRule type="expression" dxfId="3124" priority="2963" stopIfTrue="1">
      <formula>IF(WEEKDAY(J$8)=1,TRUE,FALSE)</formula>
    </cfRule>
    <cfRule type="containsText" dxfId="3123" priority="2964" operator="containsText" text="P">
      <formula>NOT(ISERROR(SEARCH("P",J167)))</formula>
    </cfRule>
    <cfRule type="containsText" dxfId="3122" priority="2965" operator="containsText" text="K">
      <formula>NOT(ISERROR(SEARCH("K",J167)))</formula>
    </cfRule>
  </conditionalFormatting>
  <conditionalFormatting sqref="J168:K168">
    <cfRule type="expression" dxfId="3121" priority="2960" stopIfTrue="1">
      <formula>IF(WEEKDAY(J$8)=1,TRUE,FALSE)</formula>
    </cfRule>
    <cfRule type="containsText" dxfId="3120" priority="2961" operator="containsText" text="P">
      <formula>NOT(ISERROR(SEARCH("P",J168)))</formula>
    </cfRule>
    <cfRule type="containsText" dxfId="3119" priority="2962" operator="containsText" text="K">
      <formula>NOT(ISERROR(SEARCH("K",J168)))</formula>
    </cfRule>
  </conditionalFormatting>
  <conditionalFormatting sqref="J173:K173">
    <cfRule type="expression" dxfId="3118" priority="2957" stopIfTrue="1">
      <formula>IF(WEEKDAY(J$8)=1,TRUE,FALSE)</formula>
    </cfRule>
    <cfRule type="containsText" dxfId="3117" priority="2958" operator="containsText" text="P">
      <formula>NOT(ISERROR(SEARCH("P",J173)))</formula>
    </cfRule>
    <cfRule type="containsText" dxfId="3116" priority="2959" operator="containsText" text="K">
      <formula>NOT(ISERROR(SEARCH("K",J173)))</formula>
    </cfRule>
  </conditionalFormatting>
  <conditionalFormatting sqref="J174:K174">
    <cfRule type="expression" dxfId="3115" priority="2954" stopIfTrue="1">
      <formula>IF(WEEKDAY(J$8)=1,TRUE,FALSE)</formula>
    </cfRule>
    <cfRule type="containsText" dxfId="3114" priority="2955" operator="containsText" text="P">
      <formula>NOT(ISERROR(SEARCH("P",J174)))</formula>
    </cfRule>
    <cfRule type="containsText" dxfId="3113" priority="2956" operator="containsText" text="K">
      <formula>NOT(ISERROR(SEARCH("K",J174)))</formula>
    </cfRule>
  </conditionalFormatting>
  <conditionalFormatting sqref="J151:L151">
    <cfRule type="expression" dxfId="3112" priority="2951" stopIfTrue="1">
      <formula>IF(WEEKDAY(J$8)=1,TRUE,FALSE)</formula>
    </cfRule>
    <cfRule type="containsText" dxfId="3111" priority="2952" operator="containsText" text="P">
      <formula>NOT(ISERROR(SEARCH("P",J151)))</formula>
    </cfRule>
    <cfRule type="containsText" dxfId="3110" priority="2953" operator="containsText" text="K">
      <formula>NOT(ISERROR(SEARCH("K",J151)))</formula>
    </cfRule>
  </conditionalFormatting>
  <conditionalFormatting sqref="J169:M169">
    <cfRule type="containsText" dxfId="3109" priority="2948" operator="containsText" text="K">
      <formula>NOT(ISERROR(SEARCH("K",J169)))</formula>
    </cfRule>
    <cfRule type="expression" dxfId="3108" priority="2949" stopIfTrue="1">
      <formula>IF(WEEKDAY(J$8)=1,TRUE,FALSE)</formula>
    </cfRule>
    <cfRule type="containsText" dxfId="3107" priority="2950" operator="containsText" text="P">
      <formula>NOT(ISERROR(SEARCH("P",J169)))</formula>
    </cfRule>
  </conditionalFormatting>
  <conditionalFormatting sqref="K14:K15 E14:G14">
    <cfRule type="containsText" dxfId="3106" priority="2947" operator="containsText" text="P">
      <formula>NOT(ISERROR(SEARCH("P",E14)))</formula>
    </cfRule>
  </conditionalFormatting>
  <conditionalFormatting sqref="K14:K15">
    <cfRule type="containsText" dxfId="3105" priority="2946" operator="containsText" text="K">
      <formula>NOT(ISERROR(SEARCH("K",K14)))</formula>
    </cfRule>
  </conditionalFormatting>
  <conditionalFormatting sqref="K45:K46 O45:P46 R45:R46 V45:Y46">
    <cfRule type="expression" dxfId="3104" priority="2945" stopIfTrue="1">
      <formula>IF(WEEKDAY(K$8)=1,TRUE,FALSE)</formula>
    </cfRule>
  </conditionalFormatting>
  <conditionalFormatting sqref="K45:K46">
    <cfRule type="containsText" dxfId="3103" priority="2944" operator="containsText" text="K">
      <formula>NOT(ISERROR(SEARCH("K",K45)))</formula>
    </cfRule>
  </conditionalFormatting>
  <conditionalFormatting sqref="K80 F68:S68 I79:I80">
    <cfRule type="expression" dxfId="3102" priority="2943" stopIfTrue="1">
      <formula>IF(WEEKDAY(F$8)=1,TRUE,FALSE)</formula>
    </cfRule>
  </conditionalFormatting>
  <conditionalFormatting sqref="K80">
    <cfRule type="containsText" dxfId="3101" priority="2942" operator="containsText" text="K">
      <formula>NOT(ISERROR(SEARCH("K",K80)))</formula>
    </cfRule>
  </conditionalFormatting>
  <conditionalFormatting sqref="K165">
    <cfRule type="expression" dxfId="3100" priority="2928" stopIfTrue="1">
      <formula>IF(WEEKDAY(K$8)=1,TRUE,FALSE)</formula>
    </cfRule>
    <cfRule type="containsText" dxfId="3099" priority="2929" operator="containsText" text="P">
      <formula>NOT(ISERROR(SEARCH("P",K165)))</formula>
    </cfRule>
    <cfRule type="containsText" dxfId="3098" priority="2930" operator="containsText" text="K">
      <formula>NOT(ISERROR(SEARCH("K",K165)))</formula>
    </cfRule>
    <cfRule type="expression" dxfId="3097" priority="2931" stopIfTrue="1">
      <formula>IF(WEEKDAY(K$8)=1,TRUE,FALSE)</formula>
    </cfRule>
    <cfRule type="containsText" dxfId="3096" priority="2932" operator="containsText" text="P">
      <formula>NOT(ISERROR(SEARCH("P",K165)))</formula>
    </cfRule>
    <cfRule type="containsText" dxfId="3095" priority="2933" operator="containsText" text="K">
      <formula>NOT(ISERROR(SEARCH("K",K165)))</formula>
    </cfRule>
    <cfRule type="expression" dxfId="3094" priority="2934" stopIfTrue="1">
      <formula>IF(WEEKDAY(K$8)=1,TRUE,FALSE)</formula>
    </cfRule>
    <cfRule type="containsText" dxfId="3093" priority="2935" operator="containsText" text="P">
      <formula>NOT(ISERROR(SEARCH("P",K165)))</formula>
    </cfRule>
    <cfRule type="containsText" dxfId="3092" priority="2936" operator="containsText" text="K">
      <formula>NOT(ISERROR(SEARCH("K",K165)))</formula>
    </cfRule>
    <cfRule type="expression" dxfId="3091" priority="2937" stopIfTrue="1">
      <formula>IF(WEEKDAY(K$8)=1,TRUE,FALSE)</formula>
    </cfRule>
    <cfRule type="containsText" dxfId="3090" priority="2938" operator="containsText" text="P">
      <formula>NOT(ISERROR(SEARCH("P",K165)))</formula>
    </cfRule>
    <cfRule type="containsText" dxfId="3089" priority="2939" operator="containsText" text="K">
      <formula>NOT(ISERROR(SEARCH("K",K165)))</formula>
    </cfRule>
    <cfRule type="containsText" dxfId="3088" priority="2940" operator="containsText" text="P">
      <formula>NOT(ISERROR(SEARCH("P",K165)))</formula>
    </cfRule>
    <cfRule type="containsText" dxfId="3087" priority="2941" operator="containsText" text="K">
      <formula>NOT(ISERROR(SEARCH("K",K165)))</formula>
    </cfRule>
  </conditionalFormatting>
  <conditionalFormatting sqref="K166">
    <cfRule type="expression" dxfId="3086" priority="2908" stopIfTrue="1">
      <formula>IF(WEEKDAY(K$8)=1,TRUE,FALSE)</formula>
    </cfRule>
    <cfRule type="containsText" dxfId="3085" priority="2909" operator="containsText" text="P">
      <formula>NOT(ISERROR(SEARCH("P",K166)))</formula>
    </cfRule>
    <cfRule type="containsText" dxfId="3084" priority="2910" operator="containsText" text="K">
      <formula>NOT(ISERROR(SEARCH("K",K166)))</formula>
    </cfRule>
    <cfRule type="expression" dxfId="3083" priority="2911" stopIfTrue="1">
      <formula>IF(WEEKDAY(K$8)=1,TRUE,FALSE)</formula>
    </cfRule>
    <cfRule type="containsText" dxfId="3082" priority="2912" operator="containsText" text="P">
      <formula>NOT(ISERROR(SEARCH("P",K166)))</formula>
    </cfRule>
    <cfRule type="containsText" dxfId="3081" priority="2913" operator="containsText" text="K">
      <formula>NOT(ISERROR(SEARCH("K",K166)))</formula>
    </cfRule>
    <cfRule type="expression" dxfId="3080" priority="2914" stopIfTrue="1">
      <formula>IF(WEEKDAY(K$8)=1,TRUE,FALSE)</formula>
    </cfRule>
    <cfRule type="containsText" dxfId="3079" priority="2915" operator="containsText" text="P">
      <formula>NOT(ISERROR(SEARCH("P",K166)))</formula>
    </cfRule>
    <cfRule type="containsText" dxfId="3078" priority="2916" operator="containsText" text="K">
      <formula>NOT(ISERROR(SEARCH("K",K166)))</formula>
    </cfRule>
    <cfRule type="expression" dxfId="3077" priority="2917" stopIfTrue="1">
      <formula>IF(WEEKDAY(K$8)=1,TRUE,FALSE)</formula>
    </cfRule>
    <cfRule type="containsText" dxfId="3076" priority="2918" operator="containsText" text="P">
      <formula>NOT(ISERROR(SEARCH("P",K166)))</formula>
    </cfRule>
    <cfRule type="containsText" dxfId="3075" priority="2919" operator="containsText" text="K">
      <formula>NOT(ISERROR(SEARCH("K",K166)))</formula>
    </cfRule>
    <cfRule type="expression" dxfId="3074" priority="2920" stopIfTrue="1">
      <formula>IF(WEEKDAY(K$8)=1,TRUE,FALSE)</formula>
    </cfRule>
    <cfRule type="containsText" dxfId="3073" priority="2921" operator="containsText" text="P">
      <formula>NOT(ISERROR(SEARCH("P",K166)))</formula>
    </cfRule>
    <cfRule type="containsText" dxfId="3072" priority="2922" operator="containsText" text="K">
      <formula>NOT(ISERROR(SEARCH("K",K166)))</formula>
    </cfRule>
    <cfRule type="expression" dxfId="3071" priority="2923" stopIfTrue="1">
      <formula>IF(WEEKDAY(K$8)=1,TRUE,FALSE)</formula>
    </cfRule>
    <cfRule type="containsText" dxfId="3070" priority="2924" operator="containsText" text="P">
      <formula>NOT(ISERROR(SEARCH("P",K166)))</formula>
    </cfRule>
    <cfRule type="containsText" dxfId="3069" priority="2925" operator="containsText" text="K">
      <formula>NOT(ISERROR(SEARCH("K",K166)))</formula>
    </cfRule>
    <cfRule type="containsText" dxfId="3068" priority="2926" operator="containsText" text="P">
      <formula>NOT(ISERROR(SEARCH("P",K166)))</formula>
    </cfRule>
    <cfRule type="containsText" dxfId="3067" priority="2927" operator="containsText" text="K">
      <formula>NOT(ISERROR(SEARCH("K",K166)))</formula>
    </cfRule>
  </conditionalFormatting>
  <conditionalFormatting sqref="K167">
    <cfRule type="expression" dxfId="3066" priority="2894" stopIfTrue="1">
      <formula>IF(WEEKDAY(K$8)=1,TRUE,FALSE)</formula>
    </cfRule>
    <cfRule type="containsText" dxfId="3065" priority="2895" operator="containsText" text="P">
      <formula>NOT(ISERROR(SEARCH("P",K167)))</formula>
    </cfRule>
    <cfRule type="containsText" dxfId="3064" priority="2896" operator="containsText" text="K">
      <formula>NOT(ISERROR(SEARCH("K",K167)))</formula>
    </cfRule>
    <cfRule type="expression" dxfId="3063" priority="2897" stopIfTrue="1">
      <formula>IF(WEEKDAY(K$8)=1,TRUE,FALSE)</formula>
    </cfRule>
    <cfRule type="containsText" dxfId="3062" priority="2898" operator="containsText" text="P">
      <formula>NOT(ISERROR(SEARCH("P",K167)))</formula>
    </cfRule>
    <cfRule type="containsText" dxfId="3061" priority="2899" operator="containsText" text="K">
      <formula>NOT(ISERROR(SEARCH("K",K167)))</formula>
    </cfRule>
    <cfRule type="expression" dxfId="3060" priority="2900" stopIfTrue="1">
      <formula>IF(WEEKDAY(K$8)=1,TRUE,FALSE)</formula>
    </cfRule>
    <cfRule type="containsText" dxfId="3059" priority="2901" operator="containsText" text="P">
      <formula>NOT(ISERROR(SEARCH("P",K167)))</formula>
    </cfRule>
    <cfRule type="containsText" dxfId="3058" priority="2902" operator="containsText" text="K">
      <formula>NOT(ISERROR(SEARCH("K",K167)))</formula>
    </cfRule>
    <cfRule type="expression" dxfId="3057" priority="2903" stopIfTrue="1">
      <formula>IF(WEEKDAY(K$8)=1,TRUE,FALSE)</formula>
    </cfRule>
    <cfRule type="containsText" dxfId="3056" priority="2904" operator="containsText" text="P">
      <formula>NOT(ISERROR(SEARCH("P",K167)))</formula>
    </cfRule>
    <cfRule type="containsText" dxfId="3055" priority="2905" operator="containsText" text="K">
      <formula>NOT(ISERROR(SEARCH("K",K167)))</formula>
    </cfRule>
    <cfRule type="containsText" dxfId="3054" priority="2906" operator="containsText" text="P">
      <formula>NOT(ISERROR(SEARCH("P",K167)))</formula>
    </cfRule>
    <cfRule type="containsText" dxfId="3053" priority="2907" operator="containsText" text="K">
      <formula>NOT(ISERROR(SEARCH("K",K167)))</formula>
    </cfRule>
  </conditionalFormatting>
  <conditionalFormatting sqref="K168">
    <cfRule type="expression" dxfId="3052" priority="2874" stopIfTrue="1">
      <formula>IF(WEEKDAY(K$8)=1,TRUE,FALSE)</formula>
    </cfRule>
    <cfRule type="containsText" dxfId="3051" priority="2875" operator="containsText" text="P">
      <formula>NOT(ISERROR(SEARCH("P",K168)))</formula>
    </cfRule>
    <cfRule type="containsText" dxfId="3050" priority="2876" operator="containsText" text="K">
      <formula>NOT(ISERROR(SEARCH("K",K168)))</formula>
    </cfRule>
    <cfRule type="expression" dxfId="3049" priority="2877" stopIfTrue="1">
      <formula>IF(WEEKDAY(K$8)=1,TRUE,FALSE)</formula>
    </cfRule>
    <cfRule type="containsText" dxfId="3048" priority="2878" operator="containsText" text="P">
      <formula>NOT(ISERROR(SEARCH("P",K168)))</formula>
    </cfRule>
    <cfRule type="containsText" dxfId="3047" priority="2879" operator="containsText" text="K">
      <formula>NOT(ISERROR(SEARCH("K",K168)))</formula>
    </cfRule>
    <cfRule type="expression" dxfId="3046" priority="2880" stopIfTrue="1">
      <formula>IF(WEEKDAY(K$8)=1,TRUE,FALSE)</formula>
    </cfRule>
    <cfRule type="containsText" dxfId="3045" priority="2881" operator="containsText" text="P">
      <formula>NOT(ISERROR(SEARCH("P",K168)))</formula>
    </cfRule>
    <cfRule type="containsText" dxfId="3044" priority="2882" operator="containsText" text="K">
      <formula>NOT(ISERROR(SEARCH("K",K168)))</formula>
    </cfRule>
    <cfRule type="expression" dxfId="3043" priority="2883" stopIfTrue="1">
      <formula>IF(WEEKDAY(K$8)=1,TRUE,FALSE)</formula>
    </cfRule>
    <cfRule type="containsText" dxfId="3042" priority="2884" operator="containsText" text="P">
      <formula>NOT(ISERROR(SEARCH("P",K168)))</formula>
    </cfRule>
    <cfRule type="containsText" dxfId="3041" priority="2885" operator="containsText" text="K">
      <formula>NOT(ISERROR(SEARCH("K",K168)))</formula>
    </cfRule>
    <cfRule type="expression" dxfId="3040" priority="2886" stopIfTrue="1">
      <formula>IF(WEEKDAY(K$8)=1,TRUE,FALSE)</formula>
    </cfRule>
    <cfRule type="containsText" dxfId="3039" priority="2887" operator="containsText" text="P">
      <formula>NOT(ISERROR(SEARCH("P",K168)))</formula>
    </cfRule>
    <cfRule type="containsText" dxfId="3038" priority="2888" operator="containsText" text="K">
      <formula>NOT(ISERROR(SEARCH("K",K168)))</formula>
    </cfRule>
    <cfRule type="expression" dxfId="3037" priority="2889" stopIfTrue="1">
      <formula>IF(WEEKDAY(K$8)=1,TRUE,FALSE)</formula>
    </cfRule>
    <cfRule type="containsText" dxfId="3036" priority="2890" operator="containsText" text="P">
      <formula>NOT(ISERROR(SEARCH("P",K168)))</formula>
    </cfRule>
    <cfRule type="containsText" dxfId="3035" priority="2891" operator="containsText" text="K">
      <formula>NOT(ISERROR(SEARCH("K",K168)))</formula>
    </cfRule>
    <cfRule type="containsText" dxfId="3034" priority="2892" operator="containsText" text="P">
      <formula>NOT(ISERROR(SEARCH("P",K168)))</formula>
    </cfRule>
    <cfRule type="containsText" dxfId="3033" priority="2893" operator="containsText" text="K">
      <formula>NOT(ISERROR(SEARCH("K",K168)))</formula>
    </cfRule>
  </conditionalFormatting>
  <conditionalFormatting sqref="K173">
    <cfRule type="expression" dxfId="3032" priority="2854" stopIfTrue="1">
      <formula>IF(WEEKDAY(K$8)=1,TRUE,FALSE)</formula>
    </cfRule>
    <cfRule type="containsText" dxfId="3031" priority="2855" operator="containsText" text="P">
      <formula>NOT(ISERROR(SEARCH("P",K173)))</formula>
    </cfRule>
    <cfRule type="containsText" dxfId="3030" priority="2856" operator="containsText" text="K">
      <formula>NOT(ISERROR(SEARCH("K",K173)))</formula>
    </cfRule>
    <cfRule type="expression" dxfId="3029" priority="2857" stopIfTrue="1">
      <formula>IF(WEEKDAY(K$8)=1,TRUE,FALSE)</formula>
    </cfRule>
    <cfRule type="containsText" dxfId="3028" priority="2858" operator="containsText" text="P">
      <formula>NOT(ISERROR(SEARCH("P",K173)))</formula>
    </cfRule>
    <cfRule type="containsText" dxfId="3027" priority="2859" operator="containsText" text="K">
      <formula>NOT(ISERROR(SEARCH("K",K173)))</formula>
    </cfRule>
    <cfRule type="expression" dxfId="3026" priority="2860" stopIfTrue="1">
      <formula>IF(WEEKDAY(K$8)=1,TRUE,FALSE)</formula>
    </cfRule>
    <cfRule type="containsText" dxfId="3025" priority="2861" operator="containsText" text="P">
      <formula>NOT(ISERROR(SEARCH("P",K173)))</formula>
    </cfRule>
    <cfRule type="containsText" dxfId="3024" priority="2862" operator="containsText" text="K">
      <formula>NOT(ISERROR(SEARCH("K",K173)))</formula>
    </cfRule>
    <cfRule type="expression" dxfId="3023" priority="2863" stopIfTrue="1">
      <formula>IF(WEEKDAY(K$8)=1,TRUE,FALSE)</formula>
    </cfRule>
    <cfRule type="containsText" dxfId="3022" priority="2864" operator="containsText" text="P">
      <formula>NOT(ISERROR(SEARCH("P",K173)))</formula>
    </cfRule>
    <cfRule type="containsText" dxfId="3021" priority="2865" operator="containsText" text="K">
      <formula>NOT(ISERROR(SEARCH("K",K173)))</formula>
    </cfRule>
    <cfRule type="expression" dxfId="3020" priority="2866" stopIfTrue="1">
      <formula>IF(WEEKDAY(K$8)=1,TRUE,FALSE)</formula>
    </cfRule>
    <cfRule type="containsText" dxfId="3019" priority="2867" operator="containsText" text="P">
      <formula>NOT(ISERROR(SEARCH("P",K173)))</formula>
    </cfRule>
    <cfRule type="containsText" dxfId="3018" priority="2868" operator="containsText" text="K">
      <formula>NOT(ISERROR(SEARCH("K",K173)))</formula>
    </cfRule>
    <cfRule type="expression" dxfId="3017" priority="2869" stopIfTrue="1">
      <formula>IF(WEEKDAY(K$8)=1,TRUE,FALSE)</formula>
    </cfRule>
    <cfRule type="containsText" dxfId="3016" priority="2870" operator="containsText" text="P">
      <formula>NOT(ISERROR(SEARCH("P",K173)))</formula>
    </cfRule>
    <cfRule type="containsText" dxfId="3015" priority="2871" operator="containsText" text="K">
      <formula>NOT(ISERROR(SEARCH("K",K173)))</formula>
    </cfRule>
    <cfRule type="containsText" dxfId="3014" priority="2872" operator="containsText" text="P">
      <formula>NOT(ISERROR(SEARCH("P",K173)))</formula>
    </cfRule>
    <cfRule type="containsText" dxfId="3013" priority="2873" operator="containsText" text="K">
      <formula>NOT(ISERROR(SEARCH("K",K173)))</formula>
    </cfRule>
  </conditionalFormatting>
  <conditionalFormatting sqref="K174">
    <cfRule type="expression" dxfId="3012" priority="2834" stopIfTrue="1">
      <formula>IF(WEEKDAY(K$8)=1,TRUE,FALSE)</formula>
    </cfRule>
    <cfRule type="containsText" dxfId="3011" priority="2835" operator="containsText" text="P">
      <formula>NOT(ISERROR(SEARCH("P",K174)))</formula>
    </cfRule>
    <cfRule type="containsText" dxfId="3010" priority="2836" operator="containsText" text="K">
      <formula>NOT(ISERROR(SEARCH("K",K174)))</formula>
    </cfRule>
    <cfRule type="expression" dxfId="3009" priority="2837" stopIfTrue="1">
      <formula>IF(WEEKDAY(K$8)=1,TRUE,FALSE)</formula>
    </cfRule>
    <cfRule type="containsText" dxfId="3008" priority="2838" operator="containsText" text="P">
      <formula>NOT(ISERROR(SEARCH("P",K174)))</formula>
    </cfRule>
    <cfRule type="containsText" dxfId="3007" priority="2839" operator="containsText" text="K">
      <formula>NOT(ISERROR(SEARCH("K",K174)))</formula>
    </cfRule>
    <cfRule type="expression" dxfId="3006" priority="2840" stopIfTrue="1">
      <formula>IF(WEEKDAY(K$8)=1,TRUE,FALSE)</formula>
    </cfRule>
    <cfRule type="containsText" dxfId="3005" priority="2841" operator="containsText" text="P">
      <formula>NOT(ISERROR(SEARCH("P",K174)))</formula>
    </cfRule>
    <cfRule type="containsText" dxfId="3004" priority="2842" operator="containsText" text="K">
      <formula>NOT(ISERROR(SEARCH("K",K174)))</formula>
    </cfRule>
    <cfRule type="expression" dxfId="3003" priority="2843" stopIfTrue="1">
      <formula>IF(WEEKDAY(K$8)=1,TRUE,FALSE)</formula>
    </cfRule>
    <cfRule type="containsText" dxfId="3002" priority="2844" operator="containsText" text="P">
      <formula>NOT(ISERROR(SEARCH("P",K174)))</formula>
    </cfRule>
    <cfRule type="containsText" dxfId="3001" priority="2845" operator="containsText" text="K">
      <formula>NOT(ISERROR(SEARCH("K",K174)))</formula>
    </cfRule>
    <cfRule type="expression" dxfId="3000" priority="2846" stopIfTrue="1">
      <formula>IF(WEEKDAY(K$8)=1,TRUE,FALSE)</formula>
    </cfRule>
    <cfRule type="containsText" dxfId="2999" priority="2847" operator="containsText" text="P">
      <formula>NOT(ISERROR(SEARCH("P",K174)))</formula>
    </cfRule>
    <cfRule type="containsText" dxfId="2998" priority="2848" operator="containsText" text="K">
      <formula>NOT(ISERROR(SEARCH("K",K174)))</formula>
    </cfRule>
    <cfRule type="expression" dxfId="2997" priority="2849" stopIfTrue="1">
      <formula>IF(WEEKDAY(K$8)=1,TRUE,FALSE)</formula>
    </cfRule>
    <cfRule type="containsText" dxfId="2996" priority="2850" operator="containsText" text="P">
      <formula>NOT(ISERROR(SEARCH("P",K174)))</formula>
    </cfRule>
    <cfRule type="containsText" dxfId="2995" priority="2851" operator="containsText" text="K">
      <formula>NOT(ISERROR(SEARCH("K",K174)))</formula>
    </cfRule>
    <cfRule type="containsText" dxfId="2994" priority="2852" operator="containsText" text="P">
      <formula>NOT(ISERROR(SEARCH("P",K174)))</formula>
    </cfRule>
    <cfRule type="containsText" dxfId="2993" priority="2853" operator="containsText" text="K">
      <formula>NOT(ISERROR(SEARCH("K",K174)))</formula>
    </cfRule>
  </conditionalFormatting>
  <conditionalFormatting sqref="K48:L48 G48">
    <cfRule type="expression" dxfId="2992" priority="2832" stopIfTrue="1">
      <formula>IF(WEEKDAY(G$8)=1,TRUE,FALSE)</formula>
    </cfRule>
    <cfRule type="containsText" dxfId="2991" priority="2833" operator="containsText" text="K">
      <formula>NOT(ISERROR(SEARCH("K",G48)))</formula>
    </cfRule>
  </conditionalFormatting>
  <conditionalFormatting sqref="K48:L48">
    <cfRule type="containsText" dxfId="2990" priority="2830" operator="containsText" text="K">
      <formula>NOT(ISERROR(SEARCH("K",K48)))</formula>
    </cfRule>
    <cfRule type="containsText" dxfId="2989" priority="2831" operator="containsText" text="P">
      <formula>NOT(ISERROR(SEARCH("P",K48)))</formula>
    </cfRule>
  </conditionalFormatting>
  <conditionalFormatting sqref="K56:L56">
    <cfRule type="containsText" dxfId="2988" priority="2828" operator="containsText" text="P">
      <formula>NOT(ISERROR(SEARCH("P",K56)))</formula>
    </cfRule>
    <cfRule type="containsText" dxfId="2987" priority="2829" operator="containsText" text="K">
      <formula>NOT(ISERROR(SEARCH("K",K56)))</formula>
    </cfRule>
  </conditionalFormatting>
  <conditionalFormatting sqref="K68:L68">
    <cfRule type="containsText" dxfId="2986" priority="2826" operator="containsText" text="P">
      <formula>NOT(ISERROR(SEARCH("P",K68)))</formula>
    </cfRule>
    <cfRule type="containsText" dxfId="2985" priority="2827" operator="containsText" text="K">
      <formula>NOT(ISERROR(SEARCH("K",K68)))</formula>
    </cfRule>
  </conditionalFormatting>
  <conditionalFormatting sqref="K75:L75">
    <cfRule type="containsText" dxfId="2984" priority="2824" operator="containsText" text="P">
      <formula>NOT(ISERROR(SEARCH("P",K75)))</formula>
    </cfRule>
    <cfRule type="containsText" dxfId="2983" priority="2825" operator="containsText" text="K">
      <formula>NOT(ISERROR(SEARCH("K",K75)))</formula>
    </cfRule>
  </conditionalFormatting>
  <conditionalFormatting sqref="K78:L79">
    <cfRule type="expression" dxfId="2982" priority="2823" stopIfTrue="1">
      <formula>IF(WEEKDAY(K$8)=1,TRUE,FALSE)</formula>
    </cfRule>
  </conditionalFormatting>
  <conditionalFormatting sqref="K165:L165">
    <cfRule type="expression" dxfId="2981" priority="2817" stopIfTrue="1">
      <formula>IF(WEEKDAY(K$8)=1,TRUE,FALSE)</formula>
    </cfRule>
    <cfRule type="containsText" dxfId="2980" priority="2818" operator="containsText" text="P">
      <formula>NOT(ISERROR(SEARCH("P",K165)))</formula>
    </cfRule>
    <cfRule type="containsText" dxfId="2979" priority="2819" operator="containsText" text="K">
      <formula>NOT(ISERROR(SEARCH("K",K165)))</formula>
    </cfRule>
    <cfRule type="expression" dxfId="2978" priority="2820" stopIfTrue="1">
      <formula>IF(WEEKDAY(K$8)=1,TRUE,FALSE)</formula>
    </cfRule>
    <cfRule type="containsText" dxfId="2977" priority="2821" operator="containsText" text="P">
      <formula>NOT(ISERROR(SEARCH("P",K165)))</formula>
    </cfRule>
    <cfRule type="containsText" dxfId="2976" priority="2822" operator="containsText" text="K">
      <formula>NOT(ISERROR(SEARCH("K",K165)))</formula>
    </cfRule>
  </conditionalFormatting>
  <conditionalFormatting sqref="K166:L166">
    <cfRule type="expression" dxfId="2975" priority="2815" stopIfTrue="1">
      <formula>IF(WEEKDAY(K$8)=1,TRUE,FALSE)</formula>
    </cfRule>
    <cfRule type="containsText" dxfId="2974" priority="2816" operator="containsText" text="P">
      <formula>NOT(ISERROR(SEARCH("P",K166)))</formula>
    </cfRule>
  </conditionalFormatting>
  <conditionalFormatting sqref="K167:L167">
    <cfRule type="expression" dxfId="2973" priority="2812" stopIfTrue="1">
      <formula>IF(WEEKDAY(K$8)=1,TRUE,FALSE)</formula>
    </cfRule>
    <cfRule type="containsText" dxfId="2972" priority="2813" operator="containsText" text="P">
      <formula>NOT(ISERROR(SEARCH("P",K167)))</formula>
    </cfRule>
    <cfRule type="containsText" dxfId="2971" priority="2814" operator="containsText" text="K">
      <formula>NOT(ISERROR(SEARCH("K",K167)))</formula>
    </cfRule>
  </conditionalFormatting>
  <conditionalFormatting sqref="K168:L168">
    <cfRule type="expression" dxfId="2970" priority="2810" stopIfTrue="1">
      <formula>IF(WEEKDAY(K$8)=1,TRUE,FALSE)</formula>
    </cfRule>
    <cfRule type="containsText" dxfId="2969" priority="2811" operator="containsText" text="P">
      <formula>NOT(ISERROR(SEARCH("P",K168)))</formula>
    </cfRule>
  </conditionalFormatting>
  <conditionalFormatting sqref="K173:L173">
    <cfRule type="expression" dxfId="2968" priority="2808" stopIfTrue="1">
      <formula>IF(WEEKDAY(K$8)=1,TRUE,FALSE)</formula>
    </cfRule>
    <cfRule type="containsText" dxfId="2967" priority="2809" operator="containsText" text="P">
      <formula>NOT(ISERROR(SEARCH("P",K173)))</formula>
    </cfRule>
  </conditionalFormatting>
  <conditionalFormatting sqref="K174:L174">
    <cfRule type="expression" dxfId="2966" priority="2806" stopIfTrue="1">
      <formula>IF(WEEKDAY(K$8)=1,TRUE,FALSE)</formula>
    </cfRule>
    <cfRule type="containsText" dxfId="2965" priority="2807" operator="containsText" text="P">
      <formula>NOT(ISERROR(SEARCH("P",K174)))</formula>
    </cfRule>
  </conditionalFormatting>
  <conditionalFormatting sqref="K175:L175">
    <cfRule type="containsText" dxfId="2964" priority="2805" operator="containsText" text="K">
      <formula>NOT(ISERROR(SEARCH("K",K175)))</formula>
    </cfRule>
  </conditionalFormatting>
  <conditionalFormatting sqref="K178:L178">
    <cfRule type="containsText" dxfId="2963" priority="2803" operator="containsText" text="P">
      <formula>NOT(ISERROR(SEARCH("P",K178)))</formula>
    </cfRule>
    <cfRule type="containsText" dxfId="2962" priority="2804" operator="containsText" text="K">
      <formula>NOT(ISERROR(SEARCH("K",K178)))</formula>
    </cfRule>
  </conditionalFormatting>
  <conditionalFormatting sqref="K224:L229 N228:O229">
    <cfRule type="expression" dxfId="2961" priority="2802" stopIfTrue="1">
      <formula>IF(WEEKDAY(K$8)=1,TRUE,FALSE)</formula>
    </cfRule>
  </conditionalFormatting>
  <conditionalFormatting sqref="K224:L229 Q228:S229 G229:I229 N229:O229">
    <cfRule type="containsText" dxfId="2960" priority="2801" operator="containsText" text="K">
      <formula>NOT(ISERROR(SEARCH("K",G224)))</formula>
    </cfRule>
  </conditionalFormatting>
  <conditionalFormatting sqref="K39:M39 I39">
    <cfRule type="expression" dxfId="2959" priority="2800" stopIfTrue="1">
      <formula>IF(WEEKDAY(I$8)=1,TRUE,FALSE)</formula>
    </cfRule>
  </conditionalFormatting>
  <conditionalFormatting sqref="K41:M41 V41:Y41 I41">
    <cfRule type="expression" dxfId="2958" priority="2799" stopIfTrue="1">
      <formula>IF(WEEKDAY(I$8)=1,TRUE,FALSE)</formula>
    </cfRule>
  </conditionalFormatting>
  <conditionalFormatting sqref="K53:M53 O53:P53 I53:I55 R53:S55 U53:Y55 K54:P55">
    <cfRule type="expression" dxfId="2957" priority="2796" stopIfTrue="1">
      <formula>IF(WEEKDAY(I$8)=1,TRUE,FALSE)</formula>
    </cfRule>
    <cfRule type="containsText" dxfId="2956" priority="2797" operator="containsText" text="P">
      <formula>NOT(ISERROR(SEARCH("P",I53)))</formula>
    </cfRule>
    <cfRule type="containsText" dxfId="2955" priority="2798" operator="containsText" text="K">
      <formula>NOT(ISERROR(SEARCH("K",I53)))</formula>
    </cfRule>
  </conditionalFormatting>
  <conditionalFormatting sqref="K53:M53 O53:P53 R53:S55 K54:P55 I53:I55 U53:Y55">
    <cfRule type="containsText" dxfId="2954" priority="2795" operator="containsText" text="P">
      <formula>NOT(ISERROR(SEARCH("P",I53)))</formula>
    </cfRule>
  </conditionalFormatting>
  <conditionalFormatting sqref="K80:M80">
    <cfRule type="containsText" dxfId="2953" priority="2794" operator="containsText" text="P">
      <formula>NOT(ISERROR(SEARCH("P",K80)))</formula>
    </cfRule>
  </conditionalFormatting>
  <conditionalFormatting sqref="K86:M86 K87:P89 AI190:AI194 AH197:AI197 AI181:AI188 AH189:AI189">
    <cfRule type="expression" dxfId="2952" priority="2793" stopIfTrue="1">
      <formula>IF(WEEKDAY(K$8)=1,TRUE,FALSE)</formula>
    </cfRule>
  </conditionalFormatting>
  <conditionalFormatting sqref="K38:N38 I38">
    <cfRule type="expression" dxfId="2951" priority="2792" stopIfTrue="1">
      <formula>IF(WEEKDAY(I$8)=1,TRUE,FALSE)</formula>
    </cfRule>
  </conditionalFormatting>
  <conditionalFormatting sqref="K38:N38">
    <cfRule type="expression" dxfId="2950" priority="2789" stopIfTrue="1">
      <formula>IF(WEEKDAY(K$8)=1,TRUE,FALSE)</formula>
    </cfRule>
    <cfRule type="containsText" dxfId="2949" priority="2790" operator="containsText" text="P">
      <formula>NOT(ISERROR(SEARCH("P",K38)))</formula>
    </cfRule>
    <cfRule type="containsText" dxfId="2948" priority="2791" operator="containsText" text="K">
      <formula>NOT(ISERROR(SEARCH("K",K38)))</formula>
    </cfRule>
  </conditionalFormatting>
  <conditionalFormatting sqref="K53:N53">
    <cfRule type="containsText" dxfId="2947" priority="2788" operator="containsText" text="K">
      <formula>NOT(ISERROR(SEARCH("K",K53)))</formula>
    </cfRule>
  </conditionalFormatting>
  <conditionalFormatting sqref="K91:N91">
    <cfRule type="expression" dxfId="2946" priority="2787" stopIfTrue="1">
      <formula>IF(WEEKDAY(K$8)=1,TRUE,FALSE)</formula>
    </cfRule>
  </conditionalFormatting>
  <conditionalFormatting sqref="K167:N167">
    <cfRule type="expression" dxfId="2945" priority="2784" stopIfTrue="1">
      <formula>IF(WEEKDAY(K$8)=1,TRUE,FALSE)</formula>
    </cfRule>
    <cfRule type="containsText" dxfId="2944" priority="2785" operator="containsText" text="P">
      <formula>NOT(ISERROR(SEARCH("P",K167)))</formula>
    </cfRule>
    <cfRule type="containsText" dxfId="2943" priority="2786" operator="containsText" text="K">
      <formula>NOT(ISERROR(SEARCH("K",K167)))</formula>
    </cfRule>
  </conditionalFormatting>
  <conditionalFormatting sqref="K168:N168">
    <cfRule type="containsText" dxfId="2942" priority="2783" operator="containsText" text="K">
      <formula>NOT(ISERROR(SEARCH("K",K168)))</formula>
    </cfRule>
  </conditionalFormatting>
  <conditionalFormatting sqref="K174:N174">
    <cfRule type="containsText" dxfId="2941" priority="2782" operator="containsText" text="K">
      <formula>NOT(ISERROR(SEARCH("K",K174)))</formula>
    </cfRule>
  </conditionalFormatting>
  <conditionalFormatting sqref="K175:N175">
    <cfRule type="expression" dxfId="2940" priority="2781" stopIfTrue="1">
      <formula>IF(WEEKDAY(K$8)=1,TRUE,FALSE)</formula>
    </cfRule>
  </conditionalFormatting>
  <conditionalFormatting sqref="K230:N230">
    <cfRule type="containsText" dxfId="2939" priority="2779" operator="containsText" text="P">
      <formula>NOT(ISERROR(SEARCH("P",K230)))</formula>
    </cfRule>
    <cfRule type="containsText" dxfId="2938" priority="2780" operator="containsText" text="K">
      <formula>NOT(ISERROR(SEARCH("K",K230)))</formula>
    </cfRule>
  </conditionalFormatting>
  <conditionalFormatting sqref="K42:O42 I42">
    <cfRule type="expression" dxfId="2937" priority="2778" stopIfTrue="1">
      <formula>IF(WEEKDAY(I$8)=1,TRUE,FALSE)</formula>
    </cfRule>
  </conditionalFormatting>
  <conditionalFormatting sqref="K102:O102">
    <cfRule type="containsText" dxfId="2936" priority="2777" operator="containsText" text="K">
      <formula>NOT(ISERROR(SEARCH("K",K102)))</formula>
    </cfRule>
  </conditionalFormatting>
  <conditionalFormatting sqref="K152:O152 R152:Y152 P156:Y160 F152:I152 I162 Y153">
    <cfRule type="expression" dxfId="2935" priority="2776" stopIfTrue="1">
      <formula>IF(WEEKDAY(F$8)=1,TRUE,FALSE)</formula>
    </cfRule>
  </conditionalFormatting>
  <conditionalFormatting sqref="K152:O152 R156:Y160 R152:Y152">
    <cfRule type="containsText" dxfId="2934" priority="2775" operator="containsText" text="P">
      <formula>NOT(ISERROR(SEARCH("P",K152)))</formula>
    </cfRule>
  </conditionalFormatting>
  <conditionalFormatting sqref="K162:O162 Q162:T162 I162">
    <cfRule type="expression" dxfId="2933" priority="2774" stopIfTrue="1">
      <formula>IF(WEEKDAY(I$8)=1,TRUE,FALSE)</formula>
    </cfRule>
  </conditionalFormatting>
  <conditionalFormatting sqref="K166:O166">
    <cfRule type="containsText" dxfId="2932" priority="2773" operator="containsText" text="K">
      <formula>NOT(ISERROR(SEARCH("K",K166)))</formula>
    </cfRule>
  </conditionalFormatting>
  <conditionalFormatting sqref="K173:O173">
    <cfRule type="containsText" dxfId="2931" priority="2772" operator="containsText" text="K">
      <formula>NOT(ISERROR(SEARCH("K",K173)))</formula>
    </cfRule>
  </conditionalFormatting>
  <conditionalFormatting sqref="K178:O178">
    <cfRule type="expression" dxfId="2930" priority="2771" stopIfTrue="1">
      <formula>IF(WEEKDAY(K$8)=1,TRUE,FALSE)</formula>
    </cfRule>
  </conditionalFormatting>
  <conditionalFormatting sqref="K85:P85 R85:Y85 I85:I88 K86:L87 N86:P87 R86:S87 U86:Y87 K88:P88 R88:Y88 K89:L89 N89:P89 R89:S89 U89:Y89 I91 K91:L91 N91 P91 R91:S91 U91:Y91 I98 K98:P98 R98:Y98 AG88:AI88">
    <cfRule type="containsText" dxfId="2929" priority="2770" operator="containsText" text="P">
      <formula>NOT(ISERROR(SEARCH("P",I85)))</formula>
    </cfRule>
  </conditionalFormatting>
  <conditionalFormatting sqref="K85:P85 R85:Y85 K86:L87 N86:P87 K88:P88 R88:Y88 K89:L89 N89:P89 K91:L91 N91 P91 U86:Y87 U89:Y89 I90:P90">
    <cfRule type="containsText" dxfId="2928" priority="2769" operator="containsText" text="P">
      <formula>NOT(ISERROR(SEARCH("P",I85)))</formula>
    </cfRule>
  </conditionalFormatting>
  <conditionalFormatting sqref="K85:P85 R85:Y85 K86:L87 N86:P87 U86:Y87 K88:P88 R88:Y88 K89:L89 N89:P89 U89:Y89 I90:P90 K91:L91 N91 P91 R98:Y98 K98:P98 I85:I88 I91 I98 R86:S87 R89:S89 R91:S91 U91:Y91">
    <cfRule type="expression" dxfId="2927" priority="2768" stopIfTrue="1">
      <formula>IF(WEEKDAY(I$8)=1,TRUE,FALSE)</formula>
    </cfRule>
  </conditionalFormatting>
  <conditionalFormatting sqref="K42:T42 I42">
    <cfRule type="expression" dxfId="2926" priority="2767" stopIfTrue="1">
      <formula>IF(WEEKDAY(I$8)=1,TRUE,FALSE)</formula>
    </cfRule>
  </conditionalFormatting>
  <conditionalFormatting sqref="K81:T81 I81">
    <cfRule type="expression" dxfId="2925" priority="2766" stopIfTrue="1">
      <formula>IF(WEEKDAY(I$8)=1,TRUE,FALSE)</formula>
    </cfRule>
  </conditionalFormatting>
  <conditionalFormatting sqref="K104:Y104">
    <cfRule type="containsText" dxfId="2924" priority="2764" operator="containsText" text="P">
      <formula>NOT(ISERROR(SEARCH("P",K104)))</formula>
    </cfRule>
    <cfRule type="containsText" dxfId="2923" priority="2765" operator="containsText" text="K">
      <formula>NOT(ISERROR(SEARCH("K",K104)))</formula>
    </cfRule>
  </conditionalFormatting>
  <conditionalFormatting sqref="K145:Y145 F145:I145">
    <cfRule type="containsText" dxfId="2922" priority="2763" operator="containsText" text="P">
      <formula>NOT(ISERROR(SEARCH("P",F145)))</formula>
    </cfRule>
  </conditionalFormatting>
  <conditionalFormatting sqref="L151">
    <cfRule type="containsText" dxfId="2921" priority="2760" operator="containsText" text="K">
      <formula>NOT(ISERROR(SEARCH("K",L151)))</formula>
    </cfRule>
    <cfRule type="expression" dxfId="2920" priority="2761" stopIfTrue="1">
      <formula>IF(WEEKDAY(L$8)=1,TRUE,FALSE)</formula>
    </cfRule>
    <cfRule type="containsText" dxfId="2919" priority="2762" operator="containsText" text="P">
      <formula>NOT(ISERROR(SEARCH("P",L151)))</formula>
    </cfRule>
  </conditionalFormatting>
  <conditionalFormatting sqref="L165">
    <cfRule type="containsText" dxfId="2918" priority="2759" operator="containsText" text="K">
      <formula>NOT(ISERROR(SEARCH("K",L165)))</formula>
    </cfRule>
  </conditionalFormatting>
  <conditionalFormatting sqref="L165:L167">
    <cfRule type="expression" dxfId="2917" priority="2757" stopIfTrue="1">
      <formula>IF(WEEKDAY(L$8)=1,TRUE,FALSE)</formula>
    </cfRule>
    <cfRule type="containsText" dxfId="2916" priority="2758" operator="containsText" text="P">
      <formula>NOT(ISERROR(SEARCH("P",L165)))</formula>
    </cfRule>
  </conditionalFormatting>
  <conditionalFormatting sqref="L166">
    <cfRule type="expression" dxfId="2915" priority="2750" stopIfTrue="1">
      <formula>IF(WEEKDAY(L$8)=1,TRUE,FALSE)</formula>
    </cfRule>
    <cfRule type="containsText" dxfId="2914" priority="2751" operator="containsText" text="P">
      <formula>NOT(ISERROR(SEARCH("P",L166)))</formula>
    </cfRule>
    <cfRule type="containsText" dxfId="2913" priority="2752" operator="containsText" text="K">
      <formula>NOT(ISERROR(SEARCH("K",L166)))</formula>
    </cfRule>
    <cfRule type="expression" dxfId="2912" priority="2753" stopIfTrue="1">
      <formula>IF(WEEKDAY(L$8)=1,TRUE,FALSE)</formula>
    </cfRule>
    <cfRule type="containsText" dxfId="2911" priority="2754" operator="containsText" text="P">
      <formula>NOT(ISERROR(SEARCH("P",L166)))</formula>
    </cfRule>
    <cfRule type="containsText" dxfId="2910" priority="2755" operator="containsText" text="K">
      <formula>NOT(ISERROR(SEARCH("K",L166)))</formula>
    </cfRule>
    <cfRule type="containsText" dxfId="2909" priority="2756" operator="containsText" text="K">
      <formula>NOT(ISERROR(SEARCH("K",L166)))</formula>
    </cfRule>
  </conditionalFormatting>
  <conditionalFormatting sqref="L167">
    <cfRule type="containsText" dxfId="2908" priority="2749" operator="containsText" text="K">
      <formula>NOT(ISERROR(SEARCH("K",L167)))</formula>
    </cfRule>
  </conditionalFormatting>
  <conditionalFormatting sqref="L168">
    <cfRule type="expression" dxfId="2907" priority="2740" stopIfTrue="1">
      <formula>IF(WEEKDAY(L$8)=1,TRUE,FALSE)</formula>
    </cfRule>
    <cfRule type="containsText" dxfId="2906" priority="2741" operator="containsText" text="P">
      <formula>NOT(ISERROR(SEARCH("P",L168)))</formula>
    </cfRule>
    <cfRule type="containsText" dxfId="2905" priority="2742" operator="containsText" text="K">
      <formula>NOT(ISERROR(SEARCH("K",L168)))</formula>
    </cfRule>
    <cfRule type="expression" dxfId="2904" priority="2743" stopIfTrue="1">
      <formula>IF(WEEKDAY(L$8)=1,TRUE,FALSE)</formula>
    </cfRule>
    <cfRule type="containsText" dxfId="2903" priority="2744" operator="containsText" text="P">
      <formula>NOT(ISERROR(SEARCH("P",L168)))</formula>
    </cfRule>
    <cfRule type="containsText" dxfId="2902" priority="2745" operator="containsText" text="K">
      <formula>NOT(ISERROR(SEARCH("K",L168)))</formula>
    </cfRule>
    <cfRule type="expression" dxfId="2901" priority="2746" stopIfTrue="1">
      <formula>IF(WEEKDAY(L$8)=1,TRUE,FALSE)</formula>
    </cfRule>
    <cfRule type="containsText" dxfId="2900" priority="2747" operator="containsText" text="P">
      <formula>NOT(ISERROR(SEARCH("P",L168)))</formula>
    </cfRule>
    <cfRule type="containsText" dxfId="2899" priority="2748" operator="containsText" text="K">
      <formula>NOT(ISERROR(SEARCH("K",L168)))</formula>
    </cfRule>
  </conditionalFormatting>
  <conditionalFormatting sqref="L173">
    <cfRule type="containsText" dxfId="2898" priority="2733" operator="containsText" text="K">
      <formula>NOT(ISERROR(SEARCH("K",L173)))</formula>
    </cfRule>
    <cfRule type="expression" dxfId="2897" priority="2734" stopIfTrue="1">
      <formula>IF(WEEKDAY(L$8)=1,TRUE,FALSE)</formula>
    </cfRule>
    <cfRule type="containsText" dxfId="2896" priority="2735" operator="containsText" text="P">
      <formula>NOT(ISERROR(SEARCH("P",L173)))</formula>
    </cfRule>
    <cfRule type="containsText" dxfId="2895" priority="2736" operator="containsText" text="K">
      <formula>NOT(ISERROR(SEARCH("K",L173)))</formula>
    </cfRule>
    <cfRule type="expression" dxfId="2894" priority="2737" stopIfTrue="1">
      <formula>IF(WEEKDAY(L$8)=1,TRUE,FALSE)</formula>
    </cfRule>
    <cfRule type="containsText" dxfId="2893" priority="2738" operator="containsText" text="P">
      <formula>NOT(ISERROR(SEARCH("P",L173)))</formula>
    </cfRule>
    <cfRule type="containsText" dxfId="2892" priority="2739" operator="containsText" text="K">
      <formula>NOT(ISERROR(SEARCH("K",L173)))</formula>
    </cfRule>
  </conditionalFormatting>
  <conditionalFormatting sqref="L173:L174">
    <cfRule type="expression" dxfId="2891" priority="2731" stopIfTrue="1">
      <formula>IF(WEEKDAY(L$8)=1,TRUE,FALSE)</formula>
    </cfRule>
    <cfRule type="containsText" dxfId="2890" priority="2732" operator="containsText" text="P">
      <formula>NOT(ISERROR(SEARCH("P",L173)))</formula>
    </cfRule>
  </conditionalFormatting>
  <conditionalFormatting sqref="L174">
    <cfRule type="expression" dxfId="2889" priority="2724" stopIfTrue="1">
      <formula>IF(WEEKDAY(L$8)=1,TRUE,FALSE)</formula>
    </cfRule>
    <cfRule type="containsText" dxfId="2888" priority="2725" operator="containsText" text="P">
      <formula>NOT(ISERROR(SEARCH("P",L174)))</formula>
    </cfRule>
    <cfRule type="containsText" dxfId="2887" priority="2726" operator="containsText" text="K">
      <formula>NOT(ISERROR(SEARCH("K",L174)))</formula>
    </cfRule>
    <cfRule type="expression" dxfId="2886" priority="2727" stopIfTrue="1">
      <formula>IF(WEEKDAY(L$8)=1,TRUE,FALSE)</formula>
    </cfRule>
    <cfRule type="containsText" dxfId="2885" priority="2728" operator="containsText" text="P">
      <formula>NOT(ISERROR(SEARCH("P",L174)))</formula>
    </cfRule>
    <cfRule type="containsText" dxfId="2884" priority="2729" operator="containsText" text="K">
      <formula>NOT(ISERROR(SEARCH("K",L174)))</formula>
    </cfRule>
    <cfRule type="containsText" dxfId="2883" priority="2730" operator="containsText" text="K">
      <formula>NOT(ISERROR(SEARCH("K",L174)))</formula>
    </cfRule>
  </conditionalFormatting>
  <conditionalFormatting sqref="L180 L183 L203">
    <cfRule type="expression" dxfId="2882" priority="2722" stopIfTrue="1">
      <formula>IF(WEEKDAY(L$8)=1,TRUE,FALSE)</formula>
    </cfRule>
    <cfRule type="containsText" dxfId="2881" priority="2723" operator="containsText" text="K">
      <formula>NOT(ISERROR(SEARCH("K",L180)))</formula>
    </cfRule>
  </conditionalFormatting>
  <conditionalFormatting sqref="L180 L183 L203 H203 J203">
    <cfRule type="containsText" dxfId="2880" priority="2721" operator="containsText" text="P">
      <formula>NOT(ISERROR(SEARCH("P",H180)))</formula>
    </cfRule>
  </conditionalFormatting>
  <conditionalFormatting sqref="L196">
    <cfRule type="containsText" dxfId="2879" priority="2716" operator="containsText" text="P">
      <formula>NOT(ISERROR(SEARCH("P",L196)))</formula>
    </cfRule>
    <cfRule type="expression" dxfId="2878" priority="2717" stopIfTrue="1">
      <formula>IF(WEEKDAY(L$8)=1,TRUE,FALSE)</formula>
    </cfRule>
    <cfRule type="containsText" dxfId="2877" priority="2718" operator="containsText" text="P">
      <formula>NOT(ISERROR(SEARCH("P",L196)))</formula>
    </cfRule>
    <cfRule type="containsText" dxfId="2876" priority="2719" operator="containsText" text="K">
      <formula>NOT(ISERROR(SEARCH("K",L196)))</formula>
    </cfRule>
    <cfRule type="expression" dxfId="2875" priority="2720" stopIfTrue="1">
      <formula>IF(WEEKDAY(L$8)=1,TRUE,FALSE)</formula>
    </cfRule>
  </conditionalFormatting>
  <conditionalFormatting sqref="L14:M14">
    <cfRule type="containsText" dxfId="2874" priority="2714" operator="containsText" text="K">
      <formula>NOT(ISERROR(SEARCH("K",L14)))</formula>
    </cfRule>
    <cfRule type="containsText" dxfId="2873" priority="2715" operator="containsText" text="P">
      <formula>NOT(ISERROR(SEARCH("P",L14)))</formula>
    </cfRule>
  </conditionalFormatting>
  <conditionalFormatting sqref="L40:M40">
    <cfRule type="containsText" dxfId="2872" priority="2711" operator="containsText" text="P">
      <formula>NOT(ISERROR(SEARCH(("P"),(L40))))</formula>
    </cfRule>
    <cfRule type="containsText" dxfId="2871" priority="2712" operator="containsText" text="K">
      <formula>NOT(ISERROR(SEARCH(("K"),(L40))))</formula>
    </cfRule>
    <cfRule type="expression" dxfId="2870" priority="2713" stopIfTrue="1">
      <formula>IF(WEEKDAY(L$8)=1,TRUE,FALSE)</formula>
    </cfRule>
  </conditionalFormatting>
  <conditionalFormatting sqref="L152:O152">
    <cfRule type="containsText" dxfId="2869" priority="2710" operator="containsText" text="K">
      <formula>NOT(ISERROR(SEARCH("K",L152)))</formula>
    </cfRule>
  </conditionalFormatting>
  <conditionalFormatting sqref="L57:P57 L58:M58 P58 L59:L66 N59:P66 R57:S65">
    <cfRule type="containsText" dxfId="2868" priority="2709" operator="containsText" text="K">
      <formula>NOT(ISERROR(SEARCH("K",L57)))</formula>
    </cfRule>
  </conditionalFormatting>
  <conditionalFormatting sqref="L84:Q84">
    <cfRule type="containsText" dxfId="2867" priority="2706" operator="containsText" text="P">
      <formula>NOT(ISERROR(SEARCH(("P"),(L84))))</formula>
    </cfRule>
    <cfRule type="containsText" dxfId="2866" priority="2707" operator="containsText" text="K">
      <formula>NOT(ISERROR(SEARCH(("K"),(L84))))</formula>
    </cfRule>
    <cfRule type="expression" dxfId="2865" priority="2708" stopIfTrue="1">
      <formula>IF(WEEKDAY(L$8)=1,TRUE,FALSE)</formula>
    </cfRule>
  </conditionalFormatting>
  <conditionalFormatting sqref="L195:Q195">
    <cfRule type="containsText" dxfId="2864" priority="2703" operator="containsText" text="P">
      <formula>NOT(ISERROR(SEARCH(("P"),(L195))))</formula>
    </cfRule>
    <cfRule type="containsText" dxfId="2863" priority="2704" operator="containsText" text="K">
      <formula>NOT(ISERROR(SEARCH(("K"),(L195))))</formula>
    </cfRule>
    <cfRule type="expression" dxfId="2862" priority="2705" stopIfTrue="1">
      <formula>IF(WEEKDAY(L$8)=1,TRUE,FALSE)</formula>
    </cfRule>
  </conditionalFormatting>
  <conditionalFormatting sqref="L67:R67">
    <cfRule type="containsText" dxfId="2861" priority="2702" operator="containsText" text="K">
      <formula>NOT(ISERROR(SEARCH("K",L67)))</formula>
    </cfRule>
  </conditionalFormatting>
  <conditionalFormatting sqref="L190:R190 L193:Y193 L194 P194:Q194">
    <cfRule type="expression" dxfId="2860" priority="2699" stopIfTrue="1">
      <formula>IF(WEEKDAY(L$8)=1,TRUE,FALSE)</formula>
    </cfRule>
    <cfRule type="containsText" dxfId="2859" priority="2700" operator="containsText" text="P">
      <formula>NOT(ISERROR(SEARCH("P",L190)))</formula>
    </cfRule>
    <cfRule type="containsText" dxfId="2858" priority="2701" operator="containsText" text="K">
      <formula>NOT(ISERROR(SEARCH("K",L190)))</formula>
    </cfRule>
  </conditionalFormatting>
  <conditionalFormatting sqref="L67:S67">
    <cfRule type="containsText" dxfId="2857" priority="2698" operator="containsText" text="P">
      <formula>NOT(ISERROR(SEARCH("P",L67)))</formula>
    </cfRule>
  </conditionalFormatting>
  <conditionalFormatting sqref="L80:S80 U80:Y80">
    <cfRule type="expression" dxfId="2856" priority="2697" stopIfTrue="1">
      <formula>IF(WEEKDAY(L$8)=1,TRUE,FALSE)</formula>
    </cfRule>
  </conditionalFormatting>
  <conditionalFormatting sqref="L103:S103">
    <cfRule type="containsText" dxfId="2855" priority="2696" operator="containsText" text="K">
      <formula>NOT(ISERROR(SEARCH("K",L103)))</formula>
    </cfRule>
  </conditionalFormatting>
  <conditionalFormatting sqref="L185:S185 W184:Z185 U185 L186 L187:AA187 L189:S189 W188:Z189 W190:AA190 L184 P184:S184 P186:Z186 L188 P188:S188">
    <cfRule type="expression" dxfId="2854" priority="2693" stopIfTrue="1">
      <formula>IF(WEEKDAY(L$8)=1,TRUE,FALSE)</formula>
    </cfRule>
    <cfRule type="containsText" dxfId="2853" priority="2694" operator="containsText" text="P">
      <formula>NOT(ISERROR(SEARCH("P",L184)))</formula>
    </cfRule>
    <cfRule type="containsText" dxfId="2852" priority="2695" operator="containsText" text="K">
      <formula>NOT(ISERROR(SEARCH("K",L184)))</formula>
    </cfRule>
  </conditionalFormatting>
  <conditionalFormatting sqref="L191:L192 W191:Z192 P191:S192">
    <cfRule type="expression" dxfId="2851" priority="2690" stopIfTrue="1">
      <formula>IF(WEEKDAY(L$8)=1,TRUE,FALSE)</formula>
    </cfRule>
    <cfRule type="containsText" dxfId="2850" priority="2691" operator="containsText" text="P">
      <formula>NOT(ISERROR(SEARCH("P",L191)))</formula>
    </cfRule>
    <cfRule type="containsText" dxfId="2849" priority="2692" operator="containsText" text="K">
      <formula>NOT(ISERROR(SEARCH("K",L191)))</formula>
    </cfRule>
  </conditionalFormatting>
  <conditionalFormatting sqref="L199:S199 E200:F200 H200:L200 L201:S201 P200:S200 L202 P202:S202">
    <cfRule type="containsText" dxfId="2848" priority="2689" operator="containsText" text="K">
      <formula>NOT(ISERROR(SEARCH("K",E199)))</formula>
    </cfRule>
  </conditionalFormatting>
  <conditionalFormatting sqref="L199:S199 W199:X199 Z199 E200:F200 H200:L200 W200:Z200 W201:AA201 L201:S201 W202:Z202 P200:S200 L202 P202:S202">
    <cfRule type="expression" dxfId="2847" priority="2687" stopIfTrue="1">
      <formula>IF(WEEKDAY(E$8)=1,TRUE,FALSE)</formula>
    </cfRule>
    <cfRule type="containsText" dxfId="2846" priority="2688" operator="containsText" text="P">
      <formula>NOT(ISERROR(SEARCH("P",E199)))</formula>
    </cfRule>
  </conditionalFormatting>
  <conditionalFormatting sqref="L204:S204 L205:L206 P205:S206">
    <cfRule type="expression" dxfId="2845" priority="2684" stopIfTrue="1">
      <formula>IF(WEEKDAY(L$8)=1,TRUE,FALSE)</formula>
    </cfRule>
    <cfRule type="containsText" dxfId="2844" priority="2685" operator="containsText" text="P">
      <formula>NOT(ISERROR(SEARCH("P",L204)))</formula>
    </cfRule>
    <cfRule type="containsText" dxfId="2843" priority="2686" operator="containsText" text="K">
      <formula>NOT(ISERROR(SEARCH("K",L204)))</formula>
    </cfRule>
  </conditionalFormatting>
  <conditionalFormatting sqref="L145:T145">
    <cfRule type="containsText" dxfId="2842" priority="2683" operator="containsText" text="K">
      <formula>NOT(ISERROR(SEARCH("K",L145)))</formula>
    </cfRule>
  </conditionalFormatting>
  <conditionalFormatting sqref="X21">
    <cfRule type="expression" dxfId="2841" priority="2680" stopIfTrue="1">
      <formula>IF(WEEKDAY(X$8)=1,TRUE,FALSE)</formula>
    </cfRule>
    <cfRule type="containsText" dxfId="2840" priority="2681" operator="containsText" text="K">
      <formula>NOT(ISERROR(SEARCH("K",X21)))</formula>
    </cfRule>
    <cfRule type="containsText" dxfId="2839" priority="2682" operator="containsText" text="P">
      <formula>NOT(ISERROR(SEARCH("P",X21)))</formula>
    </cfRule>
  </conditionalFormatting>
  <conditionalFormatting sqref="L197:X198">
    <cfRule type="expression" dxfId="2838" priority="2677" stopIfTrue="1">
      <formula>IF(WEEKDAY(L$8)=1,TRUE,FALSE)</formula>
    </cfRule>
    <cfRule type="containsText" dxfId="2837" priority="2678" operator="containsText" text="P">
      <formula>NOT(ISERROR(SEARCH("P",L197)))</formula>
    </cfRule>
    <cfRule type="containsText" dxfId="2836" priority="2679" operator="containsText" text="K">
      <formula>NOT(ISERROR(SEARCH("K",L197)))</formula>
    </cfRule>
  </conditionalFormatting>
  <conditionalFormatting sqref="L80:Y80">
    <cfRule type="containsText" dxfId="2835" priority="2676" operator="containsText" text="K">
      <formula>NOT(ISERROR(SEARCH("K",L80)))</formula>
    </cfRule>
  </conditionalFormatting>
  <conditionalFormatting sqref="M39">
    <cfRule type="expression" dxfId="2834" priority="2665" stopIfTrue="1">
      <formula>IF(WEEKDAY(M$8)=1,TRUE,FALSE)</formula>
    </cfRule>
    <cfRule type="containsText" dxfId="2833" priority="2666" operator="containsText" text="P">
      <formula>NOT(ISERROR(SEARCH("P",M39)))</formula>
    </cfRule>
    <cfRule type="containsText" dxfId="2832" priority="2667" operator="containsText" text="K">
      <formula>NOT(ISERROR(SEARCH("K",M39)))</formula>
    </cfRule>
    <cfRule type="expression" dxfId="2831" priority="2668" stopIfTrue="1">
      <formula>IF(WEEKDAY(M$8)=1,TRUE,FALSE)</formula>
    </cfRule>
    <cfRule type="containsText" dxfId="2830" priority="2669" operator="containsText" text="P">
      <formula>NOT(ISERROR(SEARCH("P",M39)))</formula>
    </cfRule>
    <cfRule type="containsText" dxfId="2829" priority="2670" operator="containsText" text="K">
      <formula>NOT(ISERROR(SEARCH("K",M39)))</formula>
    </cfRule>
    <cfRule type="containsText" dxfId="2828" priority="2671" operator="containsText" text="P">
      <formula>NOT(ISERROR(SEARCH("P",M39)))</formula>
    </cfRule>
    <cfRule type="containsText" dxfId="2827" priority="2672" operator="containsText" text="K">
      <formula>NOT(ISERROR(SEARCH("K",M39)))</formula>
    </cfRule>
    <cfRule type="expression" dxfId="2826" priority="2673" stopIfTrue="1">
      <formula>IF(WEEKDAY(M$8)=1,TRUE,FALSE)</formula>
    </cfRule>
    <cfRule type="containsText" dxfId="2825" priority="2674" operator="containsText" text="P">
      <formula>NOT(ISERROR(SEARCH("P",M39)))</formula>
    </cfRule>
    <cfRule type="containsText" dxfId="2824" priority="2675" operator="containsText" text="K">
      <formula>NOT(ISERROR(SEARCH("K",M39)))</formula>
    </cfRule>
  </conditionalFormatting>
  <conditionalFormatting sqref="M41 O41:T41 V41:Y41">
    <cfRule type="containsText" dxfId="2823" priority="2663" operator="containsText" text="P">
      <formula>NOT(ISERROR(SEARCH("P",M41)))</formula>
    </cfRule>
    <cfRule type="containsText" dxfId="2822" priority="2664" operator="containsText" text="K">
      <formula>NOT(ISERROR(SEARCH("K",M41)))</formula>
    </cfRule>
  </conditionalFormatting>
  <conditionalFormatting sqref="M41 V41:Y41 O41:T41">
    <cfRule type="expression" dxfId="2821" priority="2662" stopIfTrue="1">
      <formula>IF(WEEKDAY(M$8)=1,TRUE,FALSE)</formula>
    </cfRule>
  </conditionalFormatting>
  <conditionalFormatting sqref="M41 V41:Y41">
    <cfRule type="containsText" dxfId="2820" priority="2660" operator="containsText" text="P">
      <formula>NOT(ISERROR(SEARCH("P",M41)))</formula>
    </cfRule>
    <cfRule type="containsText" dxfId="2819" priority="2661" operator="containsText" text="K">
      <formula>NOT(ISERROR(SEARCH("K",M41)))</formula>
    </cfRule>
  </conditionalFormatting>
  <conditionalFormatting sqref="M57:M65">
    <cfRule type="containsText" dxfId="2818" priority="2659" operator="containsText" text="K">
      <formula>NOT(ISERROR(SEARCH("K",M57)))</formula>
    </cfRule>
  </conditionalFormatting>
  <conditionalFormatting sqref="M59:M65">
    <cfRule type="containsText" dxfId="2817" priority="2655" operator="containsText" text="K">
      <formula>NOT(ISERROR(SEARCH("K",M59)))</formula>
    </cfRule>
    <cfRule type="containsText" dxfId="2816" priority="2656" operator="containsText" text="P">
      <formula>NOT(ISERROR(SEARCH("P",M59)))</formula>
    </cfRule>
    <cfRule type="expression" dxfId="2815" priority="2657" stopIfTrue="1">
      <formula>IF(WEEKDAY(M$8)=1,TRUE,FALSE)</formula>
    </cfRule>
    <cfRule type="containsText" dxfId="2814" priority="2658" operator="containsText" text="P">
      <formula>NOT(ISERROR(SEARCH("P",M59)))</formula>
    </cfRule>
  </conditionalFormatting>
  <conditionalFormatting sqref="M66">
    <cfRule type="containsText" dxfId="2813" priority="2650" operator="containsText" text="K">
      <formula>NOT(ISERROR(SEARCH("K",M66)))</formula>
    </cfRule>
    <cfRule type="expression" dxfId="2812" priority="2651" stopIfTrue="1">
      <formula>IF(WEEKDAY(M$8)=1,TRUE,FALSE)</formula>
    </cfRule>
    <cfRule type="containsText" dxfId="2811" priority="2652" operator="containsText" text="K">
      <formula>NOT(ISERROR(SEARCH("K",M66)))</formula>
    </cfRule>
    <cfRule type="containsText" dxfId="2810" priority="2653" operator="containsText" text="P">
      <formula>NOT(ISERROR(SEARCH("P",M66)))</formula>
    </cfRule>
    <cfRule type="containsText" dxfId="2809" priority="2654" operator="containsText" text="P">
      <formula>NOT(ISERROR(SEARCH("P",M66)))</formula>
    </cfRule>
  </conditionalFormatting>
  <conditionalFormatting sqref="M75">
    <cfRule type="containsText" dxfId="2808" priority="2649" operator="containsText" text="K">
      <formula>NOT(ISERROR(SEARCH("K",M75)))</formula>
    </cfRule>
  </conditionalFormatting>
  <conditionalFormatting sqref="M78">
    <cfRule type="containsText" dxfId="2807" priority="2645" operator="containsText" text="K">
      <formula>NOT(ISERROR(SEARCH("K",M78)))</formula>
    </cfRule>
    <cfRule type="expression" dxfId="2806" priority="2646" stopIfTrue="1">
      <formula>IF(WEEKDAY(M$8)=1,TRUE,FALSE)</formula>
    </cfRule>
    <cfRule type="containsText" dxfId="2805" priority="2647" operator="containsText" text="P">
      <formula>NOT(ISERROR(SEARCH("P",M78)))</formula>
    </cfRule>
    <cfRule type="containsText" dxfId="2804" priority="2648" operator="containsText" text="K">
      <formula>NOT(ISERROR(SEARCH("K",M78)))</formula>
    </cfRule>
  </conditionalFormatting>
  <conditionalFormatting sqref="M86:M87 M89">
    <cfRule type="containsText" dxfId="2803" priority="2640" operator="containsText" text="K">
      <formula>NOT(ISERROR(SEARCH("K",M86)))</formula>
    </cfRule>
    <cfRule type="expression" dxfId="2802" priority="2641" stopIfTrue="1">
      <formula>IF(WEEKDAY(M$8)=1,TRUE,FALSE)</formula>
    </cfRule>
    <cfRule type="containsText" dxfId="2801" priority="2642" operator="containsText" text="K">
      <formula>NOT(ISERROR(SEARCH("K",M86)))</formula>
    </cfRule>
    <cfRule type="containsText" dxfId="2800" priority="2643" operator="containsText" text="P">
      <formula>NOT(ISERROR(SEARCH("P",M86)))</formula>
    </cfRule>
    <cfRule type="containsText" dxfId="2799" priority="2644" operator="containsText" text="P">
      <formula>NOT(ISERROR(SEARCH("P",M86)))</formula>
    </cfRule>
  </conditionalFormatting>
  <conditionalFormatting sqref="M91">
    <cfRule type="expression" dxfId="2798" priority="2636" stopIfTrue="1">
      <formula>IF(WEEKDAY(M$8)=1,TRUE,FALSE)</formula>
    </cfRule>
    <cfRule type="containsText" dxfId="2797" priority="2637" operator="containsText" text="K">
      <formula>NOT(ISERROR(SEARCH("K",M91)))</formula>
    </cfRule>
    <cfRule type="containsText" dxfId="2796" priority="2638" operator="containsText" text="P">
      <formula>NOT(ISERROR(SEARCH("P",M91)))</formula>
    </cfRule>
    <cfRule type="containsText" dxfId="2795" priority="2639" operator="containsText" text="P">
      <formula>NOT(ISERROR(SEARCH("P",M91)))</formula>
    </cfRule>
  </conditionalFormatting>
  <conditionalFormatting sqref="M92">
    <cfRule type="containsText" dxfId="2794" priority="2632" operator="containsText" text="P">
      <formula>NOT(ISERROR(SEARCH("P",M92)))</formula>
    </cfRule>
    <cfRule type="expression" dxfId="2793" priority="2633" stopIfTrue="1">
      <formula>IF(WEEKDAY(M$8)=1,TRUE,FALSE)</formula>
    </cfRule>
    <cfRule type="containsText" dxfId="2792" priority="2634" operator="containsText" text="P">
      <formula>NOT(ISERROR(SEARCH("P",M92)))</formula>
    </cfRule>
    <cfRule type="containsText" dxfId="2791" priority="2635" operator="containsText" text="K">
      <formula>NOT(ISERROR(SEARCH("K",M92)))</formula>
    </cfRule>
  </conditionalFormatting>
  <conditionalFormatting sqref="M167">
    <cfRule type="expression" dxfId="2790" priority="2629" stopIfTrue="1">
      <formula>IF(WEEKDAY(M$8)=1,TRUE,FALSE)</formula>
    </cfRule>
    <cfRule type="containsText" dxfId="2789" priority="2630" operator="containsText" text="P">
      <formula>NOT(ISERROR(SEARCH("P",M167)))</formula>
    </cfRule>
    <cfRule type="containsText" dxfId="2788" priority="2631" operator="containsText" text="K">
      <formula>NOT(ISERROR(SEARCH("K",M167)))</formula>
    </cfRule>
  </conditionalFormatting>
  <conditionalFormatting sqref="M224:M229">
    <cfRule type="expression" dxfId="2787" priority="2626" stopIfTrue="1">
      <formula>IF(WEEKDAY(M$8)=1,TRUE,FALSE)</formula>
    </cfRule>
    <cfRule type="containsText" dxfId="2786" priority="2627" operator="containsText" text="P">
      <formula>NOT(ISERROR(SEARCH("P",M224)))</formula>
    </cfRule>
    <cfRule type="containsText" dxfId="2785" priority="2628" operator="containsText" text="K">
      <formula>NOT(ISERROR(SEARCH("K",M224)))</formula>
    </cfRule>
  </conditionalFormatting>
  <conditionalFormatting sqref="M38:N38">
    <cfRule type="expression" dxfId="2784" priority="2615" stopIfTrue="1">
      <formula>IF(WEEKDAY(M$8)=1,TRUE,FALSE)</formula>
    </cfRule>
    <cfRule type="containsText" dxfId="2783" priority="2616" operator="containsText" text="P">
      <formula>NOT(ISERROR(SEARCH("P",M38)))</formula>
    </cfRule>
    <cfRule type="containsText" dxfId="2782" priority="2617" operator="containsText" text="K">
      <formula>NOT(ISERROR(SEARCH("K",M38)))</formula>
    </cfRule>
    <cfRule type="expression" dxfId="2781" priority="2618" stopIfTrue="1">
      <formula>IF(WEEKDAY(M$8)=1,TRUE,FALSE)</formula>
    </cfRule>
    <cfRule type="containsText" dxfId="2780" priority="2619" operator="containsText" text="P">
      <formula>NOT(ISERROR(SEARCH("P",M38)))</formula>
    </cfRule>
    <cfRule type="containsText" dxfId="2779" priority="2620" operator="containsText" text="K">
      <formula>NOT(ISERROR(SEARCH("K",M38)))</formula>
    </cfRule>
    <cfRule type="containsText" dxfId="2778" priority="2621" operator="containsText" text="P">
      <formula>NOT(ISERROR(SEARCH("P",M38)))</formula>
    </cfRule>
    <cfRule type="containsText" dxfId="2777" priority="2622" operator="containsText" text="K">
      <formula>NOT(ISERROR(SEARCH("K",M38)))</formula>
    </cfRule>
    <cfRule type="expression" dxfId="2776" priority="2623" stopIfTrue="1">
      <formula>IF(WEEKDAY(M$8)=1,TRUE,FALSE)</formula>
    </cfRule>
    <cfRule type="containsText" dxfId="2775" priority="2624" operator="containsText" text="P">
      <formula>NOT(ISERROR(SEARCH("P",M38)))</formula>
    </cfRule>
    <cfRule type="containsText" dxfId="2774" priority="2625" operator="containsText" text="K">
      <formula>NOT(ISERROR(SEARCH("K",M38)))</formula>
    </cfRule>
  </conditionalFormatting>
  <conditionalFormatting sqref="M44:N44 H44:K44">
    <cfRule type="containsText" dxfId="2773" priority="2614" operator="containsText" text="K">
      <formula>NOT(ISERROR(SEARCH("K",H44)))</formula>
    </cfRule>
  </conditionalFormatting>
  <conditionalFormatting sqref="M45:N46">
    <cfRule type="expression" dxfId="2772" priority="2612" stopIfTrue="1">
      <formula>IF(WEEKDAY(M$8)=1,TRUE,FALSE)</formula>
    </cfRule>
    <cfRule type="containsText" dxfId="2771" priority="2613" operator="containsText" text="P">
      <formula>NOT(ISERROR(SEARCH("P",M45)))</formula>
    </cfRule>
  </conditionalFormatting>
  <conditionalFormatting sqref="M91:N91">
    <cfRule type="containsText" dxfId="2770" priority="2611" operator="containsText" text="K">
      <formula>NOT(ISERROR(SEARCH("K",M91)))</formula>
    </cfRule>
  </conditionalFormatting>
  <conditionalFormatting sqref="M151:N151">
    <cfRule type="containsText" dxfId="2769" priority="2610" operator="containsText" text="P">
      <formula>NOT(ISERROR(SEARCH("P",M151)))</formula>
    </cfRule>
  </conditionalFormatting>
  <conditionalFormatting sqref="M175:N175">
    <cfRule type="containsText" dxfId="2768" priority="2609" operator="containsText" text="K">
      <formula>NOT(ISERROR(SEARCH("K",M175)))</formula>
    </cfRule>
  </conditionalFormatting>
  <conditionalFormatting sqref="M47:O47">
    <cfRule type="containsText" dxfId="2767" priority="2608" operator="containsText" text="K">
      <formula>NOT(ISERROR(SEARCH("K",M47)))</formula>
    </cfRule>
  </conditionalFormatting>
  <conditionalFormatting sqref="M48:O48">
    <cfRule type="containsText" dxfId="2766" priority="2607" operator="containsText" text="K">
      <formula>NOT(ISERROR(SEARCH("K",M48)))</formula>
    </cfRule>
  </conditionalFormatting>
  <conditionalFormatting sqref="M151:O151">
    <cfRule type="expression" dxfId="2765" priority="2605" stopIfTrue="1">
      <formula>IF(WEEKDAY(M$8)=1,TRUE,FALSE)</formula>
    </cfRule>
    <cfRule type="containsText" dxfId="2764" priority="2606" operator="containsText" text="K">
      <formula>NOT(ISERROR(SEARCH("K",M151)))</formula>
    </cfRule>
  </conditionalFormatting>
  <conditionalFormatting sqref="M170:O171">
    <cfRule type="containsText" dxfId="2763" priority="2604" operator="containsText" text="K">
      <formula>NOT(ISERROR(SEARCH("K",M170)))</formula>
    </cfRule>
  </conditionalFormatting>
  <conditionalFormatting sqref="M178:O178">
    <cfRule type="containsText" dxfId="2762" priority="2603" operator="containsText" text="K">
      <formula>NOT(ISERROR(SEARCH("K",M178)))</formula>
    </cfRule>
  </conditionalFormatting>
  <conditionalFormatting sqref="M47:P47">
    <cfRule type="expression" dxfId="2761" priority="2602" stopIfTrue="1">
      <formula>IF(WEEKDAY(M$8)=1,TRUE,FALSE)</formula>
    </cfRule>
  </conditionalFormatting>
  <conditionalFormatting sqref="M48:P48 R48:T48">
    <cfRule type="containsText" dxfId="2760" priority="2601" operator="containsText" text="P">
      <formula>NOT(ISERROR(SEARCH("P",M48)))</formula>
    </cfRule>
  </conditionalFormatting>
  <conditionalFormatting sqref="M59:P66">
    <cfRule type="expression" dxfId="2759" priority="2600" stopIfTrue="1">
      <formula>IF(WEEKDAY(M$8)=1,TRUE,FALSE)</formula>
    </cfRule>
  </conditionalFormatting>
  <conditionalFormatting sqref="M166:P166 R166:U166">
    <cfRule type="containsText" dxfId="2758" priority="2599" operator="containsText" text="P">
      <formula>NOT(ISERROR(SEARCH("P",M166)))</formula>
    </cfRule>
  </conditionalFormatting>
  <conditionalFormatting sqref="M170:P171 W170:W171">
    <cfRule type="containsText" dxfId="2757" priority="2598" operator="containsText" text="P">
      <formula>NOT(ISERROR(SEARCH("P",M170)))</formula>
    </cfRule>
  </conditionalFormatting>
  <conditionalFormatting sqref="M173:P173 R173:U173">
    <cfRule type="containsText" dxfId="2756" priority="2597" operator="containsText" text="P">
      <formula>NOT(ISERROR(SEARCH("P",M173)))</formula>
    </cfRule>
  </conditionalFormatting>
  <conditionalFormatting sqref="M178:P178 R178:T178 W178">
    <cfRule type="containsText" dxfId="2755" priority="2596" operator="containsText" text="P">
      <formula>NOT(ISERROR(SEARCH("P",M178)))</formula>
    </cfRule>
  </conditionalFormatting>
  <conditionalFormatting sqref="M47:Q47">
    <cfRule type="containsText" dxfId="2754" priority="2595" operator="containsText" text="P">
      <formula>NOT(ISERROR(SEARCH("P",M47)))</formula>
    </cfRule>
  </conditionalFormatting>
  <conditionalFormatting sqref="M44:R44 G44:G46 Z154:AE162">
    <cfRule type="containsText" dxfId="2753" priority="2594" operator="containsText" text="P">
      <formula>NOT(ISERROR(SEARCH("P",G44)))</formula>
    </cfRule>
  </conditionalFormatting>
  <conditionalFormatting sqref="M165:R165 H180:K180 M180:R180 T180 V180:X180 L181:R181 W181:AA181 U182 W182:Z182 M183:R183 U183:Z183 L182:S182 M196:AD196">
    <cfRule type="expression" dxfId="2752" priority="2591" stopIfTrue="1">
      <formula>IF(WEEKDAY(H$8)=1,TRUE,FALSE)</formula>
    </cfRule>
    <cfRule type="containsText" dxfId="2751" priority="2592" operator="containsText" text="P">
      <formula>NOT(ISERROR(SEARCH("P",H165)))</formula>
    </cfRule>
    <cfRule type="containsText" dxfId="2750" priority="2593" operator="containsText" text="K">
      <formula>NOT(ISERROR(SEARCH("K",H165)))</formula>
    </cfRule>
  </conditionalFormatting>
  <conditionalFormatting sqref="M165:R165">
    <cfRule type="expression" dxfId="2749" priority="2585" stopIfTrue="1">
      <formula>IF(WEEKDAY(M$8)=1,TRUE,FALSE)</formula>
    </cfRule>
    <cfRule type="containsText" dxfId="2748" priority="2586" operator="containsText" text="P">
      <formula>NOT(ISERROR(SEARCH("P",M165)))</formula>
    </cfRule>
    <cfRule type="containsText" dxfId="2747" priority="2587" operator="containsText" text="K">
      <formula>NOT(ISERROR(SEARCH("K",M165)))</formula>
    </cfRule>
    <cfRule type="expression" dxfId="2746" priority="2588" stopIfTrue="1">
      <formula>IF(WEEKDAY(M$8)=1,TRUE,FALSE)</formula>
    </cfRule>
    <cfRule type="containsText" dxfId="2745" priority="2589" operator="containsText" text="P">
      <formula>NOT(ISERROR(SEARCH("P",M165)))</formula>
    </cfRule>
    <cfRule type="containsText" dxfId="2744" priority="2590" operator="containsText" text="K">
      <formula>NOT(ISERROR(SEARCH("K",M165)))</formula>
    </cfRule>
  </conditionalFormatting>
  <conditionalFormatting sqref="M167:R167">
    <cfRule type="expression" dxfId="2743" priority="2576" stopIfTrue="1">
      <formula>IF(WEEKDAY(M$8)=1,TRUE,FALSE)</formula>
    </cfRule>
    <cfRule type="containsText" dxfId="2742" priority="2577" operator="containsText" text="P">
      <formula>NOT(ISERROR(SEARCH("P",M167)))</formula>
    </cfRule>
    <cfRule type="containsText" dxfId="2741" priority="2578" operator="containsText" text="K">
      <formula>NOT(ISERROR(SEARCH("K",M167)))</formula>
    </cfRule>
    <cfRule type="expression" dxfId="2740" priority="2579" stopIfTrue="1">
      <formula>IF(WEEKDAY(M$8)=1,TRUE,FALSE)</formula>
    </cfRule>
    <cfRule type="containsText" dxfId="2739" priority="2580" operator="containsText" text="P">
      <formula>NOT(ISERROR(SEARCH("P",M167)))</formula>
    </cfRule>
    <cfRule type="containsText" dxfId="2738" priority="2581" operator="containsText" text="K">
      <formula>NOT(ISERROR(SEARCH("K",M167)))</formula>
    </cfRule>
    <cfRule type="expression" dxfId="2737" priority="2582" stopIfTrue="1">
      <formula>IF(WEEKDAY(M$8)=1,TRUE,FALSE)</formula>
    </cfRule>
    <cfRule type="containsText" dxfId="2736" priority="2583" operator="containsText" text="P">
      <formula>NOT(ISERROR(SEARCH("P",M167)))</formula>
    </cfRule>
    <cfRule type="containsText" dxfId="2735" priority="2584" operator="containsText" text="K">
      <formula>NOT(ISERROR(SEARCH("K",M167)))</formula>
    </cfRule>
  </conditionalFormatting>
  <conditionalFormatting sqref="M50:S50 U50:Y50 M76:S77 U76:Y77 R84 Y84 M69:S73 U69:Y74 M74:N74 P74:S74 M82:S83 U82:Y83 M93:S95 U93:Y95">
    <cfRule type="containsText" dxfId="2734" priority="2575" operator="containsText" text="K">
      <formula>NOT(ISERROR(SEARCH("K",M50)))</formula>
    </cfRule>
  </conditionalFormatting>
  <conditionalFormatting sqref="M67:S67">
    <cfRule type="expression" dxfId="2733" priority="2574" stopIfTrue="1">
      <formula>IF(WEEKDAY(M$8)=1,TRUE,FALSE)</formula>
    </cfRule>
  </conditionalFormatting>
  <conditionalFormatting sqref="M78:S78">
    <cfRule type="expression" dxfId="2732" priority="2572" stopIfTrue="1">
      <formula>IF(WEEKDAY(M$8)=1,TRUE,FALSE)</formula>
    </cfRule>
    <cfRule type="containsText" dxfId="2731" priority="2573" operator="containsText" text="P">
      <formula>NOT(ISERROR(SEARCH("P",M78)))</formula>
    </cfRule>
  </conditionalFormatting>
  <conditionalFormatting sqref="M147:S147 U147:Y147 M148:Y149">
    <cfRule type="containsText" dxfId="2730" priority="2571" operator="containsText" text="K">
      <formula>NOT(ISERROR(SEARCH("K",M147)))</formula>
    </cfRule>
  </conditionalFormatting>
  <conditionalFormatting sqref="M39:T39">
    <cfRule type="expression" dxfId="2729" priority="2568" stopIfTrue="1">
      <formula>IF(WEEKDAY(M$8)=1,TRUE,FALSE)</formula>
    </cfRule>
    <cfRule type="containsText" dxfId="2728" priority="2569" operator="containsText" text="P">
      <formula>NOT(ISERROR(SEARCH("P",M39)))</formula>
    </cfRule>
    <cfRule type="containsText" dxfId="2727" priority="2570" operator="containsText" text="K">
      <formula>NOT(ISERROR(SEARCH("K",M39)))</formula>
    </cfRule>
  </conditionalFormatting>
  <conditionalFormatting sqref="M79:T79 N80">
    <cfRule type="containsText" dxfId="2726" priority="2567" operator="containsText" text="K">
      <formula>NOT(ISERROR(SEARCH("K",M79)))</formula>
    </cfRule>
  </conditionalFormatting>
  <conditionalFormatting sqref="M16:U16">
    <cfRule type="containsText" dxfId="2725" priority="2566" operator="containsText" text="K">
      <formula>NOT(ISERROR(SEARCH("K",M16)))</formula>
    </cfRule>
  </conditionalFormatting>
  <conditionalFormatting sqref="M38:U38">
    <cfRule type="expression" dxfId="2724" priority="2563" stopIfTrue="1">
      <formula>IF(WEEKDAY(M$8)=1,TRUE,FALSE)</formula>
    </cfRule>
    <cfRule type="containsText" dxfId="2723" priority="2564" operator="containsText" text="P">
      <formula>NOT(ISERROR(SEARCH("P",M38)))</formula>
    </cfRule>
    <cfRule type="containsText" dxfId="2722" priority="2565" operator="containsText" text="K">
      <formula>NOT(ISERROR(SEARCH("K",M38)))</formula>
    </cfRule>
  </conditionalFormatting>
  <conditionalFormatting sqref="M166:U166">
    <cfRule type="containsText" dxfId="2721" priority="2562" operator="containsText" text="P">
      <formula>NOT(ISERROR(SEARCH("P",M166)))</formula>
    </cfRule>
  </conditionalFormatting>
  <conditionalFormatting sqref="M173:U173">
    <cfRule type="containsText" dxfId="2720" priority="2561" operator="containsText" text="P">
      <formula>NOT(ISERROR(SEARCH("P",M173)))</formula>
    </cfRule>
  </conditionalFormatting>
  <conditionalFormatting sqref="M79:V79 N80 X79:Y79 I79:I80">
    <cfRule type="containsText" dxfId="2719" priority="2560" operator="containsText" text="P">
      <formula>NOT(ISERROR(SEARCH("P",I79)))</formula>
    </cfRule>
  </conditionalFormatting>
  <conditionalFormatting sqref="M79:V79 X79:Y79 I79:I80 F80:G80 N80 U80:Y80">
    <cfRule type="containsText" dxfId="2718" priority="2558" operator="containsText" text="P">
      <formula>NOT(ISERROR(SEARCH("P",F79)))</formula>
    </cfRule>
    <cfRule type="containsText" dxfId="2717" priority="2559" operator="containsText" text="K">
      <formula>NOT(ISERROR(SEARCH("K",F79)))</formula>
    </cfRule>
  </conditionalFormatting>
  <conditionalFormatting sqref="M79:V79 X79:Y79 I79:I80 N80 F80:G80 U80:Y80">
    <cfRule type="expression" dxfId="2716" priority="2557" stopIfTrue="1">
      <formula>IF(WEEKDAY(F$8)=1,TRUE,FALSE)</formula>
    </cfRule>
  </conditionalFormatting>
  <conditionalFormatting sqref="M79:V79 X79:Y79">
    <cfRule type="expression" dxfId="2715" priority="2556" stopIfTrue="1">
      <formula>IF(WEEKDAY(M$8)=1,TRUE,FALSE)</formula>
    </cfRule>
  </conditionalFormatting>
  <conditionalFormatting sqref="M142:W142 O141 V141:Y141">
    <cfRule type="containsText" dxfId="2714" priority="2555" operator="containsText" text="K">
      <formula>NOT(ISERROR(SEARCH("K",M141)))</formula>
    </cfRule>
  </conditionalFormatting>
  <conditionalFormatting sqref="N14 U14:Y14 AF14:AH14 E14:G14">
    <cfRule type="expression" dxfId="2713" priority="2554" stopIfTrue="1">
      <formula>IF(WEEKDAY(E$8)=1,TRUE,FALSE)</formula>
    </cfRule>
  </conditionalFormatting>
  <conditionalFormatting sqref="N14 U14:Y14 AF14:AH14">
    <cfRule type="expression" dxfId="2712" priority="2552" stopIfTrue="1">
      <formula>IF(WEEKDAY(N$8)=1,TRUE,FALSE)</formula>
    </cfRule>
    <cfRule type="containsText" dxfId="2711" priority="2553" operator="containsText" text="P">
      <formula>NOT(ISERROR(SEARCH("P",N14)))</formula>
    </cfRule>
  </conditionalFormatting>
  <conditionalFormatting sqref="N14">
    <cfRule type="containsText" dxfId="2710" priority="2551" operator="containsText" text="K">
      <formula>NOT(ISERROR(SEARCH("K",N14)))</formula>
    </cfRule>
  </conditionalFormatting>
  <conditionalFormatting sqref="N14:N15">
    <cfRule type="containsText" dxfId="2709" priority="2550" operator="containsText" text="K">
      <formula>NOT(ISERROR(SEARCH("K",N14)))</formula>
    </cfRule>
  </conditionalFormatting>
  <conditionalFormatting sqref="N39">
    <cfRule type="expression" dxfId="2708" priority="2533" stopIfTrue="1">
      <formula>IF(WEEKDAY(N$8)=1,TRUE,FALSE)</formula>
    </cfRule>
    <cfRule type="containsText" dxfId="2707" priority="2534" operator="containsText" text="P">
      <formula>NOT(ISERROR(SEARCH("P",N39)))</formula>
    </cfRule>
    <cfRule type="containsText" dxfId="2706" priority="2535" operator="containsText" text="K">
      <formula>NOT(ISERROR(SEARCH("K",N39)))</formula>
    </cfRule>
    <cfRule type="expression" dxfId="2705" priority="2536" stopIfTrue="1">
      <formula>IF(WEEKDAY(N$8)=1,TRUE,FALSE)</formula>
    </cfRule>
    <cfRule type="containsText" dxfId="2704" priority="2537" operator="containsText" text="P">
      <formula>NOT(ISERROR(SEARCH("P",N39)))</formula>
    </cfRule>
    <cfRule type="containsText" dxfId="2703" priority="2538" operator="containsText" text="K">
      <formula>NOT(ISERROR(SEARCH("K",N39)))</formula>
    </cfRule>
    <cfRule type="expression" dxfId="2702" priority="2539" stopIfTrue="1">
      <formula>IF(WEEKDAY(N$8)=1,TRUE,FALSE)</formula>
    </cfRule>
    <cfRule type="containsText" dxfId="2701" priority="2540" operator="containsText" text="P">
      <formula>NOT(ISERROR(SEARCH("P",N39)))</formula>
    </cfRule>
    <cfRule type="containsText" dxfId="2700" priority="2541" operator="containsText" text="K">
      <formula>NOT(ISERROR(SEARCH("K",N39)))</formula>
    </cfRule>
    <cfRule type="containsText" dxfId="2699" priority="2542" operator="containsText" text="P">
      <formula>NOT(ISERROR(SEARCH("P",N39)))</formula>
    </cfRule>
    <cfRule type="containsText" dxfId="2698" priority="2543" operator="containsText" text="K">
      <formula>NOT(ISERROR(SEARCH("K",N39)))</formula>
    </cfRule>
    <cfRule type="expression" dxfId="2697" priority="2544" stopIfTrue="1">
      <formula>IF(WEEKDAY(N$8)=1,TRUE,FALSE)</formula>
    </cfRule>
    <cfRule type="containsText" dxfId="2696" priority="2545" operator="containsText" text="P">
      <formula>NOT(ISERROR(SEARCH("P",N39)))</formula>
    </cfRule>
    <cfRule type="containsText" dxfId="2695" priority="2546" operator="containsText" text="K">
      <formula>NOT(ISERROR(SEARCH("K",N39)))</formula>
    </cfRule>
    <cfRule type="expression" dxfId="2694" priority="2547" stopIfTrue="1">
      <formula>IF(WEEKDAY(N$8)=1,TRUE,FALSE)</formula>
    </cfRule>
    <cfRule type="containsText" dxfId="2693" priority="2548" operator="containsText" text="P">
      <formula>NOT(ISERROR(SEARCH("P",N39)))</formula>
    </cfRule>
    <cfRule type="containsText" dxfId="2692" priority="2549" operator="containsText" text="K">
      <formula>NOT(ISERROR(SEARCH("K",N39)))</formula>
    </cfRule>
  </conditionalFormatting>
  <conditionalFormatting sqref="N39:N40">
    <cfRule type="expression" dxfId="2691" priority="2530" stopIfTrue="1">
      <formula>IF(WEEKDAY(N$8)=1,TRUE,FALSE)</formula>
    </cfRule>
    <cfRule type="containsText" dxfId="2690" priority="2531" operator="containsText" text="P">
      <formula>NOT(ISERROR(SEARCH("P",N39)))</formula>
    </cfRule>
    <cfRule type="containsText" dxfId="2689" priority="2532" operator="containsText" text="K">
      <formula>NOT(ISERROR(SEARCH("K",N39)))</formula>
    </cfRule>
  </conditionalFormatting>
  <conditionalFormatting sqref="N40 U40">
    <cfRule type="containsText" dxfId="2688" priority="2528" operator="containsText" text="P">
      <formula>NOT(ISERROR(SEARCH("P",N40)))</formula>
    </cfRule>
    <cfRule type="containsText" dxfId="2687" priority="2529" operator="containsText" text="K">
      <formula>NOT(ISERROR(SEARCH("K",N40)))</formula>
    </cfRule>
  </conditionalFormatting>
  <conditionalFormatting sqref="N40 U40:W40 H40:K40 F40">
    <cfRule type="expression" dxfId="2686" priority="2527" stopIfTrue="1">
      <formula>IF(WEEKDAY(F$8)=1,TRUE,FALSE)</formula>
    </cfRule>
  </conditionalFormatting>
  <conditionalFormatting sqref="N41">
    <cfRule type="expression" dxfId="2685" priority="2507" stopIfTrue="1">
      <formula>IF(WEEKDAY(N$8)=1,TRUE,FALSE)</formula>
    </cfRule>
    <cfRule type="containsText" dxfId="2684" priority="2508" operator="containsText" text="P">
      <formula>NOT(ISERROR(SEARCH("P",N41)))</formula>
    </cfRule>
    <cfRule type="containsText" dxfId="2683" priority="2509" operator="containsText" text="K">
      <formula>NOT(ISERROR(SEARCH("K",N41)))</formula>
    </cfRule>
    <cfRule type="expression" dxfId="2682" priority="2510" stopIfTrue="1">
      <formula>IF(WEEKDAY(N$8)=1,TRUE,FALSE)</formula>
    </cfRule>
    <cfRule type="containsText" dxfId="2681" priority="2511" operator="containsText" text="P">
      <formula>NOT(ISERROR(SEARCH("P",N41)))</formula>
    </cfRule>
    <cfRule type="containsText" dxfId="2680" priority="2512" operator="containsText" text="K">
      <formula>NOT(ISERROR(SEARCH("K",N41)))</formula>
    </cfRule>
    <cfRule type="expression" dxfId="2679" priority="2513" stopIfTrue="1">
      <formula>IF(WEEKDAY(N$8)=1,TRUE,FALSE)</formula>
    </cfRule>
    <cfRule type="containsText" dxfId="2678" priority="2514" operator="containsText" text="P">
      <formula>NOT(ISERROR(SEARCH("P",N41)))</formula>
    </cfRule>
    <cfRule type="containsText" dxfId="2677" priority="2515" operator="containsText" text="K">
      <formula>NOT(ISERROR(SEARCH("K",N41)))</formula>
    </cfRule>
    <cfRule type="containsText" dxfId="2676" priority="2516" operator="containsText" text="P">
      <formula>NOT(ISERROR(SEARCH("P",N41)))</formula>
    </cfRule>
    <cfRule type="containsText" dxfId="2675" priority="2517" operator="containsText" text="K">
      <formula>NOT(ISERROR(SEARCH("K",N41)))</formula>
    </cfRule>
    <cfRule type="expression" dxfId="2674" priority="2518" stopIfTrue="1">
      <formula>IF(WEEKDAY(N$8)=1,TRUE,FALSE)</formula>
    </cfRule>
    <cfRule type="containsText" dxfId="2673" priority="2519" operator="containsText" text="P">
      <formula>NOT(ISERROR(SEARCH("P",N41)))</formula>
    </cfRule>
    <cfRule type="containsText" dxfId="2672" priority="2520" operator="containsText" text="K">
      <formula>NOT(ISERROR(SEARCH("K",N41)))</formula>
    </cfRule>
    <cfRule type="expression" dxfId="2671" priority="2521" stopIfTrue="1">
      <formula>IF(WEEKDAY(N$8)=1,TRUE,FALSE)</formula>
    </cfRule>
    <cfRule type="containsText" dxfId="2670" priority="2522" operator="containsText" text="P">
      <formula>NOT(ISERROR(SEARCH("P",N41)))</formula>
    </cfRule>
    <cfRule type="containsText" dxfId="2669" priority="2523" operator="containsText" text="K">
      <formula>NOT(ISERROR(SEARCH("K",N41)))</formula>
    </cfRule>
    <cfRule type="expression" dxfId="2668" priority="2524" stopIfTrue="1">
      <formula>IF(WEEKDAY(N$8)=1,TRUE,FALSE)</formula>
    </cfRule>
    <cfRule type="containsText" dxfId="2667" priority="2525" operator="containsText" text="P">
      <formula>NOT(ISERROR(SEARCH("P",N41)))</formula>
    </cfRule>
    <cfRule type="containsText" dxfId="2666" priority="2526" operator="containsText" text="K">
      <formula>NOT(ISERROR(SEARCH("K",N41)))</formula>
    </cfRule>
  </conditionalFormatting>
  <conditionalFormatting sqref="N44:N47 G44:G46">
    <cfRule type="expression" dxfId="2665" priority="2506" stopIfTrue="1">
      <formula>IF(WEEKDAY(G$8)=1,TRUE,FALSE)</formula>
    </cfRule>
  </conditionalFormatting>
  <conditionalFormatting sqref="N44:N47">
    <cfRule type="containsText" dxfId="2664" priority="2505" operator="containsText" text="P">
      <formula>NOT(ISERROR(SEARCH("P",N44)))</formula>
    </cfRule>
  </conditionalFormatting>
  <conditionalFormatting sqref="N45:N46">
    <cfRule type="containsText" dxfId="2663" priority="2504" operator="containsText" text="K">
      <formula>NOT(ISERROR(SEARCH("K",N45)))</formula>
    </cfRule>
  </conditionalFormatting>
  <conditionalFormatting sqref="N53">
    <cfRule type="expression" dxfId="2662" priority="2502" stopIfTrue="1">
      <formula>IF(WEEKDAY(N$8)=1,TRUE,FALSE)</formula>
    </cfRule>
    <cfRule type="containsText" dxfId="2661" priority="2503" operator="containsText" text="P">
      <formula>NOT(ISERROR(SEARCH("P",N53)))</formula>
    </cfRule>
  </conditionalFormatting>
  <conditionalFormatting sqref="N91">
    <cfRule type="containsText" dxfId="2660" priority="2500" operator="containsText" text="P">
      <formula>NOT(ISERROR(SEARCH("P",N91)))</formula>
    </cfRule>
    <cfRule type="containsText" dxfId="2659" priority="2501" operator="containsText" text="P">
      <formula>NOT(ISERROR(SEARCH("P",N91)))</formula>
    </cfRule>
  </conditionalFormatting>
  <conditionalFormatting sqref="N101">
    <cfRule type="containsText" dxfId="2658" priority="2496" operator="containsText" text="P">
      <formula>NOT(ISERROR(SEARCH("P",N101)))</formula>
    </cfRule>
    <cfRule type="expression" dxfId="2657" priority="2497" stopIfTrue="1">
      <formula>IF(WEEKDAY(N$8)=1,TRUE,FALSE)</formula>
    </cfRule>
    <cfRule type="containsText" dxfId="2656" priority="2498" operator="containsText" text="P">
      <formula>NOT(ISERROR(SEARCH("P",N101)))</formula>
    </cfRule>
    <cfRule type="containsText" dxfId="2655" priority="2499" operator="containsText" text="K">
      <formula>NOT(ISERROR(SEARCH("K",N101)))</formula>
    </cfRule>
  </conditionalFormatting>
  <conditionalFormatting sqref="N151">
    <cfRule type="expression" dxfId="2654" priority="2494" stopIfTrue="1">
      <formula>IF(WEEKDAY(N$8)=1,TRUE,FALSE)</formula>
    </cfRule>
    <cfRule type="containsText" dxfId="2653" priority="2495" operator="containsText" text="P">
      <formula>NOT(ISERROR(SEARCH("P",N151)))</formula>
    </cfRule>
  </conditionalFormatting>
  <conditionalFormatting sqref="N164">
    <cfRule type="expression" dxfId="2652" priority="2492" stopIfTrue="1">
      <formula>IF(WEEKDAY(N$8)=1,TRUE,FALSE)</formula>
    </cfRule>
    <cfRule type="containsText" dxfId="2651" priority="2493" operator="containsText" text="P">
      <formula>NOT(ISERROR(SEARCH("P",N164)))</formula>
    </cfRule>
  </conditionalFormatting>
  <conditionalFormatting sqref="N172">
    <cfRule type="containsText" dxfId="2650" priority="2491" operator="containsText" text="P">
      <formula>NOT(ISERROR(SEARCH("P",N172)))</formula>
    </cfRule>
  </conditionalFormatting>
  <conditionalFormatting sqref="N58:O58">
    <cfRule type="containsText" dxfId="2649" priority="2485" operator="containsText" text="K">
      <formula>NOT(ISERROR(SEARCH("K",N58)))</formula>
    </cfRule>
    <cfRule type="expression" dxfId="2648" priority="2486" stopIfTrue="1">
      <formula>IF(WEEKDAY(N$8)=1,TRUE,FALSE)</formula>
    </cfRule>
    <cfRule type="containsText" dxfId="2647" priority="2487" operator="containsText" text="P">
      <formula>NOT(ISERROR(SEARCH("P",N58)))</formula>
    </cfRule>
    <cfRule type="expression" dxfId="2646" priority="2488" stopIfTrue="1">
      <formula>IF(WEEKDAY(N$8)=1,TRUE,FALSE)</formula>
    </cfRule>
    <cfRule type="containsText" dxfId="2645" priority="2489" operator="containsText" text="P">
      <formula>NOT(ISERROR(SEARCH("P",N58)))</formula>
    </cfRule>
    <cfRule type="containsText" dxfId="2644" priority="2490" operator="containsText" text="K">
      <formula>NOT(ISERROR(SEARCH("K",N58)))</formula>
    </cfRule>
  </conditionalFormatting>
  <conditionalFormatting sqref="N97:O97">
    <cfRule type="expression" dxfId="2643" priority="2482" stopIfTrue="1">
      <formula>IF(WEEKDAY(N$8)=1,TRUE,FALSE)</formula>
    </cfRule>
    <cfRule type="containsText" dxfId="2642" priority="2483" operator="containsText" text="P">
      <formula>NOT(ISERROR(SEARCH("P",N97)))</formula>
    </cfRule>
    <cfRule type="containsText" dxfId="2641" priority="2484" operator="containsText" text="K">
      <formula>NOT(ISERROR(SEARCH("K",N97)))</formula>
    </cfRule>
  </conditionalFormatting>
  <conditionalFormatting sqref="N102:O102">
    <cfRule type="expression" dxfId="2640" priority="2481" stopIfTrue="1">
      <formula>IF(WEEKDAY(N$8)=1,TRUE,FALSE)</formula>
    </cfRule>
  </conditionalFormatting>
  <conditionalFormatting sqref="N164:O164">
    <cfRule type="expression" dxfId="2639" priority="2478" stopIfTrue="1">
      <formula>IF(WEEKDAY(N$8)=1,TRUE,FALSE)</formula>
    </cfRule>
    <cfRule type="containsText" dxfId="2638" priority="2479" operator="containsText" text="P">
      <formula>NOT(ISERROR(SEARCH("P",N164)))</formula>
    </cfRule>
    <cfRule type="containsText" dxfId="2637" priority="2480" operator="containsText" text="K">
      <formula>NOT(ISERROR(SEARCH("K",N164)))</formula>
    </cfRule>
  </conditionalFormatting>
  <conditionalFormatting sqref="N172:O172">
    <cfRule type="expression" dxfId="2636" priority="2475" stopIfTrue="1">
      <formula>IF(WEEKDAY(N$8)=1,TRUE,FALSE)</formula>
    </cfRule>
    <cfRule type="containsText" dxfId="2635" priority="2476" operator="containsText" text="P">
      <formula>NOT(ISERROR(SEARCH("P",N172)))</formula>
    </cfRule>
    <cfRule type="containsText" dxfId="2634" priority="2477" operator="containsText" text="K">
      <formula>NOT(ISERROR(SEARCH("K",N172)))</formula>
    </cfRule>
  </conditionalFormatting>
  <conditionalFormatting sqref="N176:O176">
    <cfRule type="expression" dxfId="2633" priority="2472" stopIfTrue="1">
      <formula>IF(WEEKDAY(N$8)=1,TRUE,FALSE)</formula>
    </cfRule>
    <cfRule type="containsText" dxfId="2632" priority="2473" operator="containsText" text="P">
      <formula>NOT(ISERROR(SEARCH("P",N176)))</formula>
    </cfRule>
    <cfRule type="containsText" dxfId="2631" priority="2474" operator="containsText" text="K">
      <formula>NOT(ISERROR(SEARCH("K",N176)))</formula>
    </cfRule>
  </conditionalFormatting>
  <conditionalFormatting sqref="N225:O226 I225:I227 Q226:S226">
    <cfRule type="containsText" dxfId="2630" priority="2470" operator="containsText" text="P">
      <formula>NOT(ISERROR(SEARCH("P",I225)))</formula>
    </cfRule>
    <cfRule type="containsText" dxfId="2629" priority="2471" operator="containsText" text="K">
      <formula>NOT(ISERROR(SEARCH("K",I225)))</formula>
    </cfRule>
  </conditionalFormatting>
  <conditionalFormatting sqref="N91:P91">
    <cfRule type="expression" dxfId="2628" priority="2469" stopIfTrue="1">
      <formula>IF(WEEKDAY(N$8)=1,TRUE,FALSE)</formula>
    </cfRule>
  </conditionalFormatting>
  <conditionalFormatting sqref="N169:P169 I169">
    <cfRule type="containsText" dxfId="2627" priority="2468" operator="containsText" text="P">
      <formula>NOT(ISERROR(SEARCH("P",I169)))</formula>
    </cfRule>
  </conditionalFormatting>
  <conditionalFormatting sqref="N169:P169 V169:W169">
    <cfRule type="containsText" dxfId="2626" priority="2467" operator="containsText" text="K">
      <formula>NOT(ISERROR(SEARCH("K",N169)))</formula>
    </cfRule>
  </conditionalFormatting>
  <conditionalFormatting sqref="N169:P169">
    <cfRule type="expression" dxfId="2625" priority="2463" stopIfTrue="1">
      <formula>IF(WEEKDAY(N$8)=1,TRUE,FALSE)</formula>
    </cfRule>
    <cfRule type="containsText" dxfId="2624" priority="2464" operator="containsText" text="P">
      <formula>NOT(ISERROR(SEARCH("P",N169)))</formula>
    </cfRule>
    <cfRule type="containsText" dxfId="2623" priority="2465" operator="containsText" text="K">
      <formula>NOT(ISERROR(SEARCH("K",N169)))</formula>
    </cfRule>
    <cfRule type="expression" dxfId="2622" priority="2466" stopIfTrue="1">
      <formula>IF(WEEKDAY(N$8)=1,TRUE,FALSE)</formula>
    </cfRule>
  </conditionalFormatting>
  <conditionalFormatting sqref="N44:R44 T44">
    <cfRule type="expression" dxfId="2621" priority="2462" stopIfTrue="1">
      <formula>IF(WEEKDAY(N$8)=1,TRUE,FALSE)</formula>
    </cfRule>
  </conditionalFormatting>
  <conditionalFormatting sqref="N224:S224 G224:I224">
    <cfRule type="expression" dxfId="2620" priority="2461" stopIfTrue="1">
      <formula>IF(WEEKDAY(G$8)=1,TRUE,FALSE)</formula>
    </cfRule>
  </conditionalFormatting>
  <conditionalFormatting sqref="N224:S224">
    <cfRule type="expression" dxfId="2619" priority="2458" stopIfTrue="1">
      <formula>IF(WEEKDAY(N$8)=1,TRUE,FALSE)</formula>
    </cfRule>
    <cfRule type="containsText" dxfId="2618" priority="2459" operator="containsText" text="P">
      <formula>NOT(ISERROR(SEARCH("P",N224)))</formula>
    </cfRule>
    <cfRule type="containsText" dxfId="2617" priority="2460" operator="containsText" text="K">
      <formula>NOT(ISERROR(SEARCH("K",N224)))</formula>
    </cfRule>
  </conditionalFormatting>
  <conditionalFormatting sqref="N41:T41">
    <cfRule type="expression" dxfId="2616" priority="2455" stopIfTrue="1">
      <formula>IF(WEEKDAY(N$8)=1,TRUE,FALSE)</formula>
    </cfRule>
    <cfRule type="containsText" dxfId="2615" priority="2456" operator="containsText" text="P">
      <formula>NOT(ISERROR(SEARCH("P",N41)))</formula>
    </cfRule>
    <cfRule type="containsText" dxfId="2614" priority="2457" operator="containsText" text="K">
      <formula>NOT(ISERROR(SEARCH("K",N41)))</formula>
    </cfRule>
  </conditionalFormatting>
  <conditionalFormatting sqref="N176:T176">
    <cfRule type="containsText" dxfId="2613" priority="2454" operator="containsText" text="P">
      <formula>NOT(ISERROR(SEARCH("P",N176)))</formula>
    </cfRule>
  </conditionalFormatting>
  <conditionalFormatting sqref="N167:U167 W167:Y167">
    <cfRule type="expression" dxfId="2612" priority="2451" stopIfTrue="1">
      <formula>IF(WEEKDAY(N$8)=1,TRUE,FALSE)</formula>
    </cfRule>
    <cfRule type="containsText" dxfId="2611" priority="2452" operator="containsText" text="P">
      <formula>NOT(ISERROR(SEARCH("P",N167)))</formula>
    </cfRule>
    <cfRule type="containsText" dxfId="2610" priority="2453" operator="containsText" text="K">
      <formula>NOT(ISERROR(SEARCH("K",N167)))</formula>
    </cfRule>
  </conditionalFormatting>
  <conditionalFormatting sqref="O42">
    <cfRule type="expression" dxfId="2609" priority="2442" stopIfTrue="1">
      <formula>IF(WEEKDAY(O$8)=1,TRUE,FALSE)</formula>
    </cfRule>
    <cfRule type="containsText" dxfId="2608" priority="2443" operator="containsText" text="P">
      <formula>NOT(ISERROR(SEARCH("P",O42)))</formula>
    </cfRule>
    <cfRule type="containsText" dxfId="2607" priority="2444" operator="containsText" text="K">
      <formula>NOT(ISERROR(SEARCH("K",O42)))</formula>
    </cfRule>
    <cfRule type="expression" dxfId="2606" priority="2445" stopIfTrue="1">
      <formula>IF(WEEKDAY(O$8)=1,TRUE,FALSE)</formula>
    </cfRule>
    <cfRule type="containsText" dxfId="2605" priority="2446" operator="containsText" text="P">
      <formula>NOT(ISERROR(SEARCH("P",O42)))</formula>
    </cfRule>
    <cfRule type="containsText" dxfId="2604" priority="2447" operator="containsText" text="K">
      <formula>NOT(ISERROR(SEARCH("K",O42)))</formula>
    </cfRule>
    <cfRule type="expression" dxfId="2603" priority="2448" stopIfTrue="1">
      <formula>IF(WEEKDAY(O$8)=1,TRUE,FALSE)</formula>
    </cfRule>
    <cfRule type="containsText" dxfId="2602" priority="2449" operator="containsText" text="P">
      <formula>NOT(ISERROR(SEARCH("P",O42)))</formula>
    </cfRule>
    <cfRule type="containsText" dxfId="2601" priority="2450" operator="containsText" text="K">
      <formula>NOT(ISERROR(SEARCH("K",O42)))</formula>
    </cfRule>
  </conditionalFormatting>
  <conditionalFormatting sqref="O74">
    <cfRule type="containsText" dxfId="2600" priority="2439" operator="containsText" text="P">
      <formula>NOT(ISERROR(SEARCH("P",O74)))</formula>
    </cfRule>
    <cfRule type="expression" dxfId="2599" priority="2440" stopIfTrue="1">
      <formula>IF(WEEKDAY(O$8)=1,TRUE,FALSE)</formula>
    </cfRule>
    <cfRule type="containsText" dxfId="2598" priority="2441" operator="containsText" text="P">
      <formula>NOT(ISERROR(SEARCH("P",O74)))</formula>
    </cfRule>
  </conditionalFormatting>
  <conditionalFormatting sqref="O81">
    <cfRule type="expression" dxfId="2597" priority="2433" stopIfTrue="1">
      <formula>IF(WEEKDAY(O$8)=1,TRUE,FALSE)</formula>
    </cfRule>
    <cfRule type="containsText" dxfId="2596" priority="2434" operator="containsText" text="P">
      <formula>NOT(ISERROR(SEARCH("P",O81)))</formula>
    </cfRule>
    <cfRule type="containsText" dxfId="2595" priority="2435" operator="containsText" text="K">
      <formula>NOT(ISERROR(SEARCH("K",O81)))</formula>
    </cfRule>
    <cfRule type="expression" dxfId="2594" priority="2436" stopIfTrue="1">
      <formula>IF(WEEKDAY(O$8)=1,TRUE,FALSE)</formula>
    </cfRule>
    <cfRule type="containsText" dxfId="2593" priority="2437" operator="containsText" text="P">
      <formula>NOT(ISERROR(SEARCH("P",O81)))</formula>
    </cfRule>
    <cfRule type="containsText" dxfId="2592" priority="2438" operator="containsText" text="K">
      <formula>NOT(ISERROR(SEARCH("K",O81)))</formula>
    </cfRule>
  </conditionalFormatting>
  <conditionalFormatting sqref="O91">
    <cfRule type="containsText" dxfId="2591" priority="2429" operator="containsText" text="P">
      <formula>NOT(ISERROR(SEARCH("P",O91)))</formula>
    </cfRule>
    <cfRule type="expression" dxfId="2590" priority="2430" stopIfTrue="1">
      <formula>IF(WEEKDAY(O$8)=1,TRUE,FALSE)</formula>
    </cfRule>
    <cfRule type="containsText" dxfId="2589" priority="2431" operator="containsText" text="P">
      <formula>NOT(ISERROR(SEARCH("P",O91)))</formula>
    </cfRule>
    <cfRule type="containsText" dxfId="2588" priority="2432" operator="containsText" text="K">
      <formula>NOT(ISERROR(SEARCH("K",O91)))</formula>
    </cfRule>
  </conditionalFormatting>
  <conditionalFormatting sqref="O97">
    <cfRule type="expression" dxfId="2587" priority="2420" stopIfTrue="1">
      <formula>IF(WEEKDAY(O$8)=1,TRUE,FALSE)</formula>
    </cfRule>
    <cfRule type="containsText" dxfId="2586" priority="2421" operator="containsText" text="P">
      <formula>NOT(ISERROR(SEARCH("P",O97)))</formula>
    </cfRule>
    <cfRule type="containsText" dxfId="2585" priority="2422" operator="containsText" text="K">
      <formula>NOT(ISERROR(SEARCH("K",O97)))</formula>
    </cfRule>
    <cfRule type="expression" dxfId="2584" priority="2423" stopIfTrue="1">
      <formula>IF(WEEKDAY(O$8)=1,TRUE,FALSE)</formula>
    </cfRule>
    <cfRule type="containsText" dxfId="2583" priority="2424" operator="containsText" text="P">
      <formula>NOT(ISERROR(SEARCH("P",O97)))</formula>
    </cfRule>
    <cfRule type="containsText" dxfId="2582" priority="2425" operator="containsText" text="K">
      <formula>NOT(ISERROR(SEARCH("K",O97)))</formula>
    </cfRule>
    <cfRule type="expression" dxfId="2581" priority="2426" stopIfTrue="1">
      <formula>IF(WEEKDAY(O$8)=1,TRUE,FALSE)</formula>
    </cfRule>
    <cfRule type="containsText" dxfId="2580" priority="2427" operator="containsText" text="P">
      <formula>NOT(ISERROR(SEARCH("P",O97)))</formula>
    </cfRule>
    <cfRule type="containsText" dxfId="2579" priority="2428" operator="containsText" text="K">
      <formula>NOT(ISERROR(SEARCH("K",O97)))</formula>
    </cfRule>
  </conditionalFormatting>
  <conditionalFormatting sqref="O141 G141:H141">
    <cfRule type="containsText" dxfId="2578" priority="2419" operator="containsText" text="K">
      <formula>NOT(ISERROR(SEARCH("K",G141)))</formula>
    </cfRule>
  </conditionalFormatting>
  <conditionalFormatting sqref="O141 V141:Y141 F142:W142 AF183">
    <cfRule type="expression" dxfId="2577" priority="2417" stopIfTrue="1">
      <formula>IF(WEEKDAY(F$8)=1,TRUE,FALSE)</formula>
    </cfRule>
    <cfRule type="containsText" dxfId="2576" priority="2418" operator="containsText" text="K">
      <formula>NOT(ISERROR(SEARCH("K",F141)))</formula>
    </cfRule>
  </conditionalFormatting>
  <conditionalFormatting sqref="O141 V141:Y141 F142:W142">
    <cfRule type="containsText" dxfId="2575" priority="2415" operator="containsText" text="P">
      <formula>NOT(ISERROR(SEARCH("P",F141)))</formula>
    </cfRule>
    <cfRule type="containsText" dxfId="2574" priority="2416" operator="containsText" text="P">
      <formula>NOT(ISERROR(SEARCH("P",F141)))</formula>
    </cfRule>
  </conditionalFormatting>
  <conditionalFormatting sqref="O141">
    <cfRule type="containsText" dxfId="2573" priority="2414" operator="containsText" text="P">
      <formula>NOT(ISERROR(SEARCH("P",O141)))</formula>
    </cfRule>
  </conditionalFormatting>
  <conditionalFormatting sqref="O151">
    <cfRule type="containsText" dxfId="2572" priority="2413" operator="containsText" text="P">
      <formula>NOT(ISERROR(SEARCH("P",O151)))</formula>
    </cfRule>
  </conditionalFormatting>
  <conditionalFormatting sqref="O159">
    <cfRule type="containsText" dxfId="2571" priority="2409" operator="containsText" text="P">
      <formula>NOT(ISERROR(SEARCH("P",O159)))</formula>
    </cfRule>
    <cfRule type="expression" dxfId="2570" priority="2410" stopIfTrue="1">
      <formula>IF(WEEKDAY(O$8)=1,TRUE,FALSE)</formula>
    </cfRule>
    <cfRule type="containsText" dxfId="2569" priority="2411" operator="containsText" text="P">
      <formula>NOT(ISERROR(SEARCH("P",O159)))</formula>
    </cfRule>
    <cfRule type="expression" dxfId="2568" priority="2412" stopIfTrue="1">
      <formula>IF(WEEKDAY(O$8)=1,TRUE,FALSE)</formula>
    </cfRule>
  </conditionalFormatting>
  <conditionalFormatting sqref="O162 Q162:T162">
    <cfRule type="containsText" dxfId="2567" priority="2407" operator="containsText" text="P">
      <formula>NOT(ISERROR(SEARCH("P",O162)))</formula>
    </cfRule>
    <cfRule type="containsText" dxfId="2566" priority="2408" operator="containsText" text="K">
      <formula>NOT(ISERROR(SEARCH("K",O162)))</formula>
    </cfRule>
  </conditionalFormatting>
  <conditionalFormatting sqref="O162">
    <cfRule type="expression" dxfId="2565" priority="2401" stopIfTrue="1">
      <formula>IF(WEEKDAY(O$8)=1,TRUE,FALSE)</formula>
    </cfRule>
    <cfRule type="containsText" dxfId="2564" priority="2402" operator="containsText" text="P">
      <formula>NOT(ISERROR(SEARCH("P",O162)))</formula>
    </cfRule>
    <cfRule type="containsText" dxfId="2563" priority="2403" operator="containsText" text="K">
      <formula>NOT(ISERROR(SEARCH("K",O162)))</formula>
    </cfRule>
    <cfRule type="expression" dxfId="2562" priority="2404" stopIfTrue="1">
      <formula>IF(WEEKDAY(O$8)=1,TRUE,FALSE)</formula>
    </cfRule>
    <cfRule type="containsText" dxfId="2561" priority="2405" operator="containsText" text="P">
      <formula>NOT(ISERROR(SEARCH("P",O162)))</formula>
    </cfRule>
    <cfRule type="containsText" dxfId="2560" priority="2406" operator="containsText" text="K">
      <formula>NOT(ISERROR(SEARCH("K",O162)))</formula>
    </cfRule>
  </conditionalFormatting>
  <conditionalFormatting sqref="O164">
    <cfRule type="expression" dxfId="2559" priority="2392" stopIfTrue="1">
      <formula>IF(WEEKDAY(O$8)=1,TRUE,FALSE)</formula>
    </cfRule>
    <cfRule type="containsText" dxfId="2558" priority="2393" operator="containsText" text="P">
      <formula>NOT(ISERROR(SEARCH("P",O164)))</formula>
    </cfRule>
    <cfRule type="containsText" dxfId="2557" priority="2394" operator="containsText" text="K">
      <formula>NOT(ISERROR(SEARCH("K",O164)))</formula>
    </cfRule>
    <cfRule type="expression" dxfId="2556" priority="2395" stopIfTrue="1">
      <formula>IF(WEEKDAY(O$8)=1,TRUE,FALSE)</formula>
    </cfRule>
    <cfRule type="containsText" dxfId="2555" priority="2396" operator="containsText" text="P">
      <formula>NOT(ISERROR(SEARCH("P",O164)))</formula>
    </cfRule>
    <cfRule type="containsText" dxfId="2554" priority="2397" operator="containsText" text="K">
      <formula>NOT(ISERROR(SEARCH("K",O164)))</formula>
    </cfRule>
    <cfRule type="expression" dxfId="2553" priority="2398" stopIfTrue="1">
      <formula>IF(WEEKDAY(O$8)=1,TRUE,FALSE)</formula>
    </cfRule>
    <cfRule type="containsText" dxfId="2552" priority="2399" operator="containsText" text="P">
      <formula>NOT(ISERROR(SEARCH("P",O164)))</formula>
    </cfRule>
    <cfRule type="containsText" dxfId="2551" priority="2400" operator="containsText" text="K">
      <formula>NOT(ISERROR(SEARCH("K",O164)))</formula>
    </cfRule>
  </conditionalFormatting>
  <conditionalFormatting sqref="O165">
    <cfRule type="expression" dxfId="2550" priority="2383" stopIfTrue="1">
      <formula>IF(WEEKDAY(O$8)=1,TRUE,FALSE)</formula>
    </cfRule>
    <cfRule type="containsText" dxfId="2549" priority="2384" operator="containsText" text="P">
      <formula>NOT(ISERROR(SEARCH("P",O165)))</formula>
    </cfRule>
    <cfRule type="containsText" dxfId="2548" priority="2385" operator="containsText" text="K">
      <formula>NOT(ISERROR(SEARCH("K",O165)))</formula>
    </cfRule>
    <cfRule type="expression" dxfId="2547" priority="2386" stopIfTrue="1">
      <formula>IF(WEEKDAY(O$8)=1,TRUE,FALSE)</formula>
    </cfRule>
    <cfRule type="containsText" dxfId="2546" priority="2387" operator="containsText" text="P">
      <formula>NOT(ISERROR(SEARCH("P",O165)))</formula>
    </cfRule>
    <cfRule type="containsText" dxfId="2545" priority="2388" operator="containsText" text="K">
      <formula>NOT(ISERROR(SEARCH("K",O165)))</formula>
    </cfRule>
    <cfRule type="expression" dxfId="2544" priority="2389" stopIfTrue="1">
      <formula>IF(WEEKDAY(O$8)=1,TRUE,FALSE)</formula>
    </cfRule>
    <cfRule type="containsText" dxfId="2543" priority="2390" operator="containsText" text="P">
      <formula>NOT(ISERROR(SEARCH("P",O165)))</formula>
    </cfRule>
    <cfRule type="containsText" dxfId="2542" priority="2391" operator="containsText" text="K">
      <formula>NOT(ISERROR(SEARCH("K",O165)))</formula>
    </cfRule>
  </conditionalFormatting>
  <conditionalFormatting sqref="O166">
    <cfRule type="containsText" dxfId="2541" priority="2377" operator="containsText" text="P">
      <formula>NOT(ISERROR(SEARCH("P",O166)))</formula>
    </cfRule>
    <cfRule type="containsText" dxfId="2540" priority="2378" operator="containsText" text="K">
      <formula>NOT(ISERROR(SEARCH("K",O166)))</formula>
    </cfRule>
    <cfRule type="expression" dxfId="2539" priority="2379" stopIfTrue="1">
      <formula>IF(WEEKDAY(O$8)=1,TRUE,FALSE)</formula>
    </cfRule>
    <cfRule type="containsText" dxfId="2538" priority="2380" operator="containsText" text="P">
      <formula>NOT(ISERROR(SEARCH("P",O166)))</formula>
    </cfRule>
    <cfRule type="containsText" dxfId="2537" priority="2381" operator="containsText" text="K">
      <formula>NOT(ISERROR(SEARCH("K",O166)))</formula>
    </cfRule>
    <cfRule type="containsText" dxfId="2536" priority="2382" operator="containsText" text="P">
      <formula>NOT(ISERROR(SEARCH("P",O166)))</formula>
    </cfRule>
  </conditionalFormatting>
  <conditionalFormatting sqref="O167">
    <cfRule type="expression" dxfId="2535" priority="2368" stopIfTrue="1">
      <formula>IF(WEEKDAY(O$8)=1,TRUE,FALSE)</formula>
    </cfRule>
    <cfRule type="containsText" dxfId="2534" priority="2369" operator="containsText" text="P">
      <formula>NOT(ISERROR(SEARCH("P",O167)))</formula>
    </cfRule>
    <cfRule type="containsText" dxfId="2533" priority="2370" operator="containsText" text="K">
      <formula>NOT(ISERROR(SEARCH("K",O167)))</formula>
    </cfRule>
    <cfRule type="expression" dxfId="2532" priority="2371" stopIfTrue="1">
      <formula>IF(WEEKDAY(O$8)=1,TRUE,FALSE)</formula>
    </cfRule>
    <cfRule type="containsText" dxfId="2531" priority="2372" operator="containsText" text="P">
      <formula>NOT(ISERROR(SEARCH("P",O167)))</formula>
    </cfRule>
    <cfRule type="containsText" dxfId="2530" priority="2373" operator="containsText" text="K">
      <formula>NOT(ISERROR(SEARCH("K",O167)))</formula>
    </cfRule>
    <cfRule type="expression" dxfId="2529" priority="2374" stopIfTrue="1">
      <formula>IF(WEEKDAY(O$8)=1,TRUE,FALSE)</formula>
    </cfRule>
    <cfRule type="containsText" dxfId="2528" priority="2375" operator="containsText" text="P">
      <formula>NOT(ISERROR(SEARCH("P",O167)))</formula>
    </cfRule>
    <cfRule type="containsText" dxfId="2527" priority="2376" operator="containsText" text="K">
      <formula>NOT(ISERROR(SEARCH("K",O167)))</formula>
    </cfRule>
  </conditionalFormatting>
  <conditionalFormatting sqref="O168">
    <cfRule type="containsText" dxfId="2526" priority="2361" operator="containsText" text="P">
      <formula>NOT(ISERROR(SEARCH("P",O168)))</formula>
    </cfRule>
    <cfRule type="containsText" dxfId="2525" priority="2362" operator="containsText" text="K">
      <formula>NOT(ISERROR(SEARCH("K",O168)))</formula>
    </cfRule>
    <cfRule type="expression" dxfId="2524" priority="2363" stopIfTrue="1">
      <formula>IF(WEEKDAY(O$8)=1,TRUE,FALSE)</formula>
    </cfRule>
    <cfRule type="containsText" dxfId="2523" priority="2364" operator="containsText" text="P">
      <formula>NOT(ISERROR(SEARCH("P",O168)))</formula>
    </cfRule>
    <cfRule type="containsText" dxfId="2522" priority="2365" operator="containsText" text="K">
      <formula>NOT(ISERROR(SEARCH("K",O168)))</formula>
    </cfRule>
    <cfRule type="containsText" dxfId="2521" priority="2366" operator="containsText" text="P">
      <formula>NOT(ISERROR(SEARCH("P",O168)))</formula>
    </cfRule>
    <cfRule type="expression" dxfId="2520" priority="2367" stopIfTrue="1">
      <formula>IF(WEEKDAY(O$8)=1,TRUE,FALSE)</formula>
    </cfRule>
  </conditionalFormatting>
  <conditionalFormatting sqref="O172">
    <cfRule type="expression" dxfId="2519" priority="2352" stopIfTrue="1">
      <formula>IF(WEEKDAY(O$8)=1,TRUE,FALSE)</formula>
    </cfRule>
    <cfRule type="containsText" dxfId="2518" priority="2353" operator="containsText" text="P">
      <formula>NOT(ISERROR(SEARCH("P",O172)))</formula>
    </cfRule>
    <cfRule type="containsText" dxfId="2517" priority="2354" operator="containsText" text="K">
      <formula>NOT(ISERROR(SEARCH("K",O172)))</formula>
    </cfRule>
    <cfRule type="expression" dxfId="2516" priority="2355" stopIfTrue="1">
      <formula>IF(WEEKDAY(O$8)=1,TRUE,FALSE)</formula>
    </cfRule>
    <cfRule type="containsText" dxfId="2515" priority="2356" operator="containsText" text="P">
      <formula>NOT(ISERROR(SEARCH("P",O172)))</formula>
    </cfRule>
    <cfRule type="containsText" dxfId="2514" priority="2357" operator="containsText" text="K">
      <formula>NOT(ISERROR(SEARCH("K",O172)))</formula>
    </cfRule>
    <cfRule type="expression" dxfId="2513" priority="2358" stopIfTrue="1">
      <formula>IF(WEEKDAY(O$8)=1,TRUE,FALSE)</formula>
    </cfRule>
    <cfRule type="containsText" dxfId="2512" priority="2359" operator="containsText" text="P">
      <formula>NOT(ISERROR(SEARCH("P",O172)))</formula>
    </cfRule>
    <cfRule type="containsText" dxfId="2511" priority="2360" operator="containsText" text="K">
      <formula>NOT(ISERROR(SEARCH("K",O172)))</formula>
    </cfRule>
  </conditionalFormatting>
  <conditionalFormatting sqref="O174:O175">
    <cfRule type="containsText" dxfId="2510" priority="2345" operator="containsText" text="P">
      <formula>NOT(ISERROR(SEARCH("P",O174)))</formula>
    </cfRule>
    <cfRule type="containsText" dxfId="2509" priority="2346" operator="containsText" text="K">
      <formula>NOT(ISERROR(SEARCH("K",O174)))</formula>
    </cfRule>
    <cfRule type="expression" dxfId="2508" priority="2347" stopIfTrue="1">
      <formula>IF(WEEKDAY(O$8)=1,TRUE,FALSE)</formula>
    </cfRule>
    <cfRule type="containsText" dxfId="2507" priority="2348" operator="containsText" text="P">
      <formula>NOT(ISERROR(SEARCH("P",O174)))</formula>
    </cfRule>
    <cfRule type="containsText" dxfId="2506" priority="2349" operator="containsText" text="K">
      <formula>NOT(ISERROR(SEARCH("K",O174)))</formula>
    </cfRule>
    <cfRule type="containsText" dxfId="2505" priority="2350" operator="containsText" text="P">
      <formula>NOT(ISERROR(SEARCH("P",O174)))</formula>
    </cfRule>
    <cfRule type="expression" dxfId="2504" priority="2351" stopIfTrue="1">
      <formula>IF(WEEKDAY(O$8)=1,TRUE,FALSE)</formula>
    </cfRule>
  </conditionalFormatting>
  <conditionalFormatting sqref="O176">
    <cfRule type="expression" dxfId="2503" priority="2339" stopIfTrue="1">
      <formula>IF(WEEKDAY(O$8)=1,TRUE,FALSE)</formula>
    </cfRule>
    <cfRule type="containsText" dxfId="2502" priority="2340" operator="containsText" text="P">
      <formula>NOT(ISERROR(SEARCH("P",O176)))</formula>
    </cfRule>
    <cfRule type="containsText" dxfId="2501" priority="2341" operator="containsText" text="K">
      <formula>NOT(ISERROR(SEARCH("K",O176)))</formula>
    </cfRule>
    <cfRule type="expression" dxfId="2500" priority="2342" stopIfTrue="1">
      <formula>IF(WEEKDAY(O$8)=1,TRUE,FALSE)</formula>
    </cfRule>
    <cfRule type="containsText" dxfId="2499" priority="2343" operator="containsText" text="P">
      <formula>NOT(ISERROR(SEARCH("P",O176)))</formula>
    </cfRule>
    <cfRule type="containsText" dxfId="2498" priority="2344" operator="containsText" text="K">
      <formula>NOT(ISERROR(SEARCH("K",O176)))</formula>
    </cfRule>
  </conditionalFormatting>
  <conditionalFormatting sqref="O176:O177">
    <cfRule type="containsText" dxfId="2497" priority="2337" operator="containsText" text="P">
      <formula>NOT(ISERROR(SEARCH("P",O176)))</formula>
    </cfRule>
    <cfRule type="containsText" dxfId="2496" priority="2338" operator="containsText" text="K">
      <formula>NOT(ISERROR(SEARCH("K",O176)))</formula>
    </cfRule>
  </conditionalFormatting>
  <conditionalFormatting sqref="O177">
    <cfRule type="containsText" dxfId="2495" priority="2332" operator="containsText" text="K">
      <formula>NOT(ISERROR(SEARCH("K",O177)))</formula>
    </cfRule>
    <cfRule type="expression" dxfId="2494" priority="2333" stopIfTrue="1">
      <formula>IF(WEEKDAY(O$8)=1,TRUE,FALSE)</formula>
    </cfRule>
    <cfRule type="containsText" dxfId="2493" priority="2334" operator="containsText" text="P">
      <formula>NOT(ISERROR(SEARCH("P",O177)))</formula>
    </cfRule>
    <cfRule type="containsText" dxfId="2492" priority="2335" operator="containsText" text="K">
      <formula>NOT(ISERROR(SEARCH("K",O177)))</formula>
    </cfRule>
    <cfRule type="expression" dxfId="2491" priority="2336" stopIfTrue="1">
      <formula>IF(WEEKDAY(O$8)=1,TRUE,FALSE)</formula>
    </cfRule>
  </conditionalFormatting>
  <conditionalFormatting sqref="O218:O220">
    <cfRule type="containsText" dxfId="2490" priority="2331" operator="containsText" text="K">
      <formula>NOT(ISERROR(SEARCH("K",O218)))</formula>
    </cfRule>
  </conditionalFormatting>
  <conditionalFormatting sqref="O230">
    <cfRule type="expression" dxfId="2489" priority="2325" stopIfTrue="1">
      <formula>IF(WEEKDAY(O$8)=1,TRUE,FALSE)</formula>
    </cfRule>
    <cfRule type="containsText" dxfId="2488" priority="2326" operator="containsText" text="P">
      <formula>NOT(ISERROR(SEARCH("P",O230)))</formula>
    </cfRule>
    <cfRule type="containsText" dxfId="2487" priority="2327" operator="containsText" text="K">
      <formula>NOT(ISERROR(SEARCH("K",O230)))</formula>
    </cfRule>
    <cfRule type="expression" dxfId="2486" priority="2328" stopIfTrue="1">
      <formula>IF(WEEKDAY(O$8)=1,TRUE,FALSE)</formula>
    </cfRule>
    <cfRule type="containsText" dxfId="2485" priority="2329" operator="containsText" text="K">
      <formula>NOT(ISERROR(SEARCH("K",O230)))</formula>
    </cfRule>
    <cfRule type="containsText" dxfId="2484" priority="2330" operator="containsText" text="P">
      <formula>NOT(ISERROR(SEARCH("P",O230)))</formula>
    </cfRule>
  </conditionalFormatting>
  <conditionalFormatting sqref="O44:P44 R44 T44">
    <cfRule type="containsText" dxfId="2483" priority="2324" operator="containsText" text="K">
      <formula>NOT(ISERROR(SEARCH("K",O44)))</formula>
    </cfRule>
  </conditionalFormatting>
  <conditionalFormatting sqref="O45:P46 R45:R46 K45:K46 V45:Y46 Y44 T45:T46">
    <cfRule type="containsText" dxfId="2482" priority="2323" operator="containsText" text="P">
      <formula>NOT(ISERROR(SEARCH("P",K44)))</formula>
    </cfRule>
  </conditionalFormatting>
  <conditionalFormatting sqref="O45:P46 R45:R46">
    <cfRule type="containsText" dxfId="2481" priority="2322" operator="containsText" text="K">
      <formula>NOT(ISERROR(SEARCH("K",O45)))</formula>
    </cfRule>
  </conditionalFormatting>
  <conditionalFormatting sqref="O44:R44">
    <cfRule type="containsText" dxfId="2480" priority="2321" operator="containsText" text="K">
      <formula>NOT(ISERROR(SEARCH("K",O44)))</formula>
    </cfRule>
  </conditionalFormatting>
  <conditionalFormatting sqref="O45:R46">
    <cfRule type="containsText" dxfId="2479" priority="2320" operator="containsText" text="K">
      <formula>NOT(ISERROR(SEARCH("K",O45)))</formula>
    </cfRule>
  </conditionalFormatting>
  <conditionalFormatting sqref="O165:R165 T165:U165 W165:Y165">
    <cfRule type="expression" dxfId="2478" priority="2317" stopIfTrue="1">
      <formula>IF(WEEKDAY(O$8)=1,TRUE,FALSE)</formula>
    </cfRule>
    <cfRule type="containsText" dxfId="2477" priority="2318" operator="containsText" text="P">
      <formula>NOT(ISERROR(SEARCH("P",O165)))</formula>
    </cfRule>
    <cfRule type="containsText" dxfId="2476" priority="2319" operator="containsText" text="K">
      <formula>NOT(ISERROR(SEARCH("K",O165)))</formula>
    </cfRule>
  </conditionalFormatting>
  <conditionalFormatting sqref="O53:S53 K54:S55 N57:S57 P58:S58 N59:S66 Q98 U53:Y55">
    <cfRule type="containsText" dxfId="2475" priority="2316" operator="containsText" text="K">
      <formula>NOT(ISERROR(SEARCH("K",K53)))</formula>
    </cfRule>
  </conditionalFormatting>
  <conditionalFormatting sqref="O53:S53 K54:S55 Q57:Q66 K98:Y98 U53:Y55 K53:M53 I53:I55">
    <cfRule type="expression" dxfId="2474" priority="2315" stopIfTrue="1">
      <formula>IF(WEEKDAY(I$8)=1,TRUE,FALSE)</formula>
    </cfRule>
  </conditionalFormatting>
  <conditionalFormatting sqref="O53:S53 L54:S55 Q57:Q66 Q98 L53:M53">
    <cfRule type="containsText" dxfId="2473" priority="2314" operator="containsText" text="K">
      <formula>NOT(ISERROR(SEARCH("K",L53)))</formula>
    </cfRule>
  </conditionalFormatting>
  <conditionalFormatting sqref="O80:S80 U80:Y80">
    <cfRule type="containsText" dxfId="2472" priority="2313" operator="containsText" text="P">
      <formula>NOT(ISERROR(SEARCH("P",O80)))</formula>
    </cfRule>
  </conditionalFormatting>
  <conditionalFormatting sqref="O101:S101 U101:Y101 E101:M101">
    <cfRule type="containsText" dxfId="2471" priority="2312" operator="containsText" text="P">
      <formula>NOT(ISERROR(SEARCH("P",E101)))</formula>
    </cfRule>
  </conditionalFormatting>
  <conditionalFormatting sqref="O167:S167">
    <cfRule type="expression" dxfId="2470" priority="2311" stopIfTrue="1">
      <formula>IF(WEEKDAY(O$8)=1,TRUE,FALSE)</formula>
    </cfRule>
  </conditionalFormatting>
  <conditionalFormatting sqref="O14:T15">
    <cfRule type="expression" dxfId="2469" priority="2308" stopIfTrue="1">
      <formula>IF(WEEKDAY(O$8)=1,TRUE,FALSE)</formula>
    </cfRule>
    <cfRule type="containsText" dxfId="2468" priority="2309" operator="containsText" text="K">
      <formula>NOT(ISERROR(SEARCH("K",O14)))</formula>
    </cfRule>
    <cfRule type="containsText" dxfId="2467" priority="2310" operator="containsText" text="P">
      <formula>NOT(ISERROR(SEARCH("P",O14)))</formula>
    </cfRule>
  </conditionalFormatting>
  <conditionalFormatting sqref="O38:T38">
    <cfRule type="expression" dxfId="2466" priority="2305" stopIfTrue="1">
      <formula>IF(WEEKDAY(O$8)=1,TRUE,FALSE)</formula>
    </cfRule>
    <cfRule type="containsText" dxfId="2465" priority="2306" operator="containsText" text="P">
      <formula>NOT(ISERROR(SEARCH("P",O38)))</formula>
    </cfRule>
    <cfRule type="containsText" dxfId="2464" priority="2307" operator="containsText" text="K">
      <formula>NOT(ISERROR(SEARCH("K",O38)))</formula>
    </cfRule>
  </conditionalFormatting>
  <conditionalFormatting sqref="O38:T39">
    <cfRule type="expression" dxfId="2463" priority="2302" stopIfTrue="1">
      <formula>IF(WEEKDAY(O$8)=1,TRUE,FALSE)</formula>
    </cfRule>
    <cfRule type="containsText" dxfId="2462" priority="2303" operator="containsText" text="P">
      <formula>NOT(ISERROR(SEARCH("P",O38)))</formula>
    </cfRule>
    <cfRule type="containsText" dxfId="2461" priority="2304" operator="containsText" text="K">
      <formula>NOT(ISERROR(SEARCH("K",O38)))</formula>
    </cfRule>
  </conditionalFormatting>
  <conditionalFormatting sqref="O39:T39">
    <cfRule type="expression" dxfId="2460" priority="2299" stopIfTrue="1">
      <formula>IF(WEEKDAY(O$8)=1,TRUE,FALSE)</formula>
    </cfRule>
    <cfRule type="containsText" dxfId="2459" priority="2300" operator="containsText" text="P">
      <formula>NOT(ISERROR(SEARCH("P",O39)))</formula>
    </cfRule>
    <cfRule type="containsText" dxfId="2458" priority="2301" operator="containsText" text="K">
      <formula>NOT(ISERROR(SEARCH("K",O39)))</formula>
    </cfRule>
  </conditionalFormatting>
  <conditionalFormatting sqref="O40:T40">
    <cfRule type="containsText" dxfId="2457" priority="2296" operator="containsText" text="P">
      <formula>NOT(ISERROR(SEARCH(("P"),(O40))))</formula>
    </cfRule>
    <cfRule type="containsText" dxfId="2456" priority="2297" operator="containsText" text="K">
      <formula>NOT(ISERROR(SEARCH(("K"),(O40))))</formula>
    </cfRule>
    <cfRule type="expression" dxfId="2455" priority="2298" stopIfTrue="1">
      <formula>IF(WEEKDAY(O$8)=1,TRUE,FALSE)</formula>
    </cfRule>
  </conditionalFormatting>
  <conditionalFormatting sqref="O81:T81">
    <cfRule type="expression" dxfId="2454" priority="2293" stopIfTrue="1">
      <formula>IF(WEEKDAY(O$8)=1,TRUE,FALSE)</formula>
    </cfRule>
    <cfRule type="containsText" dxfId="2453" priority="2294" operator="containsText" text="P">
      <formula>NOT(ISERROR(SEARCH("P",O81)))</formula>
    </cfRule>
    <cfRule type="containsText" dxfId="2452" priority="2295" operator="containsText" text="K">
      <formula>NOT(ISERROR(SEARCH("K",O81)))</formula>
    </cfRule>
  </conditionalFormatting>
  <conditionalFormatting sqref="O97:T97">
    <cfRule type="expression" dxfId="2451" priority="2291" stopIfTrue="1">
      <formula>IF(WEEKDAY(O$8)=1,TRUE,FALSE)</formula>
    </cfRule>
    <cfRule type="containsText" dxfId="2450" priority="2292" operator="containsText" text="P">
      <formula>NOT(ISERROR(SEARCH("P",O97)))</formula>
    </cfRule>
  </conditionalFormatting>
  <conditionalFormatting sqref="O102:T102">
    <cfRule type="containsText" dxfId="2449" priority="2290" operator="containsText" text="P">
      <formula>NOT(ISERROR(SEARCH("P",O102)))</formula>
    </cfRule>
  </conditionalFormatting>
  <conditionalFormatting sqref="O164:T164">
    <cfRule type="expression" dxfId="2448" priority="2287" stopIfTrue="1">
      <formula>IF(WEEKDAY(O$8)=1,TRUE,FALSE)</formula>
    </cfRule>
    <cfRule type="containsText" dxfId="2447" priority="2288" operator="containsText" text="P">
      <formula>NOT(ISERROR(SEARCH("P",O164)))</formula>
    </cfRule>
    <cfRule type="containsText" dxfId="2446" priority="2289" operator="containsText" text="K">
      <formula>NOT(ISERROR(SEARCH("K",O164)))</formula>
    </cfRule>
  </conditionalFormatting>
  <conditionalFormatting sqref="O172:T172 I172:M172">
    <cfRule type="containsText" dxfId="2445" priority="2286" operator="containsText" text="P">
      <formula>NOT(ISERROR(SEARCH("P",I172)))</formula>
    </cfRule>
  </conditionalFormatting>
  <conditionalFormatting sqref="O172:T172">
    <cfRule type="expression" dxfId="2444" priority="2285" stopIfTrue="1">
      <formula>IF(WEEKDAY(O$8)=1,TRUE,FALSE)</formula>
    </cfRule>
  </conditionalFormatting>
  <conditionalFormatting sqref="O176:T177">
    <cfRule type="expression" dxfId="2443" priority="2284" stopIfTrue="1">
      <formula>IF(WEEKDAY(O$8)=1,TRUE,FALSE)</formula>
    </cfRule>
  </conditionalFormatting>
  <conditionalFormatting sqref="O177:T177">
    <cfRule type="expression" dxfId="2442" priority="2280" stopIfTrue="1">
      <formula>IF(WEEKDAY(O$8)=1,TRUE,FALSE)</formula>
    </cfRule>
    <cfRule type="containsText" dxfId="2441" priority="2281" operator="containsText" text="P">
      <formula>NOT(ISERROR(SEARCH("P",O177)))</formula>
    </cfRule>
    <cfRule type="containsText" dxfId="2440" priority="2282" operator="containsText" text="K">
      <formula>NOT(ISERROR(SEARCH("K",O177)))</formula>
    </cfRule>
    <cfRule type="containsText" dxfId="2439" priority="2283" operator="containsText" text="P">
      <formula>NOT(ISERROR(SEARCH("P",O177)))</formula>
    </cfRule>
  </conditionalFormatting>
  <conditionalFormatting sqref="O167:U167 W167:Y167">
    <cfRule type="containsText" dxfId="2438" priority="2278" operator="containsText" text="P">
      <formula>NOT(ISERROR(SEARCH("P",O167)))</formula>
    </cfRule>
    <cfRule type="containsText" dxfId="2437" priority="2279" operator="containsText" text="K">
      <formula>NOT(ISERROR(SEARCH("K",O167)))</formula>
    </cfRule>
  </conditionalFormatting>
  <conditionalFormatting sqref="O219:U219">
    <cfRule type="containsText" dxfId="2436" priority="2277" operator="containsText" text="P">
      <formula>NOT(ISERROR(SEARCH("P",O219)))</formula>
    </cfRule>
  </conditionalFormatting>
  <conditionalFormatting sqref="O25:V25">
    <cfRule type="expression" dxfId="2435" priority="2274" stopIfTrue="1">
      <formula>IF(WEEKDAY(O$8)=1,TRUE,FALSE)</formula>
    </cfRule>
    <cfRule type="containsText" dxfId="2434" priority="2275" operator="containsText" text="K">
      <formula>NOT(ISERROR(SEARCH("K",O25)))</formula>
    </cfRule>
    <cfRule type="containsText" dxfId="2433" priority="2276" operator="containsText" text="P">
      <formula>NOT(ISERROR(SEARCH("P",O25)))</formula>
    </cfRule>
  </conditionalFormatting>
  <conditionalFormatting sqref="O218:V218 X218:Y218 T219:T220 O220:S220 U220:V220">
    <cfRule type="containsText" dxfId="2432" priority="2273" operator="containsText" text="P">
      <formula>NOT(ISERROR(SEARCH("P",O218)))</formula>
    </cfRule>
  </conditionalFormatting>
  <conditionalFormatting sqref="O101:Y101">
    <cfRule type="expression" dxfId="2431" priority="2272" stopIfTrue="1">
      <formula>IF(WEEKDAY(O$8)=1,TRUE,FALSE)</formula>
    </cfRule>
  </conditionalFormatting>
  <conditionalFormatting sqref="P47">
    <cfRule type="containsText" dxfId="2430" priority="2268" operator="containsText" text="K">
      <formula>NOT(ISERROR(SEARCH("K",P47)))</formula>
    </cfRule>
    <cfRule type="expression" dxfId="2429" priority="2269" stopIfTrue="1">
      <formula>IF(WEEKDAY(P$8)=1,TRUE,FALSE)</formula>
    </cfRule>
    <cfRule type="containsText" dxfId="2428" priority="2270" operator="containsText" text="P">
      <formula>NOT(ISERROR(SEARCH("P",P47)))</formula>
    </cfRule>
    <cfRule type="containsText" dxfId="2427" priority="2271" operator="containsText" text="K">
      <formula>NOT(ISERROR(SEARCH("K",P47)))</formula>
    </cfRule>
  </conditionalFormatting>
  <conditionalFormatting sqref="P48 R48:T48">
    <cfRule type="containsText" dxfId="2426" priority="2263" operator="containsText" text="P">
      <formula>NOT(ISERROR(SEARCH("P",P48)))</formula>
    </cfRule>
    <cfRule type="containsText" dxfId="2425" priority="2264" operator="containsText" text="K">
      <formula>NOT(ISERROR(SEARCH("K",P48)))</formula>
    </cfRule>
    <cfRule type="expression" dxfId="2424" priority="2265" stopIfTrue="1">
      <formula>IF(WEEKDAY(P$8)=1,TRUE,FALSE)</formula>
    </cfRule>
    <cfRule type="containsText" dxfId="2423" priority="2266" operator="containsText" text="K">
      <formula>NOT(ISERROR(SEARCH("K",P48)))</formula>
    </cfRule>
    <cfRule type="expression" dxfId="2422" priority="2267" stopIfTrue="1">
      <formula>IF(WEEKDAY(P$8)=1,TRUE,FALSE)</formula>
    </cfRule>
  </conditionalFormatting>
  <conditionalFormatting sqref="P48">
    <cfRule type="containsText" dxfId="2421" priority="2262" operator="containsText" text="K">
      <formula>NOT(ISERROR(SEARCH("K",P48)))</formula>
    </cfRule>
  </conditionalFormatting>
  <conditionalFormatting sqref="P73">
    <cfRule type="containsText" dxfId="2420" priority="2260" operator="containsText" text="K">
      <formula>NOT(ISERROR(SEARCH("K",P73)))</formula>
    </cfRule>
    <cfRule type="expression" dxfId="2419" priority="2261" stopIfTrue="1">
      <formula>IF(WEEKDAY(P$8)=1,TRUE,FALSE)</formula>
    </cfRule>
  </conditionalFormatting>
  <conditionalFormatting sqref="P102 R102:T102">
    <cfRule type="expression" dxfId="2418" priority="2257" stopIfTrue="1">
      <formula>IF(WEEKDAY(P$8)=1,TRUE,FALSE)</formula>
    </cfRule>
    <cfRule type="containsText" dxfId="2417" priority="2258" operator="containsText" text="K">
      <formula>NOT(ISERROR(SEARCH("K",P102)))</formula>
    </cfRule>
    <cfRule type="expression" dxfId="2416" priority="2259" stopIfTrue="1">
      <formula>IF(WEEKDAY(P$8)=1,TRUE,FALSE)</formula>
    </cfRule>
  </conditionalFormatting>
  <conditionalFormatting sqref="P102">
    <cfRule type="containsText" dxfId="2415" priority="2255" operator="containsText" text="P">
      <formula>NOT(ISERROR(SEARCH("P",P102)))</formula>
    </cfRule>
    <cfRule type="containsText" dxfId="2414" priority="2256" operator="containsText" text="K">
      <formula>NOT(ISERROR(SEARCH("K",P102)))</formula>
    </cfRule>
  </conditionalFormatting>
  <conditionalFormatting sqref="P151:P155 K156:O158 K159:N159 K160:O160 E101:M101 O101:S101 U101:Y101 F145:I145 K145:Y145 F100:Y100">
    <cfRule type="expression" dxfId="2413" priority="2254" stopIfTrue="1">
      <formula>IF(WEEKDAY(E$8)=1,TRUE,FALSE)</formula>
    </cfRule>
  </conditionalFormatting>
  <conditionalFormatting sqref="P166 R166:U166">
    <cfRule type="containsText" dxfId="2412" priority="2249" operator="containsText" text="P">
      <formula>NOT(ISERROR(SEARCH("P",P166)))</formula>
    </cfRule>
    <cfRule type="containsText" dxfId="2411" priority="2250" operator="containsText" text="K">
      <formula>NOT(ISERROR(SEARCH("K",P166)))</formula>
    </cfRule>
    <cfRule type="expression" dxfId="2410" priority="2251" stopIfTrue="1">
      <formula>IF(WEEKDAY(P$8)=1,TRUE,FALSE)</formula>
    </cfRule>
    <cfRule type="containsText" dxfId="2409" priority="2252" operator="containsText" text="K">
      <formula>NOT(ISERROR(SEARCH("K",P166)))</formula>
    </cfRule>
    <cfRule type="expression" dxfId="2408" priority="2253" stopIfTrue="1">
      <formula>IF(WEEKDAY(P$8)=1,TRUE,FALSE)</formula>
    </cfRule>
  </conditionalFormatting>
  <conditionalFormatting sqref="P168 R168:U168 M168:N168">
    <cfRule type="containsText" dxfId="2407" priority="2248" operator="containsText" text="P">
      <formula>NOT(ISERROR(SEARCH("P",M168)))</formula>
    </cfRule>
  </conditionalFormatting>
  <conditionalFormatting sqref="P168 R168:U168">
    <cfRule type="containsText" dxfId="2406" priority="2243" operator="containsText" text="P">
      <formula>NOT(ISERROR(SEARCH("P",P168)))</formula>
    </cfRule>
    <cfRule type="containsText" dxfId="2405" priority="2244" operator="containsText" text="K">
      <formula>NOT(ISERROR(SEARCH("K",P168)))</formula>
    </cfRule>
    <cfRule type="expression" dxfId="2404" priority="2245" stopIfTrue="1">
      <formula>IF(WEEKDAY(P$8)=1,TRUE,FALSE)</formula>
    </cfRule>
    <cfRule type="containsText" dxfId="2403" priority="2246" operator="containsText" text="K">
      <formula>NOT(ISERROR(SEARCH("K",P168)))</formula>
    </cfRule>
    <cfRule type="expression" dxfId="2402" priority="2247" stopIfTrue="1">
      <formula>IF(WEEKDAY(P$8)=1,TRUE,FALSE)</formula>
    </cfRule>
  </conditionalFormatting>
  <conditionalFormatting sqref="P170:P171 R170:T171 W170:W171">
    <cfRule type="expression" dxfId="2401" priority="2242" stopIfTrue="1">
      <formula>IF(WEEKDAY(P$8)=1,TRUE,FALSE)</formula>
    </cfRule>
  </conditionalFormatting>
  <conditionalFormatting sqref="P173 R173:U173">
    <cfRule type="containsText" dxfId="2400" priority="2237" operator="containsText" text="P">
      <formula>NOT(ISERROR(SEARCH("P",P173)))</formula>
    </cfRule>
    <cfRule type="containsText" dxfId="2399" priority="2238" operator="containsText" text="K">
      <formula>NOT(ISERROR(SEARCH("K",P173)))</formula>
    </cfRule>
    <cfRule type="expression" dxfId="2398" priority="2239" stopIfTrue="1">
      <formula>IF(WEEKDAY(P$8)=1,TRUE,FALSE)</formula>
    </cfRule>
    <cfRule type="containsText" dxfId="2397" priority="2240" operator="containsText" text="K">
      <formula>NOT(ISERROR(SEARCH("K",P173)))</formula>
    </cfRule>
    <cfRule type="expression" dxfId="2396" priority="2241" stopIfTrue="1">
      <formula>IF(WEEKDAY(P$8)=1,TRUE,FALSE)</formula>
    </cfRule>
  </conditionalFormatting>
  <conditionalFormatting sqref="P174 R174:U174 M174:N175">
    <cfRule type="containsText" dxfId="2395" priority="2236" operator="containsText" text="P">
      <formula>NOT(ISERROR(SEARCH("P",M174)))</formula>
    </cfRule>
  </conditionalFormatting>
  <conditionalFormatting sqref="P174 R174:U174">
    <cfRule type="containsText" dxfId="2394" priority="2231" operator="containsText" text="P">
      <formula>NOT(ISERROR(SEARCH("P",P174)))</formula>
    </cfRule>
    <cfRule type="containsText" dxfId="2393" priority="2232" operator="containsText" text="K">
      <formula>NOT(ISERROR(SEARCH("K",P174)))</formula>
    </cfRule>
    <cfRule type="expression" dxfId="2392" priority="2233" stopIfTrue="1">
      <formula>IF(WEEKDAY(P$8)=1,TRUE,FALSE)</formula>
    </cfRule>
    <cfRule type="containsText" dxfId="2391" priority="2234" operator="containsText" text="K">
      <formula>NOT(ISERROR(SEARCH("K",P174)))</formula>
    </cfRule>
    <cfRule type="expression" dxfId="2390" priority="2235" stopIfTrue="1">
      <formula>IF(WEEKDAY(P$8)=1,TRUE,FALSE)</formula>
    </cfRule>
  </conditionalFormatting>
  <conditionalFormatting sqref="P175 R175:U175 W175">
    <cfRule type="expression" dxfId="2389" priority="2229" stopIfTrue="1">
      <formula>IF(WEEKDAY(P$8)=1,TRUE,FALSE)</formula>
    </cfRule>
    <cfRule type="containsText" dxfId="2388" priority="2230" operator="containsText" text="P">
      <formula>NOT(ISERROR(SEARCH("P",P175)))</formula>
    </cfRule>
  </conditionalFormatting>
  <conditionalFormatting sqref="P175 W175 R175:U175">
    <cfRule type="containsText" dxfId="2387" priority="2228" operator="containsText" text="K">
      <formula>NOT(ISERROR(SEARCH("K",P175)))</formula>
    </cfRule>
  </conditionalFormatting>
  <conditionalFormatting sqref="P175 W175">
    <cfRule type="containsText" dxfId="2386" priority="2226" operator="containsText" text="K">
      <formula>NOT(ISERROR(SEARCH("K",P175)))</formula>
    </cfRule>
    <cfRule type="expression" dxfId="2385" priority="2227" stopIfTrue="1">
      <formula>IF(WEEKDAY(P$8)=1,TRUE,FALSE)</formula>
    </cfRule>
  </conditionalFormatting>
  <conditionalFormatting sqref="P178 R178:T178 W178">
    <cfRule type="expression" dxfId="2384" priority="2225" stopIfTrue="1">
      <formula>IF(WEEKDAY(P$8)=1,TRUE,FALSE)</formula>
    </cfRule>
  </conditionalFormatting>
  <conditionalFormatting sqref="P178 W178 R178:T178">
    <cfRule type="containsText" dxfId="2383" priority="2224" operator="containsText" text="K">
      <formula>NOT(ISERROR(SEARCH("K",P178)))</formula>
    </cfRule>
  </conditionalFormatting>
  <conditionalFormatting sqref="P178 W178">
    <cfRule type="expression" dxfId="2382" priority="2223" stopIfTrue="1">
      <formula>IF(WEEKDAY(P$8)=1,TRUE,FALSE)</formula>
    </cfRule>
  </conditionalFormatting>
  <conditionalFormatting sqref="P178">
    <cfRule type="containsText" dxfId="2381" priority="2221" operator="containsText" text="P">
      <formula>NOT(ISERROR(SEARCH("P",P178)))</formula>
    </cfRule>
    <cfRule type="containsText" dxfId="2380" priority="2222" operator="containsText" text="K">
      <formula>NOT(ISERROR(SEARCH("K",P178)))</formula>
    </cfRule>
  </conditionalFormatting>
  <conditionalFormatting sqref="P225:P229">
    <cfRule type="expression" dxfId="2379" priority="2204" stopIfTrue="1">
      <formula>IF(WEEKDAY(P$8)=1,TRUE,FALSE)</formula>
    </cfRule>
    <cfRule type="containsText" dxfId="2378" priority="2205" operator="containsText" text="P">
      <formula>NOT(ISERROR(SEARCH("P",P225)))</formula>
    </cfRule>
    <cfRule type="containsText" dxfId="2377" priority="2206" operator="containsText" text="K">
      <formula>NOT(ISERROR(SEARCH("K",P225)))</formula>
    </cfRule>
    <cfRule type="expression" dxfId="2376" priority="2207" stopIfTrue="1">
      <formula>IF(WEEKDAY(P$8)=1,TRUE,FALSE)</formula>
    </cfRule>
    <cfRule type="containsText" dxfId="2375" priority="2208" operator="containsText" text="P">
      <formula>NOT(ISERROR(SEARCH("P",P225)))</formula>
    </cfRule>
    <cfRule type="containsText" dxfId="2374" priority="2209" operator="containsText" text="K">
      <formula>NOT(ISERROR(SEARCH("K",P225)))</formula>
    </cfRule>
    <cfRule type="expression" dxfId="2373" priority="2210" stopIfTrue="1">
      <formula>IF(WEEKDAY(N$8)=1,TRUE,FALSE)</formula>
    </cfRule>
    <cfRule type="containsText" dxfId="2372" priority="2211" operator="containsText" text="P">
      <formula>NOT(ISERROR(SEARCH("P",P225)))</formula>
    </cfRule>
    <cfRule type="containsText" dxfId="2371" priority="2212" operator="containsText" text="K">
      <formula>NOT(ISERROR(SEARCH("K",P225)))</formula>
    </cfRule>
    <cfRule type="containsText" dxfId="2370" priority="2213" operator="containsText" text="P">
      <formula>NOT(ISERROR(SEARCH("P",P225)))</formula>
    </cfRule>
    <cfRule type="containsText" dxfId="2369" priority="2214" operator="containsText" text="K">
      <formula>NOT(ISERROR(SEARCH("K",P225)))</formula>
    </cfRule>
    <cfRule type="expression" dxfId="2368" priority="2215" stopIfTrue="1">
      <formula>IF(WEEKDAY(P$8)=1,TRUE,FALSE)</formula>
    </cfRule>
    <cfRule type="containsText" dxfId="2367" priority="2216" operator="containsText" text="P">
      <formula>NOT(ISERROR(SEARCH("P",P225)))</formula>
    </cfRule>
    <cfRule type="containsText" dxfId="2366" priority="2217" operator="containsText" text="K">
      <formula>NOT(ISERROR(SEARCH("K",P225)))</formula>
    </cfRule>
    <cfRule type="expression" dxfId="2365" priority="2218" stopIfTrue="1">
      <formula>IF(WEEKDAY(N$8)=1,TRUE,FALSE)</formula>
    </cfRule>
    <cfRule type="containsText" dxfId="2364" priority="2219" operator="containsText" text="P">
      <formula>NOT(ISERROR(SEARCH("P",P225)))</formula>
    </cfRule>
    <cfRule type="containsText" dxfId="2363" priority="2220" operator="containsText" text="K">
      <formula>NOT(ISERROR(SEARCH("K",P225)))</formula>
    </cfRule>
  </conditionalFormatting>
  <conditionalFormatting sqref="P170:Q171">
    <cfRule type="containsText" dxfId="2362" priority="2203" operator="containsText" text="K">
      <formula>NOT(ISERROR(SEARCH("K",P170)))</formula>
    </cfRule>
  </conditionalFormatting>
  <conditionalFormatting sqref="P175:Q175">
    <cfRule type="containsText" dxfId="2361" priority="2202" operator="containsText" text="P">
      <formula>NOT(ISERROR(SEARCH("P",P175)))</formula>
    </cfRule>
  </conditionalFormatting>
  <conditionalFormatting sqref="P165:R165 T165:U165 W165:Y165">
    <cfRule type="expression" dxfId="2360" priority="2196" stopIfTrue="1">
      <formula>IF(WEEKDAY(P$8)=1,TRUE,FALSE)</formula>
    </cfRule>
    <cfRule type="containsText" dxfId="2359" priority="2197" operator="containsText" text="P">
      <formula>NOT(ISERROR(SEARCH("P",P165)))</formula>
    </cfRule>
    <cfRule type="containsText" dxfId="2358" priority="2198" operator="containsText" text="K">
      <formula>NOT(ISERROR(SEARCH("K",P165)))</formula>
    </cfRule>
    <cfRule type="expression" dxfId="2357" priority="2199" stopIfTrue="1">
      <formula>IF(WEEKDAY(P$8)=1,TRUE,FALSE)</formula>
    </cfRule>
    <cfRule type="containsText" dxfId="2356" priority="2200" operator="containsText" text="P">
      <formula>NOT(ISERROR(SEARCH("P",P165)))</formula>
    </cfRule>
    <cfRule type="containsText" dxfId="2355" priority="2201" operator="containsText" text="K">
      <formula>NOT(ISERROR(SEARCH("K",P165)))</formula>
    </cfRule>
  </conditionalFormatting>
  <conditionalFormatting sqref="P165:R165">
    <cfRule type="expression" dxfId="2354" priority="2193" stopIfTrue="1">
      <formula>IF(WEEKDAY(P$8)=1,TRUE,FALSE)</formula>
    </cfRule>
    <cfRule type="containsText" dxfId="2353" priority="2194" operator="containsText" text="P">
      <formula>NOT(ISERROR(SEARCH("P",P165)))</formula>
    </cfRule>
    <cfRule type="containsText" dxfId="2352" priority="2195" operator="containsText" text="K">
      <formula>NOT(ISERROR(SEARCH("K",P165)))</formula>
    </cfRule>
  </conditionalFormatting>
  <conditionalFormatting sqref="P167:S167">
    <cfRule type="containsText" dxfId="2351" priority="2185" operator="containsText" text="P">
      <formula>NOT(ISERROR(SEARCH("P",P167)))</formula>
    </cfRule>
    <cfRule type="containsText" dxfId="2350" priority="2186" operator="containsText" text="K">
      <formula>NOT(ISERROR(SEARCH("K",P167)))</formula>
    </cfRule>
    <cfRule type="expression" dxfId="2349" priority="2187" stopIfTrue="1">
      <formula>IF(WEEKDAY(P$8)=1,TRUE,FALSE)</formula>
    </cfRule>
    <cfRule type="containsText" dxfId="2348" priority="2188" operator="containsText" text="P">
      <formula>NOT(ISERROR(SEARCH("P",P167)))</formula>
    </cfRule>
    <cfRule type="containsText" dxfId="2347" priority="2189" operator="containsText" text="K">
      <formula>NOT(ISERROR(SEARCH("K",P167)))</formula>
    </cfRule>
    <cfRule type="expression" dxfId="2346" priority="2190" stopIfTrue="1">
      <formula>IF(WEEKDAY(P$8)=1,TRUE,FALSE)</formula>
    </cfRule>
    <cfRule type="containsText" dxfId="2345" priority="2191" operator="containsText" text="P">
      <formula>NOT(ISERROR(SEARCH("P",P167)))</formula>
    </cfRule>
    <cfRule type="containsText" dxfId="2344" priority="2192" operator="containsText" text="K">
      <formula>NOT(ISERROR(SEARCH("K",P167)))</formula>
    </cfRule>
  </conditionalFormatting>
  <conditionalFormatting sqref="P223:S223 U223:Y223 X220:Y221">
    <cfRule type="containsText" dxfId="2343" priority="2184" operator="containsText" text="P">
      <formula>NOT(ISERROR(SEARCH("P",P220)))</formula>
    </cfRule>
  </conditionalFormatting>
  <conditionalFormatting sqref="P224:S224">
    <cfRule type="expression" dxfId="2342" priority="2176" stopIfTrue="1">
      <formula>IF(WEEKDAY(P$8)=1,TRUE,FALSE)</formula>
    </cfRule>
    <cfRule type="containsText" dxfId="2341" priority="2177" operator="containsText" text="P">
      <formula>NOT(ISERROR(SEARCH("P",P224)))</formula>
    </cfRule>
    <cfRule type="containsText" dxfId="2340" priority="2178" operator="containsText" text="K">
      <formula>NOT(ISERROR(SEARCH("K",P224)))</formula>
    </cfRule>
    <cfRule type="containsText" dxfId="2339" priority="2179" operator="containsText" text="P">
      <formula>NOT(ISERROR(SEARCH("P",P224)))</formula>
    </cfRule>
    <cfRule type="containsText" dxfId="2338" priority="2180" operator="containsText" text="K">
      <formula>NOT(ISERROR(SEARCH("K",P224)))</formula>
    </cfRule>
    <cfRule type="expression" dxfId="2337" priority="2181" stopIfTrue="1">
      <formula>IF(WEEKDAY(N$8)=1,TRUE,FALSE)</formula>
    </cfRule>
    <cfRule type="containsText" dxfId="2336" priority="2182" operator="containsText" text="P">
      <formula>NOT(ISERROR(SEARCH("P",P224)))</formula>
    </cfRule>
    <cfRule type="containsText" dxfId="2335" priority="2183" operator="containsText" text="K">
      <formula>NOT(ISERROR(SEARCH("K",P224)))</formula>
    </cfRule>
  </conditionalFormatting>
  <conditionalFormatting sqref="P42:T42">
    <cfRule type="expression" dxfId="2334" priority="2164" stopIfTrue="1">
      <formula>IF(WEEKDAY(P$8)=1,TRUE,FALSE)</formula>
    </cfRule>
    <cfRule type="containsText" dxfId="2333" priority="2165" operator="containsText" text="P">
      <formula>NOT(ISERROR(SEARCH("P",P42)))</formula>
    </cfRule>
    <cfRule type="containsText" dxfId="2332" priority="2166" operator="containsText" text="K">
      <formula>NOT(ISERROR(SEARCH("K",P42)))</formula>
    </cfRule>
    <cfRule type="expression" dxfId="2331" priority="2167" stopIfTrue="1">
      <formula>IF(WEEKDAY(P$8)=1,TRUE,FALSE)</formula>
    </cfRule>
    <cfRule type="containsText" dxfId="2330" priority="2168" operator="containsText" text="P">
      <formula>NOT(ISERROR(SEARCH("P",P42)))</formula>
    </cfRule>
    <cfRule type="containsText" dxfId="2329" priority="2169" operator="containsText" text="K">
      <formula>NOT(ISERROR(SEARCH("K",P42)))</formula>
    </cfRule>
    <cfRule type="expression" dxfId="2328" priority="2170" stopIfTrue="1">
      <formula>IF(WEEKDAY(P$8)=1,TRUE,FALSE)</formula>
    </cfRule>
    <cfRule type="containsText" dxfId="2327" priority="2171" operator="containsText" text="P">
      <formula>NOT(ISERROR(SEARCH("P",P42)))</formula>
    </cfRule>
    <cfRule type="containsText" dxfId="2326" priority="2172" operator="containsText" text="K">
      <formula>NOT(ISERROR(SEARCH("K",P42)))</formula>
    </cfRule>
    <cfRule type="expression" dxfId="2325" priority="2173" stopIfTrue="1">
      <formula>IF(WEEKDAY(P$8)=1,TRUE,FALSE)</formula>
    </cfRule>
    <cfRule type="containsText" dxfId="2324" priority="2174" operator="containsText" text="P">
      <formula>NOT(ISERROR(SEARCH("P",P42)))</formula>
    </cfRule>
    <cfRule type="containsText" dxfId="2323" priority="2175" operator="containsText" text="K">
      <formula>NOT(ISERROR(SEARCH("K",P42)))</formula>
    </cfRule>
  </conditionalFormatting>
  <conditionalFormatting sqref="P81:T81">
    <cfRule type="containsText" dxfId="2322" priority="2156" operator="containsText" text="P">
      <formula>NOT(ISERROR(SEARCH("P",P81)))</formula>
    </cfRule>
    <cfRule type="containsText" dxfId="2321" priority="2157" operator="containsText" text="K">
      <formula>NOT(ISERROR(SEARCH("K",P81)))</formula>
    </cfRule>
    <cfRule type="expression" dxfId="2320" priority="2158" stopIfTrue="1">
      <formula>IF(WEEKDAY(P$8)=1,TRUE,FALSE)</formula>
    </cfRule>
    <cfRule type="containsText" dxfId="2319" priority="2159" operator="containsText" text="P">
      <formula>NOT(ISERROR(SEARCH("P",P81)))</formula>
    </cfRule>
    <cfRule type="containsText" dxfId="2318" priority="2160" operator="containsText" text="K">
      <formula>NOT(ISERROR(SEARCH("K",P81)))</formula>
    </cfRule>
    <cfRule type="expression" dxfId="2317" priority="2161" stopIfTrue="1">
      <formula>IF(WEEKDAY(P$8)=1,TRUE,FALSE)</formula>
    </cfRule>
    <cfRule type="containsText" dxfId="2316" priority="2162" operator="containsText" text="P">
      <formula>NOT(ISERROR(SEARCH("P",P81)))</formula>
    </cfRule>
    <cfRule type="containsText" dxfId="2315" priority="2163" operator="containsText" text="K">
      <formula>NOT(ISERROR(SEARCH("K",P81)))</formula>
    </cfRule>
  </conditionalFormatting>
  <conditionalFormatting sqref="P97:T97">
    <cfRule type="containsText" dxfId="2314" priority="2145" operator="containsText" text="P">
      <formula>NOT(ISERROR(SEARCH("P",P97)))</formula>
    </cfRule>
    <cfRule type="containsText" dxfId="2313" priority="2146" operator="containsText" text="K">
      <formula>NOT(ISERROR(SEARCH("K",P97)))</formula>
    </cfRule>
    <cfRule type="expression" dxfId="2312" priority="2147" stopIfTrue="1">
      <formula>IF(WEEKDAY(P$8)=1,TRUE,FALSE)</formula>
    </cfRule>
    <cfRule type="containsText" dxfId="2311" priority="2148" operator="containsText" text="P">
      <formula>NOT(ISERROR(SEARCH("P",P97)))</formula>
    </cfRule>
    <cfRule type="containsText" dxfId="2310" priority="2149" operator="containsText" text="K">
      <formula>NOT(ISERROR(SEARCH("K",P97)))</formula>
    </cfRule>
    <cfRule type="expression" dxfId="2309" priority="2150" stopIfTrue="1">
      <formula>IF(WEEKDAY(P$8)=1,TRUE,FALSE)</formula>
    </cfRule>
    <cfRule type="containsText" dxfId="2308" priority="2151" operator="containsText" text="P">
      <formula>NOT(ISERROR(SEARCH("P",P97)))</formula>
    </cfRule>
    <cfRule type="containsText" dxfId="2307" priority="2152" operator="containsText" text="K">
      <formula>NOT(ISERROR(SEARCH("K",P97)))</formula>
    </cfRule>
    <cfRule type="expression" dxfId="2306" priority="2153" stopIfTrue="1">
      <formula>IF(WEEKDAY(P$8)=1,TRUE,FALSE)</formula>
    </cfRule>
    <cfRule type="containsText" dxfId="2305" priority="2154" operator="containsText" text="P">
      <formula>NOT(ISERROR(SEARCH("P",P97)))</formula>
    </cfRule>
    <cfRule type="containsText" dxfId="2304" priority="2155" operator="containsText" text="K">
      <formula>NOT(ISERROR(SEARCH("K",P97)))</formula>
    </cfRule>
  </conditionalFormatting>
  <conditionalFormatting sqref="P102:T102">
    <cfRule type="containsText" dxfId="2303" priority="2144" operator="containsText" text="K">
      <formula>NOT(ISERROR(SEARCH("K",P102)))</formula>
    </cfRule>
  </conditionalFormatting>
  <conditionalFormatting sqref="P164:T164">
    <cfRule type="containsText" dxfId="2302" priority="2133" operator="containsText" text="P">
      <formula>NOT(ISERROR(SEARCH("P",P164)))</formula>
    </cfRule>
    <cfRule type="containsText" dxfId="2301" priority="2134" operator="containsText" text="K">
      <formula>NOT(ISERROR(SEARCH("K",P164)))</formula>
    </cfRule>
    <cfRule type="expression" dxfId="2300" priority="2135" stopIfTrue="1">
      <formula>IF(WEEKDAY(P$8)=1,TRUE,FALSE)</formula>
    </cfRule>
    <cfRule type="containsText" dxfId="2299" priority="2136" operator="containsText" text="P">
      <formula>NOT(ISERROR(SEARCH("P",P164)))</formula>
    </cfRule>
    <cfRule type="containsText" dxfId="2298" priority="2137" operator="containsText" text="K">
      <formula>NOT(ISERROR(SEARCH("K",P164)))</formula>
    </cfRule>
    <cfRule type="expression" dxfId="2297" priority="2138" stopIfTrue="1">
      <formula>IF(WEEKDAY(P$8)=1,TRUE,FALSE)</formula>
    </cfRule>
    <cfRule type="containsText" dxfId="2296" priority="2139" operator="containsText" text="P">
      <formula>NOT(ISERROR(SEARCH("P",P164)))</formula>
    </cfRule>
    <cfRule type="containsText" dxfId="2295" priority="2140" operator="containsText" text="K">
      <formula>NOT(ISERROR(SEARCH("K",P164)))</formula>
    </cfRule>
    <cfRule type="expression" dxfId="2294" priority="2141" stopIfTrue="1">
      <formula>IF(WEEKDAY(P$8)=1,TRUE,FALSE)</formula>
    </cfRule>
    <cfRule type="containsText" dxfId="2293" priority="2142" operator="containsText" text="P">
      <formula>NOT(ISERROR(SEARCH("P",P164)))</formula>
    </cfRule>
    <cfRule type="containsText" dxfId="2292" priority="2143" operator="containsText" text="K">
      <formula>NOT(ISERROR(SEARCH("K",P164)))</formula>
    </cfRule>
  </conditionalFormatting>
  <conditionalFormatting sqref="P170:T171">
    <cfRule type="containsText" dxfId="2291" priority="2132" operator="containsText" text="P">
      <formula>NOT(ISERROR(SEARCH("P",P170)))</formula>
    </cfRule>
  </conditionalFormatting>
  <conditionalFormatting sqref="P172:T172">
    <cfRule type="containsText" dxfId="2290" priority="2121" operator="containsText" text="P">
      <formula>NOT(ISERROR(SEARCH("P",P172)))</formula>
    </cfRule>
    <cfRule type="containsText" dxfId="2289" priority="2122" operator="containsText" text="K">
      <formula>NOT(ISERROR(SEARCH("K",P172)))</formula>
    </cfRule>
    <cfRule type="expression" dxfId="2288" priority="2123" stopIfTrue="1">
      <formula>IF(WEEKDAY(P$8)=1,TRUE,FALSE)</formula>
    </cfRule>
    <cfRule type="containsText" dxfId="2287" priority="2124" operator="containsText" text="P">
      <formula>NOT(ISERROR(SEARCH("P",P172)))</formula>
    </cfRule>
    <cfRule type="containsText" dxfId="2286" priority="2125" operator="containsText" text="K">
      <formula>NOT(ISERROR(SEARCH("K",P172)))</formula>
    </cfRule>
    <cfRule type="expression" dxfId="2285" priority="2126" stopIfTrue="1">
      <formula>IF(WEEKDAY(P$8)=1,TRUE,FALSE)</formula>
    </cfRule>
    <cfRule type="containsText" dxfId="2284" priority="2127" operator="containsText" text="P">
      <formula>NOT(ISERROR(SEARCH("P",P172)))</formula>
    </cfRule>
    <cfRule type="containsText" dxfId="2283" priority="2128" operator="containsText" text="K">
      <formula>NOT(ISERROR(SEARCH("K",P172)))</formula>
    </cfRule>
    <cfRule type="expression" dxfId="2282" priority="2129" stopIfTrue="1">
      <formula>IF(WEEKDAY(P$8)=1,TRUE,FALSE)</formula>
    </cfRule>
    <cfRule type="containsText" dxfId="2281" priority="2130" operator="containsText" text="P">
      <formula>NOT(ISERROR(SEARCH("P",P172)))</formula>
    </cfRule>
    <cfRule type="containsText" dxfId="2280" priority="2131" operator="containsText" text="K">
      <formula>NOT(ISERROR(SEARCH("K",P172)))</formula>
    </cfRule>
  </conditionalFormatting>
  <conditionalFormatting sqref="P176:T176">
    <cfRule type="expression" dxfId="2279" priority="2112" stopIfTrue="1">
      <formula>IF(WEEKDAY(P$8)=1,TRUE,FALSE)</formula>
    </cfRule>
    <cfRule type="containsText" dxfId="2278" priority="2113" operator="containsText" text="P">
      <formula>NOT(ISERROR(SEARCH("P",P176)))</formula>
    </cfRule>
    <cfRule type="containsText" dxfId="2277" priority="2114" operator="containsText" text="K">
      <formula>NOT(ISERROR(SEARCH("K",P176)))</formula>
    </cfRule>
    <cfRule type="expression" dxfId="2276" priority="2115" stopIfTrue="1">
      <formula>IF(WEEKDAY(P$8)=1,TRUE,FALSE)</formula>
    </cfRule>
    <cfRule type="containsText" dxfId="2275" priority="2116" operator="containsText" text="P">
      <formula>NOT(ISERROR(SEARCH("P",P176)))</formula>
    </cfRule>
    <cfRule type="containsText" dxfId="2274" priority="2117" operator="containsText" text="K">
      <formula>NOT(ISERROR(SEARCH("K",P176)))</formula>
    </cfRule>
    <cfRule type="expression" dxfId="2273" priority="2118" stopIfTrue="1">
      <formula>IF(WEEKDAY(P$8)=1,TRUE,FALSE)</formula>
    </cfRule>
    <cfRule type="containsText" dxfId="2272" priority="2119" operator="containsText" text="P">
      <formula>NOT(ISERROR(SEARCH("P",P176)))</formula>
    </cfRule>
    <cfRule type="containsText" dxfId="2271" priority="2120" operator="containsText" text="K">
      <formula>NOT(ISERROR(SEARCH("K",P176)))</formula>
    </cfRule>
  </conditionalFormatting>
  <conditionalFormatting sqref="P177:T177">
    <cfRule type="containsText" dxfId="2270" priority="2107" operator="containsText" text="K">
      <formula>NOT(ISERROR(SEARCH("K",P177)))</formula>
    </cfRule>
    <cfRule type="expression" dxfId="2269" priority="2108" stopIfTrue="1">
      <formula>IF(WEEKDAY(P$8)=1,TRUE,FALSE)</formula>
    </cfRule>
    <cfRule type="containsText" dxfId="2268" priority="2109" operator="containsText" text="P">
      <formula>NOT(ISERROR(SEARCH("P",P177)))</formula>
    </cfRule>
    <cfRule type="containsText" dxfId="2267" priority="2110" operator="containsText" text="K">
      <formula>NOT(ISERROR(SEARCH("K",P177)))</formula>
    </cfRule>
    <cfRule type="expression" dxfId="2266" priority="2111" stopIfTrue="1">
      <formula>IF(WEEKDAY(P$8)=1,TRUE,FALSE)</formula>
    </cfRule>
  </conditionalFormatting>
  <conditionalFormatting sqref="P178:T178">
    <cfRule type="containsText" dxfId="2265" priority="2106" operator="containsText" text="K">
      <formula>NOT(ISERROR(SEARCH("K",P178)))</formula>
    </cfRule>
  </conditionalFormatting>
  <conditionalFormatting sqref="P81:U81">
    <cfRule type="expression" dxfId="2264" priority="2105" stopIfTrue="1">
      <formula>IF(WEEKDAY(P$8)=1,TRUE,FALSE)</formula>
    </cfRule>
  </conditionalFormatting>
  <conditionalFormatting sqref="P141:U141">
    <cfRule type="containsText" dxfId="2263" priority="2102" operator="containsText" text="P">
      <formula>NOT(ISERROR(SEARCH(("P"),(P141))))</formula>
    </cfRule>
    <cfRule type="containsText" dxfId="2262" priority="2103" operator="containsText" text="K">
      <formula>NOT(ISERROR(SEARCH(("K"),(P141))))</formula>
    </cfRule>
    <cfRule type="expression" dxfId="2261" priority="2104" stopIfTrue="1">
      <formula>IF(WEEKDAY(P$8)=1,TRUE,FALSE)</formula>
    </cfRule>
  </conditionalFormatting>
  <conditionalFormatting sqref="P164:U164">
    <cfRule type="expression" dxfId="2260" priority="2101" stopIfTrue="1">
      <formula>IF(WEEKDAY(P$8)=1,TRUE,FALSE)</formula>
    </cfRule>
  </conditionalFormatting>
  <conditionalFormatting sqref="P165:U165 W165:Y165">
    <cfRule type="expression" dxfId="2259" priority="2098" stopIfTrue="1">
      <formula>IF(WEEKDAY(P$8)=1,TRUE,FALSE)</formula>
    </cfRule>
    <cfRule type="containsText" dxfId="2258" priority="2099" operator="containsText" text="P">
      <formula>NOT(ISERROR(SEARCH("P",P165)))</formula>
    </cfRule>
    <cfRule type="containsText" dxfId="2257" priority="2100" operator="containsText" text="K">
      <formula>NOT(ISERROR(SEARCH("K",P165)))</formula>
    </cfRule>
  </conditionalFormatting>
  <conditionalFormatting sqref="P166:U166">
    <cfRule type="containsText" dxfId="2256" priority="2097" operator="containsText" text="K">
      <formula>NOT(ISERROR(SEARCH("K",P166)))</formula>
    </cfRule>
  </conditionalFormatting>
  <conditionalFormatting sqref="P167:U167 W167:Y167">
    <cfRule type="expression" dxfId="2255" priority="2096" stopIfTrue="1">
      <formula>IF(WEEKDAY(P$8)=1,TRUE,FALSE)</formula>
    </cfRule>
  </conditionalFormatting>
  <conditionalFormatting sqref="P168:U168 M168:N168">
    <cfRule type="containsText" dxfId="2254" priority="2095" operator="containsText" text="P">
      <formula>NOT(ISERROR(SEARCH("P",M168)))</formula>
    </cfRule>
  </conditionalFormatting>
  <conditionalFormatting sqref="P168:U168">
    <cfRule type="containsText" dxfId="2253" priority="2094" operator="containsText" text="K">
      <formula>NOT(ISERROR(SEARCH("K",P168)))</formula>
    </cfRule>
  </conditionalFormatting>
  <conditionalFormatting sqref="P172:U172 W172:Y172">
    <cfRule type="expression" dxfId="2252" priority="2093" stopIfTrue="1">
      <formula>IF(WEEKDAY(P$8)=1,TRUE,FALSE)</formula>
    </cfRule>
  </conditionalFormatting>
  <conditionalFormatting sqref="P173:U173">
    <cfRule type="containsText" dxfId="2251" priority="2092" operator="containsText" text="K">
      <formula>NOT(ISERROR(SEARCH("K",P173)))</formula>
    </cfRule>
  </conditionalFormatting>
  <conditionalFormatting sqref="P174:U174 M174:N174">
    <cfRule type="containsText" dxfId="2250" priority="2091" operator="containsText" text="P">
      <formula>NOT(ISERROR(SEARCH("P",M174)))</formula>
    </cfRule>
  </conditionalFormatting>
  <conditionalFormatting sqref="P174:U174">
    <cfRule type="containsText" dxfId="2249" priority="2090" operator="containsText" text="K">
      <formula>NOT(ISERROR(SEARCH("K",P174)))</formula>
    </cfRule>
  </conditionalFormatting>
  <conditionalFormatting sqref="P175:U175">
    <cfRule type="containsText" dxfId="2248" priority="2089" operator="containsText" text="K">
      <formula>NOT(ISERROR(SEARCH("K",P175)))</formula>
    </cfRule>
  </conditionalFormatting>
  <conditionalFormatting sqref="P176:U176">
    <cfRule type="expression" dxfId="2247" priority="2088" stopIfTrue="1">
      <formula>IF(WEEKDAY(P$8)=1,TRUE,FALSE)</formula>
    </cfRule>
  </conditionalFormatting>
  <conditionalFormatting sqref="P176:U177">
    <cfRule type="containsText" dxfId="2246" priority="2086" operator="containsText" text="P">
      <formula>NOT(ISERROR(SEARCH("P",P176)))</formula>
    </cfRule>
    <cfRule type="containsText" dxfId="2245" priority="2087" operator="containsText" text="K">
      <formula>NOT(ISERROR(SEARCH("K",P176)))</formula>
    </cfRule>
  </conditionalFormatting>
  <conditionalFormatting sqref="P177:U177">
    <cfRule type="containsText" dxfId="2244" priority="2085" operator="containsText" text="P">
      <formula>NOT(ISERROR(SEARCH("P",P177)))</formula>
    </cfRule>
  </conditionalFormatting>
  <conditionalFormatting sqref="P218:V220 F222:G223 U221:V222 X218:Y218 T221:T223 F218:N219 F220:G220 I220:N220 F221:S221">
    <cfRule type="containsText" dxfId="2243" priority="2084" operator="containsText" text="K">
      <formula>NOT(ISERROR(SEARCH("K",F218)))</formula>
    </cfRule>
  </conditionalFormatting>
  <conditionalFormatting sqref="P97:X97">
    <cfRule type="expression" dxfId="2242" priority="2083" stopIfTrue="1">
      <formula>IF(WEEKDAY(P$8)=1,TRUE,FALSE)</formula>
    </cfRule>
  </conditionalFormatting>
  <conditionalFormatting sqref="P177:Y177">
    <cfRule type="expression" dxfId="2241" priority="2082" stopIfTrue="1">
      <formula>IF(WEEKDAY(P$8)=1,TRUE,FALSE)</formula>
    </cfRule>
  </conditionalFormatting>
  <conditionalFormatting sqref="P230:Y230">
    <cfRule type="expression" dxfId="2240" priority="2079" stopIfTrue="1">
      <formula>IF(WEEKDAY(P$8)=1,TRUE,FALSE)</formula>
    </cfRule>
    <cfRule type="containsText" dxfId="2239" priority="2080" operator="containsText" text="P">
      <formula>NOT(ISERROR(SEARCH("P",P230)))</formula>
    </cfRule>
    <cfRule type="containsText" dxfId="2238" priority="2081" operator="containsText" text="K">
      <formula>NOT(ISERROR(SEARCH("K",P230)))</formula>
    </cfRule>
  </conditionalFormatting>
  <conditionalFormatting sqref="Q45:Q46">
    <cfRule type="containsText" dxfId="2237" priority="2076" operator="containsText" text="P">
      <formula>NOT(ISERROR(SEARCH("P",Q45)))</formula>
    </cfRule>
    <cfRule type="expression" dxfId="2236" priority="2077" stopIfTrue="1">
      <formula>IF(WEEKDAY(Q$8)=1,TRUE,FALSE)</formula>
    </cfRule>
    <cfRule type="containsText" dxfId="2235" priority="2078" operator="containsText" text="P">
      <formula>NOT(ISERROR(SEARCH("P",Q45)))</formula>
    </cfRule>
  </conditionalFormatting>
  <conditionalFormatting sqref="Q45:Q47 Q156:Q160">
    <cfRule type="expression" dxfId="2234" priority="2075" stopIfTrue="1">
      <formula>IF(WEEKDAY(Q$8)=1,TRUE,FALSE)</formula>
    </cfRule>
  </conditionalFormatting>
  <conditionalFormatting sqref="Q45:Q47">
    <cfRule type="containsText" dxfId="2233" priority="2074" operator="containsText" text="K">
      <formula>NOT(ISERROR(SEARCH("K",Q45)))</formula>
    </cfRule>
  </conditionalFormatting>
  <conditionalFormatting sqref="Q47 J47:K47">
    <cfRule type="containsText" dxfId="2232" priority="2073" operator="containsText" text="P">
      <formula>NOT(ISERROR(SEARCH("P",J47)))</formula>
    </cfRule>
  </conditionalFormatting>
  <conditionalFormatting sqref="Q47">
    <cfRule type="expression" dxfId="2231" priority="2072" stopIfTrue="1">
      <formula>IF(WEEKDAY(Q$8)=1,TRUE,FALSE)</formula>
    </cfRule>
  </conditionalFormatting>
  <conditionalFormatting sqref="Q48">
    <cfRule type="expression" dxfId="2230" priority="2065" stopIfTrue="1">
      <formula>IF(WEEKDAY(Q$8)=1,TRUE,FALSE)</formula>
    </cfRule>
    <cfRule type="containsText" dxfId="2229" priority="2066" operator="containsText" text="P">
      <formula>NOT(ISERROR(SEARCH("P",Q48)))</formula>
    </cfRule>
    <cfRule type="containsText" dxfId="2228" priority="2067" operator="containsText" text="K">
      <formula>NOT(ISERROR(SEARCH("K",Q48)))</formula>
    </cfRule>
    <cfRule type="expression" dxfId="2227" priority="2068" stopIfTrue="1">
      <formula>IF(WEEKDAY(Q$8)=1,TRUE,FALSE)</formula>
    </cfRule>
    <cfRule type="containsText" dxfId="2226" priority="2069" operator="containsText" text="P">
      <formula>NOT(ISERROR(SEARCH("P",Q48)))</formula>
    </cfRule>
    <cfRule type="containsText" dxfId="2225" priority="2070" operator="containsText" text="K">
      <formula>NOT(ISERROR(SEARCH("K",Q48)))</formula>
    </cfRule>
    <cfRule type="expression" dxfId="2224" priority="2071" stopIfTrue="1">
      <formula>IF(WEEKDAY(Q$8)=1,TRUE,FALSE)</formula>
    </cfRule>
  </conditionalFormatting>
  <conditionalFormatting sqref="Q53:Q55 Q57:Q66 K98:Y98 AF97:AI98">
    <cfRule type="containsText" dxfId="2223" priority="2064" operator="containsText" text="P">
      <formula>NOT(ISERROR(SEARCH("P",K53)))</formula>
    </cfRule>
  </conditionalFormatting>
  <conditionalFormatting sqref="Q53:Q55 Q57:Q66 Q98">
    <cfRule type="containsText" dxfId="2222" priority="2061" operator="containsText" text="K">
      <formula>NOT(ISERROR(SEARCH("K",Q53)))</formula>
    </cfRule>
    <cfRule type="expression" dxfId="2221" priority="2062" stopIfTrue="1">
      <formula>IF(WEEKDAY(Q$8)=1,TRUE,FALSE)</formula>
    </cfRule>
    <cfRule type="containsText" dxfId="2220" priority="2063" operator="containsText" text="P">
      <formula>NOT(ISERROR(SEARCH("P",Q53)))</formula>
    </cfRule>
  </conditionalFormatting>
  <conditionalFormatting sqref="Q102">
    <cfRule type="expression" dxfId="2219" priority="2055" stopIfTrue="1">
      <formula>IF(WEEKDAY(Q$8)=1,TRUE,FALSE)</formula>
    </cfRule>
    <cfRule type="containsText" dxfId="2218" priority="2056" operator="containsText" text="P">
      <formula>NOT(ISERROR(SEARCH("P",Q102)))</formula>
    </cfRule>
    <cfRule type="containsText" dxfId="2217" priority="2057" operator="containsText" text="K">
      <formula>NOT(ISERROR(SEARCH("K",Q102)))</formula>
    </cfRule>
    <cfRule type="expression" dxfId="2216" priority="2058" stopIfTrue="1">
      <formula>IF(WEEKDAY(Q$8)=1,TRUE,FALSE)</formula>
    </cfRule>
    <cfRule type="containsText" dxfId="2215" priority="2059" operator="containsText" text="K">
      <formula>NOT(ISERROR(SEARCH("K",Q102)))</formula>
    </cfRule>
    <cfRule type="expression" dxfId="2214" priority="2060" stopIfTrue="1">
      <formula>IF(WEEKDAY(Q$8)=1,TRUE,FALSE)</formula>
    </cfRule>
  </conditionalFormatting>
  <conditionalFormatting sqref="Q151">
    <cfRule type="containsText" dxfId="2213" priority="2054" operator="containsText" text="P">
      <formula>NOT(ISERROR(SEARCH("P",Q151)))</formula>
    </cfRule>
  </conditionalFormatting>
  <conditionalFormatting sqref="Q151:Q152">
    <cfRule type="containsText" dxfId="2212" priority="2052" operator="containsText" text="K">
      <formula>NOT(ISERROR(SEARCH("K",Q151)))</formula>
    </cfRule>
    <cfRule type="expression" dxfId="2211" priority="2053" stopIfTrue="1">
      <formula>IF(WEEKDAY(Q$8)=1,TRUE,FALSE)</formula>
    </cfRule>
  </conditionalFormatting>
  <conditionalFormatting sqref="Q152 Q156:Q160">
    <cfRule type="containsText" dxfId="2210" priority="2051" operator="containsText" text="P">
      <formula>NOT(ISERROR(SEARCH("P",Q152)))</formula>
    </cfRule>
  </conditionalFormatting>
  <conditionalFormatting sqref="Q152">
    <cfRule type="containsText" dxfId="2209" priority="2050" operator="containsText" text="P">
      <formula>NOT(ISERROR(SEARCH("P",Q152)))</formula>
    </cfRule>
  </conditionalFormatting>
  <conditionalFormatting sqref="Q166">
    <cfRule type="expression" dxfId="2208" priority="2043" stopIfTrue="1">
      <formula>IF(WEEKDAY(Q$8)=1,TRUE,FALSE)</formula>
    </cfRule>
    <cfRule type="containsText" dxfId="2207" priority="2044" operator="containsText" text="P">
      <formula>NOT(ISERROR(SEARCH("P",Q166)))</formula>
    </cfRule>
    <cfRule type="containsText" dxfId="2206" priority="2045" operator="containsText" text="K">
      <formula>NOT(ISERROR(SEARCH("K",Q166)))</formula>
    </cfRule>
    <cfRule type="expression" dxfId="2205" priority="2046" stopIfTrue="1">
      <formula>IF(WEEKDAY(Q$8)=1,TRUE,FALSE)</formula>
    </cfRule>
    <cfRule type="containsText" dxfId="2204" priority="2047" operator="containsText" text="P">
      <formula>NOT(ISERROR(SEARCH("P",Q166)))</formula>
    </cfRule>
    <cfRule type="containsText" dxfId="2203" priority="2048" operator="containsText" text="K">
      <formula>NOT(ISERROR(SEARCH("K",Q166)))</formula>
    </cfRule>
    <cfRule type="expression" dxfId="2202" priority="2049" stopIfTrue="1">
      <formula>IF(WEEKDAY(Q$8)=1,TRUE,FALSE)</formula>
    </cfRule>
  </conditionalFormatting>
  <conditionalFormatting sqref="Q168">
    <cfRule type="expression" dxfId="2201" priority="2036" stopIfTrue="1">
      <formula>IF(WEEKDAY(Q$8)=1,TRUE,FALSE)</formula>
    </cfRule>
    <cfRule type="containsText" dxfId="2200" priority="2037" operator="containsText" text="P">
      <formula>NOT(ISERROR(SEARCH("P",Q168)))</formula>
    </cfRule>
    <cfRule type="containsText" dxfId="2199" priority="2038" operator="containsText" text="K">
      <formula>NOT(ISERROR(SEARCH("K",Q168)))</formula>
    </cfRule>
    <cfRule type="expression" dxfId="2198" priority="2039" stopIfTrue="1">
      <formula>IF(WEEKDAY(Q$8)=1,TRUE,FALSE)</formula>
    </cfRule>
    <cfRule type="containsText" dxfId="2197" priority="2040" operator="containsText" text="P">
      <formula>NOT(ISERROR(SEARCH("P",Q168)))</formula>
    </cfRule>
    <cfRule type="containsText" dxfId="2196" priority="2041" operator="containsText" text="K">
      <formula>NOT(ISERROR(SEARCH("K",Q168)))</formula>
    </cfRule>
    <cfRule type="expression" dxfId="2195" priority="2042" stopIfTrue="1">
      <formula>IF(WEEKDAY(Q$8)=1,TRUE,FALSE)</formula>
    </cfRule>
  </conditionalFormatting>
  <conditionalFormatting sqref="Q170:Q171">
    <cfRule type="expression" dxfId="2194" priority="2029" stopIfTrue="1">
      <formula>IF(WEEKDAY(Q$8)=1,TRUE,FALSE)</formula>
    </cfRule>
    <cfRule type="containsText" dxfId="2193" priority="2030" operator="containsText" text="P">
      <formula>NOT(ISERROR(SEARCH("P",Q170)))</formula>
    </cfRule>
    <cfRule type="containsText" dxfId="2192" priority="2031" operator="containsText" text="K">
      <formula>NOT(ISERROR(SEARCH("K",Q170)))</formula>
    </cfRule>
    <cfRule type="expression" dxfId="2191" priority="2032" stopIfTrue="1">
      <formula>IF(WEEKDAY(Q$8)=1,TRUE,FALSE)</formula>
    </cfRule>
    <cfRule type="containsText" dxfId="2190" priority="2033" operator="containsText" text="P">
      <formula>NOT(ISERROR(SEARCH("P",Q170)))</formula>
    </cfRule>
    <cfRule type="expression" dxfId="2189" priority="2034" stopIfTrue="1">
      <formula>IF(WEEKDAY(Q$8)=1,TRUE,FALSE)</formula>
    </cfRule>
    <cfRule type="containsText" dxfId="2188" priority="2035" operator="containsText" text="K">
      <formula>NOT(ISERROR(SEARCH("K",Q170)))</formula>
    </cfRule>
  </conditionalFormatting>
  <conditionalFormatting sqref="Q173">
    <cfRule type="containsText" dxfId="2187" priority="2023" operator="containsText" text="P">
      <formula>NOT(ISERROR(SEARCH("P",Q173)))</formula>
    </cfRule>
    <cfRule type="containsText" dxfId="2186" priority="2024" operator="containsText" text="K">
      <formula>NOT(ISERROR(SEARCH("K",Q173)))</formula>
    </cfRule>
    <cfRule type="expression" dxfId="2185" priority="2025" stopIfTrue="1">
      <formula>IF(WEEKDAY(Q$8)=1,TRUE,FALSE)</formula>
    </cfRule>
    <cfRule type="containsText" dxfId="2184" priority="2026" operator="containsText" text="P">
      <formula>NOT(ISERROR(SEARCH("P",Q173)))</formula>
    </cfRule>
    <cfRule type="containsText" dxfId="2183" priority="2027" operator="containsText" text="K">
      <formula>NOT(ISERROR(SEARCH("K",Q173)))</formula>
    </cfRule>
    <cfRule type="expression" dxfId="2182" priority="2028" stopIfTrue="1">
      <formula>IF(WEEKDAY(Q$8)=1,TRUE,FALSE)</formula>
    </cfRule>
  </conditionalFormatting>
  <conditionalFormatting sqref="Q173:Q174">
    <cfRule type="expression" dxfId="2181" priority="2022" stopIfTrue="1">
      <formula>IF(WEEKDAY(Q$8)=1,TRUE,FALSE)</formula>
    </cfRule>
  </conditionalFormatting>
  <conditionalFormatting sqref="Q174">
    <cfRule type="expression" dxfId="2180" priority="2016" stopIfTrue="1">
      <formula>IF(WEEKDAY(Q$8)=1,TRUE,FALSE)</formula>
    </cfRule>
    <cfRule type="containsText" dxfId="2179" priority="2017" operator="containsText" text="P">
      <formula>NOT(ISERROR(SEARCH("P",Q174)))</formula>
    </cfRule>
    <cfRule type="containsText" dxfId="2178" priority="2018" operator="containsText" text="K">
      <formula>NOT(ISERROR(SEARCH("K",Q174)))</formula>
    </cfRule>
    <cfRule type="expression" dxfId="2177" priority="2019" stopIfTrue="1">
      <formula>IF(WEEKDAY(Q$8)=1,TRUE,FALSE)</formula>
    </cfRule>
    <cfRule type="containsText" dxfId="2176" priority="2020" operator="containsText" text="P">
      <formula>NOT(ISERROR(SEARCH("P",Q174)))</formula>
    </cfRule>
    <cfRule type="containsText" dxfId="2175" priority="2021" operator="containsText" text="K">
      <formula>NOT(ISERROR(SEARCH("K",Q174)))</formula>
    </cfRule>
  </conditionalFormatting>
  <conditionalFormatting sqref="Q175">
    <cfRule type="expression" dxfId="2174" priority="2013" stopIfTrue="1">
      <formula>IF(WEEKDAY(Q$8)=1,TRUE,FALSE)</formula>
    </cfRule>
    <cfRule type="containsText" dxfId="2173" priority="2014" operator="containsText" text="K">
      <formula>NOT(ISERROR(SEARCH("K",Q175)))</formula>
    </cfRule>
    <cfRule type="expression" dxfId="2172" priority="2015" stopIfTrue="1">
      <formula>IF(WEEKDAY(Q$8)=1,TRUE,FALSE)</formula>
    </cfRule>
  </conditionalFormatting>
  <conditionalFormatting sqref="Q178">
    <cfRule type="expression" dxfId="2171" priority="2009" stopIfTrue="1">
      <formula>IF(WEEKDAY(Q$8)=1,TRUE,FALSE)</formula>
    </cfRule>
    <cfRule type="containsText" dxfId="2170" priority="2010" operator="containsText" text="P">
      <formula>NOT(ISERROR(SEARCH("P",Q178)))</formula>
    </cfRule>
    <cfRule type="containsText" dxfId="2169" priority="2011" operator="containsText" text="K">
      <formula>NOT(ISERROR(SEARCH("K",Q178)))</formula>
    </cfRule>
    <cfRule type="expression" dxfId="2168" priority="2012" stopIfTrue="1">
      <formula>IF(WEEKDAY(Q$8)=1,TRUE,FALSE)</formula>
    </cfRule>
  </conditionalFormatting>
  <conditionalFormatting sqref="Q153:R153 P154:T155 X154:Y155 T153">
    <cfRule type="containsText" dxfId="2167" priority="2008" operator="containsText" text="K">
      <formula>NOT(ISERROR(SEARCH("K",P153)))</formula>
    </cfRule>
  </conditionalFormatting>
  <conditionalFormatting sqref="Q153:R153 Q154:T155 X154:Y155">
    <cfRule type="containsText" dxfId="2166" priority="2007" operator="containsText" text="P">
      <formula>NOT(ISERROR(SEARCH("P",Q153)))</formula>
    </cfRule>
  </conditionalFormatting>
  <conditionalFormatting sqref="Q153:R153 T153 X154:Y155">
    <cfRule type="expression" dxfId="2165" priority="2006" stopIfTrue="1">
      <formula>IF(WEEKDAY(Q$8)=1,TRUE,FALSE)</formula>
    </cfRule>
  </conditionalFormatting>
  <conditionalFormatting sqref="Q225:S225 G225:I225 N225:O225">
    <cfRule type="expression" dxfId="2164" priority="2005" stopIfTrue="1">
      <formula>IF(WEEKDAY(G$8)=1,TRUE,FALSE)</formula>
    </cfRule>
  </conditionalFormatting>
  <conditionalFormatting sqref="Q225:S225">
    <cfRule type="expression" dxfId="2163" priority="1997" stopIfTrue="1">
      <formula>IF(WEEKDAY(Q$8)=1,TRUE,FALSE)</formula>
    </cfRule>
    <cfRule type="containsText" dxfId="2162" priority="1998" operator="containsText" text="P">
      <formula>NOT(ISERROR(SEARCH("P",Q225)))</formula>
    </cfRule>
    <cfRule type="containsText" dxfId="2161" priority="1999" operator="containsText" text="K">
      <formula>NOT(ISERROR(SEARCH("K",Q225)))</formula>
    </cfRule>
    <cfRule type="expression" dxfId="2160" priority="2000" stopIfTrue="1">
      <formula>IF(WEEKDAY(O$8)=1,TRUE,FALSE)</formula>
    </cfRule>
    <cfRule type="containsText" dxfId="2159" priority="2001" operator="containsText" text="P">
      <formula>NOT(ISERROR(SEARCH("P",Q225)))</formula>
    </cfRule>
    <cfRule type="containsText" dxfId="2158" priority="2002" operator="containsText" text="K">
      <formula>NOT(ISERROR(SEARCH("K",Q225)))</formula>
    </cfRule>
    <cfRule type="containsText" dxfId="2157" priority="2003" operator="containsText" text="P">
      <formula>NOT(ISERROR(SEARCH("P",Q225)))</formula>
    </cfRule>
    <cfRule type="containsText" dxfId="2156" priority="2004" operator="containsText" text="K">
      <formula>NOT(ISERROR(SEARCH("K",Q225)))</formula>
    </cfRule>
  </conditionalFormatting>
  <conditionalFormatting sqref="Q225:S227 G226:I226 N226:O227">
    <cfRule type="expression" dxfId="2155" priority="1994" stopIfTrue="1">
      <formula>IF(WEEKDAY(G$8)=1,TRUE,FALSE)</formula>
    </cfRule>
    <cfRule type="containsText" dxfId="2154" priority="1995" operator="containsText" text="P">
      <formula>NOT(ISERROR(SEARCH("P",G225)))</formula>
    </cfRule>
    <cfRule type="containsText" dxfId="2153" priority="1996" operator="containsText" text="K">
      <formula>NOT(ISERROR(SEARCH("K",G225)))</formula>
    </cfRule>
  </conditionalFormatting>
  <conditionalFormatting sqref="Q226:S226 N225:O226">
    <cfRule type="expression" dxfId="2152" priority="1993" stopIfTrue="1">
      <formula>IF(WEEKDAY(N$8)=1,TRUE,FALSE)</formula>
    </cfRule>
  </conditionalFormatting>
  <conditionalFormatting sqref="Q226:S226 N226:O226 I226">
    <cfRule type="containsText" dxfId="2151" priority="1992" operator="containsText" text="P">
      <formula>NOT(ISERROR(SEARCH("P",I226)))</formula>
    </cfRule>
  </conditionalFormatting>
  <conditionalFormatting sqref="Q226:S226">
    <cfRule type="expression" dxfId="2150" priority="1984" stopIfTrue="1">
      <formula>IF(WEEKDAY(Q$8)=1,TRUE,FALSE)</formula>
    </cfRule>
    <cfRule type="containsText" dxfId="2149" priority="1985" operator="containsText" text="P">
      <formula>NOT(ISERROR(SEARCH("P",Q226)))</formula>
    </cfRule>
    <cfRule type="containsText" dxfId="2148" priority="1986" operator="containsText" text="K">
      <formula>NOT(ISERROR(SEARCH("K",Q226)))</formula>
    </cfRule>
    <cfRule type="containsText" dxfId="2147" priority="1987" operator="containsText" text="P">
      <formula>NOT(ISERROR(SEARCH("P",Q226)))</formula>
    </cfRule>
    <cfRule type="containsText" dxfId="2146" priority="1988" operator="containsText" text="K">
      <formula>NOT(ISERROR(SEARCH("K",Q226)))</formula>
    </cfRule>
    <cfRule type="expression" dxfId="2145" priority="1989" stopIfTrue="1">
      <formula>IF(WEEKDAY(O$8)=1,TRUE,FALSE)</formula>
    </cfRule>
    <cfRule type="containsText" dxfId="2144" priority="1990" operator="containsText" text="P">
      <formula>NOT(ISERROR(SEARCH("P",Q226)))</formula>
    </cfRule>
    <cfRule type="containsText" dxfId="2143" priority="1991" operator="containsText" text="K">
      <formula>NOT(ISERROR(SEARCH("K",Q226)))</formula>
    </cfRule>
  </conditionalFormatting>
  <conditionalFormatting sqref="Q227:S227">
    <cfRule type="expression" dxfId="2142" priority="1976" stopIfTrue="1">
      <formula>IF(WEEKDAY(Q$8)=1,TRUE,FALSE)</formula>
    </cfRule>
    <cfRule type="containsText" dxfId="2141" priority="1977" operator="containsText" text="P">
      <formula>NOT(ISERROR(SEARCH("P",Q227)))</formula>
    </cfRule>
    <cfRule type="containsText" dxfId="2140" priority="1978" operator="containsText" text="K">
      <formula>NOT(ISERROR(SEARCH("K",Q227)))</formula>
    </cfRule>
    <cfRule type="expression" dxfId="2139" priority="1979" stopIfTrue="1">
      <formula>IF(WEEKDAY(O$8)=1,TRUE,FALSE)</formula>
    </cfRule>
    <cfRule type="containsText" dxfId="2138" priority="1980" operator="containsText" text="P">
      <formula>NOT(ISERROR(SEARCH("P",Q227)))</formula>
    </cfRule>
    <cfRule type="containsText" dxfId="2137" priority="1981" operator="containsText" text="K">
      <formula>NOT(ISERROR(SEARCH("K",Q227)))</formula>
    </cfRule>
    <cfRule type="containsText" dxfId="2136" priority="1982" operator="containsText" text="P">
      <formula>NOT(ISERROR(SEARCH("P",Q227)))</formula>
    </cfRule>
    <cfRule type="containsText" dxfId="2135" priority="1983" operator="containsText" text="K">
      <formula>NOT(ISERROR(SEARCH("K",Q227)))</formula>
    </cfRule>
  </conditionalFormatting>
  <conditionalFormatting sqref="Q227:S229 N227:O227 G227:I227 K227:L227">
    <cfRule type="expression" dxfId="2134" priority="1975" stopIfTrue="1">
      <formula>IF(WEEKDAY(G$8)=1,TRUE,FALSE)</formula>
    </cfRule>
  </conditionalFormatting>
  <conditionalFormatting sqref="Q228:S228 G228:I228 N228:O228">
    <cfRule type="expression" dxfId="2133" priority="1974" stopIfTrue="1">
      <formula>IF(WEEKDAY(G$8)=1,TRUE,FALSE)</formula>
    </cfRule>
  </conditionalFormatting>
  <conditionalFormatting sqref="Q228:S228">
    <cfRule type="containsText" dxfId="2132" priority="1972" operator="containsText" text="P">
      <formula>NOT(ISERROR(SEARCH("P",Q228)))</formula>
    </cfRule>
    <cfRule type="containsText" dxfId="2131" priority="1973" operator="containsText" text="K">
      <formula>NOT(ISERROR(SEARCH("K",Q228)))</formula>
    </cfRule>
  </conditionalFormatting>
  <conditionalFormatting sqref="Q228:S229 G229:I229 N229:O229 K224:L229">
    <cfRule type="containsText" dxfId="2130" priority="1971" operator="containsText" text="P">
      <formula>NOT(ISERROR(SEARCH("P",G224)))</formula>
    </cfRule>
  </conditionalFormatting>
  <conditionalFormatting sqref="Q228:S229 G229:I229 N229:O229">
    <cfRule type="expression" dxfId="2129" priority="1970" stopIfTrue="1">
      <formula>IF(WEEKDAY(G$8)=1,TRUE,FALSE)</formula>
    </cfRule>
  </conditionalFormatting>
  <conditionalFormatting sqref="Q228:S229 I229 N229:O229">
    <cfRule type="expression" dxfId="2128" priority="1969" stopIfTrue="1">
      <formula>IF(WEEKDAY(G$8)=1,TRUE,FALSE)</formula>
    </cfRule>
  </conditionalFormatting>
  <conditionalFormatting sqref="Q228:S229">
    <cfRule type="containsText" dxfId="2127" priority="1967" operator="containsText" text="P">
      <formula>NOT(ISERROR(SEARCH("P",Q228)))</formula>
    </cfRule>
    <cfRule type="containsText" dxfId="2126" priority="1968" operator="containsText" text="K">
      <formula>NOT(ISERROR(SEARCH("K",Q228)))</formula>
    </cfRule>
  </conditionalFormatting>
  <conditionalFormatting sqref="Q229:S229 N229:O229 I229">
    <cfRule type="containsText" dxfId="2125" priority="1966" operator="containsText" text="P">
      <formula>NOT(ISERROR(SEARCH("P",I229)))</formula>
    </cfRule>
  </conditionalFormatting>
  <conditionalFormatting sqref="Q229:S229">
    <cfRule type="containsText" dxfId="2124" priority="1960" operator="containsText" text="P">
      <formula>NOT(ISERROR(SEARCH("P",Q229)))</formula>
    </cfRule>
    <cfRule type="containsText" dxfId="2123" priority="1961" operator="containsText" text="K">
      <formula>NOT(ISERROR(SEARCH("K",Q229)))</formula>
    </cfRule>
    <cfRule type="expression" dxfId="2122" priority="1962" stopIfTrue="1">
      <formula>IF(WEEKDAY(Q$8)=1,TRUE,FALSE)</formula>
    </cfRule>
    <cfRule type="expression" dxfId="2121" priority="1963" stopIfTrue="1">
      <formula>IF(WEEKDAY(O$8)=1,TRUE,FALSE)</formula>
    </cfRule>
    <cfRule type="containsText" dxfId="2120" priority="1964" operator="containsText" text="P">
      <formula>NOT(ISERROR(SEARCH("P",Q229)))</formula>
    </cfRule>
    <cfRule type="containsText" dxfId="2119" priority="1965" operator="containsText" text="K">
      <formula>NOT(ISERROR(SEARCH("K",Q229)))</formula>
    </cfRule>
  </conditionalFormatting>
  <conditionalFormatting sqref="Q48:T48">
    <cfRule type="containsText" dxfId="2118" priority="1958" operator="containsText" text="P">
      <formula>NOT(ISERROR(SEARCH("P",Q48)))</formula>
    </cfRule>
    <cfRule type="containsText" dxfId="2117" priority="1959" operator="containsText" text="K">
      <formula>NOT(ISERROR(SEARCH("K",Q48)))</formula>
    </cfRule>
  </conditionalFormatting>
  <conditionalFormatting sqref="Q102:T102">
    <cfRule type="containsText" dxfId="2116" priority="1957" operator="containsText" text="P">
      <formula>NOT(ISERROR(SEARCH("P",Q102)))</formula>
    </cfRule>
  </conditionalFormatting>
  <conditionalFormatting sqref="Q152:T152 Q156:Y160">
    <cfRule type="containsText" dxfId="2115" priority="1956" operator="containsText" text="K">
      <formula>NOT(ISERROR(SEARCH("K",Q152)))</formula>
    </cfRule>
  </conditionalFormatting>
  <conditionalFormatting sqref="Q153:T153 L153:O153">
    <cfRule type="containsText" dxfId="2114" priority="1955" operator="containsText" text="K">
      <formula>NOT(ISERROR(SEARCH("K",L153)))</formula>
    </cfRule>
  </conditionalFormatting>
  <conditionalFormatting sqref="Q153:T153">
    <cfRule type="containsText" dxfId="2113" priority="1954" operator="containsText" text="P">
      <formula>NOT(ISERROR(SEARCH("P",Q153)))</formula>
    </cfRule>
  </conditionalFormatting>
  <conditionalFormatting sqref="Q153:T155">
    <cfRule type="expression" dxfId="2112" priority="1952" stopIfTrue="1">
      <formula>IF(WEEKDAY(Q$8)=1,TRUE,FALSE)</formula>
    </cfRule>
    <cfRule type="containsText" dxfId="2111" priority="1953" operator="containsText" text="K">
      <formula>NOT(ISERROR(SEARCH("K",Q153)))</formula>
    </cfRule>
  </conditionalFormatting>
  <conditionalFormatting sqref="Q162:T162 O162">
    <cfRule type="expression" dxfId="2110" priority="1951" stopIfTrue="1">
      <formula>IF(WEEKDAY(O$8)=1,TRUE,FALSE)</formula>
    </cfRule>
  </conditionalFormatting>
  <conditionalFormatting sqref="Q162:T162">
    <cfRule type="containsText" dxfId="2109" priority="1943" operator="containsText" text="P">
      <formula>NOT(ISERROR(SEARCH("P",Q162)))</formula>
    </cfRule>
    <cfRule type="containsText" dxfId="2108" priority="1944" operator="containsText" text="K">
      <formula>NOT(ISERROR(SEARCH("K",Q162)))</formula>
    </cfRule>
    <cfRule type="expression" dxfId="2107" priority="1945" stopIfTrue="1">
      <formula>IF(WEEKDAY(Q$8)=1,TRUE,FALSE)</formula>
    </cfRule>
    <cfRule type="containsText" dxfId="2106" priority="1946" operator="containsText" text="P">
      <formula>NOT(ISERROR(SEARCH("P",Q162)))</formula>
    </cfRule>
    <cfRule type="containsText" dxfId="2105" priority="1947" operator="containsText" text="K">
      <formula>NOT(ISERROR(SEARCH("K",Q162)))</formula>
    </cfRule>
    <cfRule type="expression" dxfId="2104" priority="1948" stopIfTrue="1">
      <formula>IF(WEEKDAY(Q$8)=1,TRUE,FALSE)</formula>
    </cfRule>
    <cfRule type="containsText" dxfId="2103" priority="1949" operator="containsText" text="P">
      <formula>NOT(ISERROR(SEARCH("P",Q162)))</formula>
    </cfRule>
    <cfRule type="containsText" dxfId="2102" priority="1950" operator="containsText" text="K">
      <formula>NOT(ISERROR(SEARCH("K",Q162)))</formula>
    </cfRule>
  </conditionalFormatting>
  <conditionalFormatting sqref="Q169:T169">
    <cfRule type="containsText" dxfId="2101" priority="1940" operator="containsText" text="K">
      <formula>NOT(ISERROR(SEARCH("K",Q169)))</formula>
    </cfRule>
    <cfRule type="expression" dxfId="2100" priority="1941" stopIfTrue="1">
      <formula>IF(WEEKDAY(Q$8)=1,TRUE,FALSE)</formula>
    </cfRule>
    <cfRule type="containsText" dxfId="2099" priority="1942" operator="containsText" text="P">
      <formula>NOT(ISERROR(SEARCH("P",Q169)))</formula>
    </cfRule>
  </conditionalFormatting>
  <conditionalFormatting sqref="Q178:T178">
    <cfRule type="containsText" dxfId="2098" priority="1938" operator="containsText" text="P">
      <formula>NOT(ISERROR(SEARCH("P",Q178)))</formula>
    </cfRule>
    <cfRule type="expression" dxfId="2097" priority="1939" stopIfTrue="1">
      <formula>IF(WEEKDAY(Q$8)=1,TRUE,FALSE)</formula>
    </cfRule>
  </conditionalFormatting>
  <conditionalFormatting sqref="Q154:U155">
    <cfRule type="containsText" dxfId="2096" priority="1937" operator="containsText" text="P">
      <formula>NOT(ISERROR(SEARCH("P",Q154)))</formula>
    </cfRule>
  </conditionalFormatting>
  <conditionalFormatting sqref="Q162:U162 X162:Y162">
    <cfRule type="expression" dxfId="2095" priority="1936" stopIfTrue="1">
      <formula>IF(WEEKDAY(Q$8)=1,TRUE,FALSE)</formula>
    </cfRule>
  </conditionalFormatting>
  <conditionalFormatting sqref="Q175:U175">
    <cfRule type="containsText" dxfId="2094" priority="1933" operator="containsText" text="P">
      <formula>NOT(ISERROR(SEARCH("P",Q175)))</formula>
    </cfRule>
    <cfRule type="containsText" dxfId="2093" priority="1934" operator="containsText" text="P">
      <formula>NOT(ISERROR(SEARCH("P",Q175)))</formula>
    </cfRule>
    <cfRule type="expression" dxfId="2092" priority="1935" stopIfTrue="1">
      <formula>IF(WEEKDAY(Q$8)=1,TRUE,FALSE)</formula>
    </cfRule>
  </conditionalFormatting>
  <conditionalFormatting sqref="Q178:U178">
    <cfRule type="containsText" dxfId="2091" priority="1931" operator="containsText" text="P">
      <formula>NOT(ISERROR(SEARCH("P",Q178)))</formula>
    </cfRule>
    <cfRule type="containsText" dxfId="2090" priority="1932" operator="containsText" text="K">
      <formula>NOT(ISERROR(SEARCH("K",Q178)))</formula>
    </cfRule>
  </conditionalFormatting>
  <conditionalFormatting sqref="Q154:W155">
    <cfRule type="expression" dxfId="2089" priority="1930" stopIfTrue="1">
      <formula>IF(WEEKDAY(Q$8)=1,TRUE,FALSE)</formula>
    </cfRule>
  </conditionalFormatting>
  <conditionalFormatting sqref="Q152:Y152">
    <cfRule type="containsText" dxfId="2088" priority="1928" operator="containsText" text="K">
      <formula>NOT(ISERROR(SEARCH("K",Q152)))</formula>
    </cfRule>
    <cfRule type="expression" dxfId="2087" priority="1929" stopIfTrue="1">
      <formula>IF(WEEKDAY(Q$8)=1,TRUE,FALSE)</formula>
    </cfRule>
  </conditionalFormatting>
  <conditionalFormatting sqref="R151">
    <cfRule type="containsText" dxfId="2086" priority="1922" operator="containsText" text="K">
      <formula>NOT(ISERROR(SEARCH("K",R151)))</formula>
    </cfRule>
    <cfRule type="expression" dxfId="2085" priority="1923" stopIfTrue="1">
      <formula>IF(WEEKDAY(R$8)=1,TRUE,FALSE)</formula>
    </cfRule>
    <cfRule type="containsText" dxfId="2084" priority="1924" operator="containsText" text="K">
      <formula>NOT(ISERROR(SEARCH("K",R151)))</formula>
    </cfRule>
    <cfRule type="containsText" dxfId="2083" priority="1925" operator="containsText" text="P">
      <formula>NOT(ISERROR(SEARCH("P",R151)))</formula>
    </cfRule>
    <cfRule type="expression" dxfId="2082" priority="1926" stopIfTrue="1">
      <formula>IF(WEEKDAY(R$8)=1,TRUE,FALSE)</formula>
    </cfRule>
    <cfRule type="containsText" dxfId="2081" priority="1927" operator="containsText" text="P">
      <formula>NOT(ISERROR(SEARCH("P",R151)))</formula>
    </cfRule>
  </conditionalFormatting>
  <conditionalFormatting sqref="R194:R195">
    <cfRule type="expression" dxfId="2080" priority="1919" stopIfTrue="1">
      <formula>IF(WEEKDAY(R$8)=1,TRUE,FALSE)</formula>
    </cfRule>
    <cfRule type="containsText" dxfId="2079" priority="1920" operator="containsText" text="P">
      <formula>NOT(ISERROR(SEARCH("P",R194)))</formula>
    </cfRule>
    <cfRule type="containsText" dxfId="2078" priority="1921" operator="containsText" text="K">
      <formula>NOT(ISERROR(SEARCH("K",R194)))</formula>
    </cfRule>
  </conditionalFormatting>
  <conditionalFormatting sqref="R203">
    <cfRule type="expression" dxfId="2077" priority="1916" stopIfTrue="1">
      <formula>IF(WEEKDAY(R$8)=1,TRUE,FALSE)</formula>
    </cfRule>
    <cfRule type="containsText" dxfId="2076" priority="1917" operator="containsText" text="P">
      <formula>NOT(ISERROR(SEARCH("P",R203)))</formula>
    </cfRule>
    <cfRule type="containsText" dxfId="2075" priority="1918" operator="containsText" text="K">
      <formula>NOT(ISERROR(SEARCH("K",R203)))</formula>
    </cfRule>
  </conditionalFormatting>
  <conditionalFormatting sqref="R217">
    <cfRule type="expression" dxfId="2074" priority="1912" stopIfTrue="1">
      <formula>IF(WEEKDAY(R$8)=1,TRUE,FALSE)</formula>
    </cfRule>
    <cfRule type="containsText" dxfId="2073" priority="1913" operator="containsText" text="P">
      <formula>NOT(ISERROR(SEARCH("P",R217)))</formula>
    </cfRule>
    <cfRule type="containsText" dxfId="2072" priority="1914" operator="containsText" text="K">
      <formula>NOT(ISERROR(SEARCH("K",R217)))</formula>
    </cfRule>
    <cfRule type="containsText" dxfId="2071" priority="1915" operator="containsText" text="P">
      <formula>NOT(ISERROR(SEARCH("P",R217)))</formula>
    </cfRule>
  </conditionalFormatting>
  <conditionalFormatting sqref="R57:S66 N86:P86">
    <cfRule type="expression" dxfId="2070" priority="1911" stopIfTrue="1">
      <formula>IF(WEEKDAY(N$8)=1,TRUE,FALSE)</formula>
    </cfRule>
  </conditionalFormatting>
  <conditionalFormatting sqref="R66:S66 U57:Y66">
    <cfRule type="expression" dxfId="2069" priority="1910" stopIfTrue="1">
      <formula>IF(WEEKDAY(R$8)=1,TRUE,FALSE)</formula>
    </cfRule>
  </conditionalFormatting>
  <conditionalFormatting sqref="R66:S66">
    <cfRule type="containsText" dxfId="2068" priority="1907" operator="containsText" text="K">
      <formula>NOT(ISERROR(SEARCH("K",R66)))</formula>
    </cfRule>
    <cfRule type="containsText" dxfId="2067" priority="1908" operator="containsText" text="P">
      <formula>NOT(ISERROR(SEARCH("P",R66)))</formula>
    </cfRule>
    <cfRule type="containsText" dxfId="2066" priority="1909" operator="containsText" text="P">
      <formula>NOT(ISERROR(SEARCH("P",R66)))</formula>
    </cfRule>
  </conditionalFormatting>
  <conditionalFormatting sqref="R89:S89 I91 K91:N91 P91">
    <cfRule type="containsText" dxfId="2065" priority="1906" operator="containsText" text="K">
      <formula>NOT(ISERROR(SEARCH("K",I89)))</formula>
    </cfRule>
  </conditionalFormatting>
  <conditionalFormatting sqref="R151:S151">
    <cfRule type="containsText" dxfId="2064" priority="1905" operator="containsText" text="K">
      <formula>NOT(ISERROR(SEARCH("K",R151)))</formula>
    </cfRule>
  </conditionalFormatting>
  <conditionalFormatting sqref="R85:T85 R88:T88 L86:L87 N86:P87 L88:P88 L89 N89:P89 L91 N91 L85:P85 P91">
    <cfRule type="containsText" dxfId="2063" priority="1904" operator="containsText" text="K">
      <formula>NOT(ISERROR(SEARCH("K",L85)))</formula>
    </cfRule>
  </conditionalFormatting>
  <conditionalFormatting sqref="R170:T171">
    <cfRule type="containsText" dxfId="2062" priority="1902" operator="containsText" text="P">
      <formula>NOT(ISERROR(SEARCH("P",R170)))</formula>
    </cfRule>
    <cfRule type="containsText" dxfId="2061" priority="1903" operator="containsText" text="P">
      <formula>NOT(ISERROR(SEARCH("P",R170)))</formula>
    </cfRule>
  </conditionalFormatting>
  <conditionalFormatting sqref="R170:U170">
    <cfRule type="containsText" dxfId="2060" priority="1901" operator="containsText" text="K">
      <formula>NOT(ISERROR(SEARCH("K",R170)))</formula>
    </cfRule>
  </conditionalFormatting>
  <conditionalFormatting sqref="R175:U175">
    <cfRule type="containsText" dxfId="2059" priority="1900" operator="containsText" text="K">
      <formula>NOT(ISERROR(SEARCH("K",R175)))</formula>
    </cfRule>
  </conditionalFormatting>
  <conditionalFormatting sqref="R102:W102">
    <cfRule type="containsText" dxfId="2058" priority="1899" operator="containsText" text="K">
      <formula>NOT(ISERROR(SEARCH("K",R102)))</formula>
    </cfRule>
  </conditionalFormatting>
  <conditionalFormatting sqref="R99:X99 G99:P99">
    <cfRule type="expression" dxfId="2057" priority="1898" stopIfTrue="1">
      <formula>IF(WEEKDAY(G$8)=1,TRUE,FALSE)</formula>
    </cfRule>
  </conditionalFormatting>
  <conditionalFormatting sqref="R85:Y85 I85:I89 K85:P89 R86:S87 U86:Y87 R88:Y88 AG88:AI88 U89:Y89 R91:S91 U91:Y91 I98 K98:P98 R98:Y98 I90:P90 G92:L92 N92:Y92">
    <cfRule type="containsText" dxfId="2056" priority="1897" operator="containsText" text="K">
      <formula>NOT(ISERROR(SEARCH("K",G85)))</formula>
    </cfRule>
  </conditionalFormatting>
  <conditionalFormatting sqref="R85:Y85 U86:Y87 R88:Y88 U89:Y89 I90:P90">
    <cfRule type="expression" dxfId="2055" priority="1896" stopIfTrue="1">
      <formula>IF(WEEKDAY(I$8)=1,TRUE,FALSE)</formula>
    </cfRule>
  </conditionalFormatting>
  <conditionalFormatting sqref="R99:Y99">
    <cfRule type="containsText" dxfId="2054" priority="1895" operator="containsText" text="P">
      <formula>NOT(ISERROR(SEARCH("P",R99)))</formula>
    </cfRule>
  </conditionalFormatting>
  <conditionalFormatting sqref="R156:Y160">
    <cfRule type="expression" dxfId="2053" priority="1894" stopIfTrue="1">
      <formula>IF(WEEKDAY(R$8)=1,TRUE,FALSE)</formula>
    </cfRule>
  </conditionalFormatting>
  <conditionalFormatting sqref="S23 Z44:AE48 AF82:AF96">
    <cfRule type="containsText" dxfId="2052" priority="1893" operator="containsText" text="P">
      <formula>NOT(ISERROR(SEARCH("P",S23)))</formula>
    </cfRule>
  </conditionalFormatting>
  <conditionalFormatting sqref="S67">
    <cfRule type="expression" dxfId="2051" priority="1890" stopIfTrue="1">
      <formula>IF(WEEKDAY(S$8)=1,TRUE,FALSE)</formula>
    </cfRule>
    <cfRule type="containsText" dxfId="2050" priority="1891" operator="containsText" text="P">
      <formula>NOT(ISERROR(SEARCH("P",S67)))</formula>
    </cfRule>
    <cfRule type="containsText" dxfId="2049" priority="1892" operator="containsText" text="K">
      <formula>NOT(ISERROR(SEARCH("K",S67)))</formula>
    </cfRule>
  </conditionalFormatting>
  <conditionalFormatting sqref="S151">
    <cfRule type="expression" dxfId="2048" priority="1885" stopIfTrue="1">
      <formula>IF(WEEKDAY(S$8)=1,TRUE,FALSE)</formula>
    </cfRule>
    <cfRule type="containsText" dxfId="2047" priority="1886" operator="containsText" text="P">
      <formula>NOT(ISERROR(SEARCH("P",S151)))</formula>
    </cfRule>
    <cfRule type="expression" dxfId="2046" priority="1887" stopIfTrue="1">
      <formula>IF(WEEKDAY(S$8)=1,TRUE,FALSE)</formula>
    </cfRule>
    <cfRule type="containsText" dxfId="2045" priority="1888" operator="containsText" text="P">
      <formula>NOT(ISERROR(SEARCH("P",S151)))</formula>
    </cfRule>
    <cfRule type="containsText" dxfId="2044" priority="1889" operator="containsText" text="K">
      <formula>NOT(ISERROR(SEARCH("K",S151)))</formula>
    </cfRule>
  </conditionalFormatting>
  <conditionalFormatting sqref="S153">
    <cfRule type="containsText" dxfId="2043" priority="1882" operator="containsText" text="K">
      <formula>NOT(ISERROR(SEARCH("K",S153)))</formula>
    </cfRule>
    <cfRule type="expression" dxfId="2042" priority="1883" stopIfTrue="1">
      <formula>IF(WEEKDAY(S$8)=1,TRUE,FALSE)</formula>
    </cfRule>
    <cfRule type="containsText" dxfId="2041" priority="1884" operator="containsText" text="P">
      <formula>NOT(ISERROR(SEARCH("P",S153)))</formula>
    </cfRule>
  </conditionalFormatting>
  <conditionalFormatting sqref="S165">
    <cfRule type="expression" dxfId="2040" priority="1879" stopIfTrue="1">
      <formula>IF(WEEKDAY(S$8)=1,TRUE,FALSE)</formula>
    </cfRule>
    <cfRule type="containsText" dxfId="2039" priority="1880" operator="containsText" text="P">
      <formula>NOT(ISERROR(SEARCH("P",S165)))</formula>
    </cfRule>
    <cfRule type="containsText" dxfId="2038" priority="1881" operator="containsText" text="K">
      <formula>NOT(ISERROR(SEARCH("K",S165)))</formula>
    </cfRule>
  </conditionalFormatting>
  <conditionalFormatting sqref="S180 S183 S203 O203:Q203">
    <cfRule type="containsText" dxfId="2037" priority="1878" operator="containsText" text="P">
      <formula>NOT(ISERROR(SEARCH("P",O180)))</formula>
    </cfRule>
  </conditionalFormatting>
  <conditionalFormatting sqref="S180:S181">
    <cfRule type="expression" dxfId="2036" priority="1877" stopIfTrue="1">
      <formula>IF(WEEKDAY(S$8)=1,TRUE,FALSE)</formula>
    </cfRule>
  </conditionalFormatting>
  <conditionalFormatting sqref="S181">
    <cfRule type="expression" dxfId="2035" priority="1874" stopIfTrue="1">
      <formula>IF(WEEKDAY(S$8)=1,TRUE,FALSE)</formula>
    </cfRule>
    <cfRule type="containsText" dxfId="2034" priority="1875" operator="containsText" text="P">
      <formula>NOT(ISERROR(SEARCH("P",S181)))</formula>
    </cfRule>
    <cfRule type="containsText" dxfId="2033" priority="1876" operator="containsText" text="K">
      <formula>NOT(ISERROR(SEARCH("K",S181)))</formula>
    </cfRule>
  </conditionalFormatting>
  <conditionalFormatting sqref="S183 S203 S180">
    <cfRule type="containsText" dxfId="2032" priority="1873" operator="containsText" text="K">
      <formula>NOT(ISERROR(SEARCH("K",S180)))</formula>
    </cfRule>
  </conditionalFormatting>
  <conditionalFormatting sqref="S183 S203">
    <cfRule type="expression" dxfId="2031" priority="1872" stopIfTrue="1">
      <formula>IF(WEEKDAY(S$8)=1,TRUE,FALSE)</formula>
    </cfRule>
  </conditionalFormatting>
  <conditionalFormatting sqref="S190">
    <cfRule type="expression" dxfId="2030" priority="1868" stopIfTrue="1">
      <formula>IF(WEEKDAY(S$8)=1,TRUE,FALSE)</formula>
    </cfRule>
    <cfRule type="containsText" dxfId="2029" priority="1869" operator="containsText" text="P">
      <formula>NOT(ISERROR(SEARCH("P",S190)))</formula>
    </cfRule>
    <cfRule type="containsText" dxfId="2028" priority="1870" operator="containsText" text="K">
      <formula>NOT(ISERROR(SEARCH("K",S190)))</formula>
    </cfRule>
    <cfRule type="expression" dxfId="2027" priority="1871" stopIfTrue="1">
      <formula>IF(WEEKDAY(S$8)=1,TRUE,FALSE)</formula>
    </cfRule>
  </conditionalFormatting>
  <conditionalFormatting sqref="S194">
    <cfRule type="expression" dxfId="2026" priority="1865" stopIfTrue="1">
      <formula>IF(WEEKDAY(S$8)=1,TRUE,FALSE)</formula>
    </cfRule>
    <cfRule type="containsText" dxfId="2025" priority="1866" operator="containsText" text="P">
      <formula>NOT(ISERROR(SEARCH("P",S194)))</formula>
    </cfRule>
    <cfRule type="containsText" dxfId="2024" priority="1867" operator="containsText" text="K">
      <formula>NOT(ISERROR(SEARCH("K",S194)))</formula>
    </cfRule>
  </conditionalFormatting>
  <conditionalFormatting sqref="S217 U217:Y217 E217:Q217">
    <cfRule type="containsText" dxfId="2023" priority="1864" operator="containsText" text="K">
      <formula>NOT(ISERROR(SEARCH("K",E217)))</formula>
    </cfRule>
  </conditionalFormatting>
  <conditionalFormatting sqref="S217 U217:Y217">
    <cfRule type="containsText" dxfId="2022" priority="1863" operator="containsText" text="P">
      <formula>NOT(ISERROR(SEARCH("P",S217)))</formula>
    </cfRule>
  </conditionalFormatting>
  <conditionalFormatting sqref="S165:U165 W165:Y165">
    <cfRule type="expression" dxfId="2021" priority="1860" stopIfTrue="1">
      <formula>IF(WEEKDAY(S$8)=1,TRUE,FALSE)</formula>
    </cfRule>
    <cfRule type="containsText" dxfId="2020" priority="1861" operator="containsText" text="P">
      <formula>NOT(ISERROR(SEARCH("P",S165)))</formula>
    </cfRule>
    <cfRule type="containsText" dxfId="2019" priority="1862" operator="containsText" text="K">
      <formula>NOT(ISERROR(SEARCH("K",S165)))</formula>
    </cfRule>
  </conditionalFormatting>
  <conditionalFormatting sqref="S181:V181">
    <cfRule type="containsText" dxfId="2018" priority="1859" operator="containsText" text="P">
      <formula>NOT(ISERROR(SEARCH("P",S181)))</formula>
    </cfRule>
  </conditionalFormatting>
  <conditionalFormatting sqref="S190:V190">
    <cfRule type="containsText" dxfId="2017" priority="1858" operator="containsText" text="P">
      <formula>NOT(ISERROR(SEARCH("P",S190)))</formula>
    </cfRule>
  </conditionalFormatting>
  <conditionalFormatting sqref="S84:X84">
    <cfRule type="containsText" dxfId="2016" priority="1855" operator="containsText" text="P">
      <formula>NOT(ISERROR(SEARCH(("P"),(S84))))</formula>
    </cfRule>
    <cfRule type="containsText" dxfId="2015" priority="1856" operator="containsText" text="K">
      <formula>NOT(ISERROR(SEARCH(("K"),(S84))))</formula>
    </cfRule>
    <cfRule type="expression" dxfId="2014" priority="1857" stopIfTrue="1">
      <formula>IF(WEEKDAY(S$8)=1,TRUE,FALSE)</formula>
    </cfRule>
  </conditionalFormatting>
  <conditionalFormatting sqref="S195:Y195">
    <cfRule type="containsText" dxfId="2013" priority="1852" operator="containsText" text="P">
      <formula>NOT(ISERROR(SEARCH(("P"),(S195))))</formula>
    </cfRule>
    <cfRule type="containsText" dxfId="2012" priority="1853" operator="containsText" text="K">
      <formula>NOT(ISERROR(SEARCH(("K"),(S195))))</formula>
    </cfRule>
    <cfRule type="expression" dxfId="2011" priority="1854" stopIfTrue="1">
      <formula>IF(WEEKDAY(S$8)=1,TRUE,FALSE)</formula>
    </cfRule>
  </conditionalFormatting>
  <conditionalFormatting sqref="S217:Y217">
    <cfRule type="expression" dxfId="2010" priority="1851" stopIfTrue="1">
      <formula>IF(WEEKDAY(S$8)=1,TRUE,FALSE)</formula>
    </cfRule>
  </conditionalFormatting>
  <conditionalFormatting sqref="S13:AC13">
    <cfRule type="containsText" dxfId="2009" priority="1849" operator="containsText" text="K">
      <formula>NOT(ISERROR(SEARCH("K",S13)))</formula>
    </cfRule>
    <cfRule type="containsText" dxfId="2008" priority="1850" operator="containsText" text="P">
      <formula>NOT(ISERROR(SEARCH("P",S13)))</formula>
    </cfRule>
  </conditionalFormatting>
  <conditionalFormatting sqref="T50:T55 T57:T59 T61:T66 R86:T87 R89:T89 R91:Y91 T93:T96 T103:Y103 T105">
    <cfRule type="containsText" dxfId="2007" priority="1848" operator="containsText" text="P">
      <formula>NOT(ISERROR(SEARCH("P",R50)))</formula>
    </cfRule>
  </conditionalFormatting>
  <conditionalFormatting sqref="T50:T55 T57:T59 T61:T66 R86:T87 R89:T89 R91:Y91 T96 T103:Y103 T105">
    <cfRule type="expression" dxfId="2006" priority="1847" stopIfTrue="1">
      <formula>IF(WEEKDAY(R$8)=1,TRUE,FALSE)</formula>
    </cfRule>
  </conditionalFormatting>
  <conditionalFormatting sqref="T50:T55 T57:T59 T61:T66 T86:T87 T89 T91 T96 T103 T105">
    <cfRule type="containsText" dxfId="2005" priority="1845" operator="containsText" text="K">
      <formula>NOT(ISERROR(SEARCH("K",T50)))</formula>
    </cfRule>
    <cfRule type="containsText" dxfId="2004" priority="1846" operator="containsText" text="P">
      <formula>NOT(ISERROR(SEARCH("P",T50)))</formula>
    </cfRule>
  </conditionalFormatting>
  <conditionalFormatting sqref="T50:T74 R86:T87 R89:T89 R91:T91 T96 T103 G105:Y105">
    <cfRule type="containsText" dxfId="2003" priority="1844" operator="containsText" text="K">
      <formula>NOT(ISERROR(SEARCH("K",G50)))</formula>
    </cfRule>
  </conditionalFormatting>
  <conditionalFormatting sqref="T56">
    <cfRule type="expression" dxfId="2002" priority="1839" stopIfTrue="1">
      <formula>IF(WEEKDAY(T$8)=1,TRUE,FALSE)</formula>
    </cfRule>
    <cfRule type="containsText" dxfId="2001" priority="1840" operator="containsText" text="P">
      <formula>NOT(ISERROR(SEARCH("P",T56)))</formula>
    </cfRule>
    <cfRule type="expression" dxfId="2000" priority="1841" stopIfTrue="1">
      <formula>IF(WEEKDAY(T$8)=1,TRUE,FALSE)</formula>
    </cfRule>
    <cfRule type="containsText" dxfId="1999" priority="1842" operator="containsText" text="P">
      <formula>NOT(ISERROR(SEARCH("P",T56)))</formula>
    </cfRule>
    <cfRule type="containsText" dxfId="1998" priority="1843" operator="containsText" text="K">
      <formula>NOT(ISERROR(SEARCH("K",T56)))</formula>
    </cfRule>
  </conditionalFormatting>
  <conditionalFormatting sqref="T60">
    <cfRule type="expression" dxfId="1997" priority="1834" stopIfTrue="1">
      <formula>IF(WEEKDAY(T$8)=1,TRUE,FALSE)</formula>
    </cfRule>
    <cfRule type="containsText" dxfId="1996" priority="1835" operator="containsText" text="P">
      <formula>NOT(ISERROR(SEARCH("P",T60)))</formula>
    </cfRule>
    <cfRule type="expression" dxfId="1995" priority="1836" stopIfTrue="1">
      <formula>IF(WEEKDAY(T$8)=1,TRUE,FALSE)</formula>
    </cfRule>
    <cfRule type="containsText" dxfId="1994" priority="1837" operator="containsText" text="P">
      <formula>NOT(ISERROR(SEARCH("P",T60)))</formula>
    </cfRule>
    <cfRule type="containsText" dxfId="1993" priority="1838" operator="containsText" text="K">
      <formula>NOT(ISERROR(SEARCH("K",T60)))</formula>
    </cfRule>
  </conditionalFormatting>
  <conditionalFormatting sqref="T67:T74">
    <cfRule type="expression" dxfId="1992" priority="1833" stopIfTrue="1">
      <formula>IF(WEEKDAY(T$8)=1,TRUE,FALSE)</formula>
    </cfRule>
  </conditionalFormatting>
  <conditionalFormatting sqref="T80">
    <cfRule type="containsText" dxfId="1991" priority="1828" operator="containsText" text="K">
      <formula>NOT(ISERROR(SEARCH("K",T80)))</formula>
    </cfRule>
    <cfRule type="expression" dxfId="1990" priority="1829" stopIfTrue="1">
      <formula>IF(WEEKDAY(T$8)=1,TRUE,FALSE)</formula>
    </cfRule>
    <cfRule type="containsText" dxfId="1989" priority="1830" operator="containsText" text="P">
      <formula>NOT(ISERROR(SEARCH("P",T80)))</formula>
    </cfRule>
    <cfRule type="expression" dxfId="1988" priority="1831" stopIfTrue="1">
      <formula>IF(WEEKDAY(T$8)=1,TRUE,FALSE)</formula>
    </cfRule>
    <cfRule type="containsText" dxfId="1987" priority="1832" operator="containsText" text="P">
      <formula>NOT(ISERROR(SEARCH("P",T80)))</formula>
    </cfRule>
  </conditionalFormatting>
  <conditionalFormatting sqref="T93:T95">
    <cfRule type="expression" dxfId="1986" priority="1826" stopIfTrue="1">
      <formula>IF(WEEKDAY(T$8)=1,TRUE,FALSE)</formula>
    </cfRule>
    <cfRule type="containsText" dxfId="1985" priority="1827" operator="containsText" text="P">
      <formula>NOT(ISERROR(SEARCH("P",T93)))</formula>
    </cfRule>
  </conditionalFormatting>
  <conditionalFormatting sqref="T101">
    <cfRule type="containsText" dxfId="1984" priority="1823" operator="containsText" text="P">
      <formula>NOT(ISERROR(SEARCH("P",T101)))</formula>
    </cfRule>
    <cfRule type="expression" dxfId="1983" priority="1824" stopIfTrue="1">
      <formula>IF(WEEKDAY(T$8)=1,TRUE,FALSE)</formula>
    </cfRule>
    <cfRule type="containsText" dxfId="1982" priority="1825" operator="containsText" text="P">
      <formula>NOT(ISERROR(SEARCH("P",T101)))</formula>
    </cfRule>
  </conditionalFormatting>
  <conditionalFormatting sqref="T106">
    <cfRule type="containsText" dxfId="1981" priority="1822" operator="containsText" text="P">
      <formula>NOT(ISERROR(SEARCH("P",T106)))</formula>
    </cfRule>
  </conditionalFormatting>
  <conditionalFormatting sqref="T106:T107">
    <cfRule type="containsText" dxfId="1980" priority="1821" operator="containsText" text="P">
      <formula>NOT(ISERROR(SEARCH("P",T106)))</formula>
    </cfRule>
  </conditionalFormatting>
  <conditionalFormatting sqref="T107">
    <cfRule type="containsText" dxfId="1979" priority="1819" operator="containsText" text="P">
      <formula>NOT(ISERROR(SEARCH("P",T107)))</formula>
    </cfRule>
    <cfRule type="expression" dxfId="1978" priority="1820" stopIfTrue="1">
      <formula>IF(WEEKDAY(T$8)=1,TRUE,FALSE)</formula>
    </cfRule>
  </conditionalFormatting>
  <conditionalFormatting sqref="T144">
    <cfRule type="containsText" dxfId="1977" priority="1815" operator="containsText" text="K">
      <formula>NOT(ISERROR(SEARCH("K",T144)))</formula>
    </cfRule>
    <cfRule type="expression" dxfId="1976" priority="1816" stopIfTrue="1">
      <formula>IF(WEEKDAY(T$8)=1,TRUE,FALSE)</formula>
    </cfRule>
    <cfRule type="containsText" dxfId="1975" priority="1817" operator="containsText" text="K">
      <formula>NOT(ISERROR(SEARCH("K",T144)))</formula>
    </cfRule>
    <cfRule type="containsText" dxfId="1974" priority="1818" operator="containsText" text="P">
      <formula>NOT(ISERROR(SEARCH("P",T144)))</formula>
    </cfRule>
  </conditionalFormatting>
  <conditionalFormatting sqref="T147">
    <cfRule type="containsText" dxfId="1973" priority="1809" operator="containsText" text="K">
      <formula>NOT(ISERROR(SEARCH("K",T147)))</formula>
    </cfRule>
    <cfRule type="expression" dxfId="1972" priority="1810" stopIfTrue="1">
      <formula>IF(WEEKDAY(T$8)=1,TRUE,FALSE)</formula>
    </cfRule>
    <cfRule type="containsText" dxfId="1971" priority="1811" operator="containsText" text="K">
      <formula>NOT(ISERROR(SEARCH("K",T147)))</formula>
    </cfRule>
    <cfRule type="containsText" dxfId="1970" priority="1812" operator="containsText" text="P">
      <formula>NOT(ISERROR(SEARCH("P",T147)))</formula>
    </cfRule>
    <cfRule type="expression" dxfId="1969" priority="1813" stopIfTrue="1">
      <formula>IF(WEEKDAY(T$8)=1,TRUE,FALSE)</formula>
    </cfRule>
    <cfRule type="containsText" dxfId="1968" priority="1814" operator="containsText" text="P">
      <formula>NOT(ISERROR(SEARCH("P",T147)))</formula>
    </cfRule>
  </conditionalFormatting>
  <conditionalFormatting sqref="T153">
    <cfRule type="containsText" dxfId="1967" priority="1808" operator="containsText" text="P">
      <formula>NOT(ISERROR(SEARCH("P",T153)))</formula>
    </cfRule>
  </conditionalFormatting>
  <conditionalFormatting sqref="T182:T185">
    <cfRule type="expression" dxfId="1966" priority="1805" stopIfTrue="1">
      <formula>IF(WEEKDAY(T$8)=1,TRUE,FALSE)</formula>
    </cfRule>
    <cfRule type="containsText" dxfId="1965" priority="1806" operator="containsText" text="K">
      <formula>NOT(ISERROR(SEARCH("K",T182)))</formula>
    </cfRule>
    <cfRule type="containsText" dxfId="1964" priority="1807" operator="containsText" text="P">
      <formula>NOT(ISERROR(SEARCH("P",T182)))</formula>
    </cfRule>
  </conditionalFormatting>
  <conditionalFormatting sqref="T217">
    <cfRule type="containsText" dxfId="1963" priority="1803" operator="containsText" text="K">
      <formula>NOT(ISERROR(SEARCH("K",T217)))</formula>
    </cfRule>
    <cfRule type="containsText" dxfId="1962" priority="1804" operator="containsText" text="P">
      <formula>NOT(ISERROR(SEARCH("P",T217)))</formula>
    </cfRule>
  </conditionalFormatting>
  <conditionalFormatting sqref="T219:T223">
    <cfRule type="expression" dxfId="1961" priority="1802" stopIfTrue="1">
      <formula>IF(WEEKDAY(T$8)=1,TRUE,FALSE)</formula>
    </cfRule>
  </conditionalFormatting>
  <conditionalFormatting sqref="T221:T223">
    <cfRule type="containsText" dxfId="1960" priority="1801" operator="containsText" text="P">
      <formula>NOT(ISERROR(SEARCH("P",T221)))</formula>
    </cfRule>
  </conditionalFormatting>
  <conditionalFormatting sqref="T23:U23 N25 E84:J84 F85:F89 E90:F90 F91 E92:F92 E180 E181:F182 E183">
    <cfRule type="containsText" dxfId="1959" priority="1798" operator="containsText" text="P">
      <formula>NOT(ISERROR(SEARCH(("P"),(E23))))</formula>
    </cfRule>
    <cfRule type="containsText" dxfId="1958" priority="1799" operator="containsText" text="K">
      <formula>NOT(ISERROR(SEARCH(("K"),(E23))))</formula>
    </cfRule>
    <cfRule type="expression" dxfId="1957" priority="1800" stopIfTrue="1">
      <formula>IF(WEEKDAY(E$8)=1,TRUE,FALSE)</formula>
    </cfRule>
  </conditionalFormatting>
  <conditionalFormatting sqref="T45:U46">
    <cfRule type="expression" dxfId="1956" priority="1797" stopIfTrue="1">
      <formula>IF(WEEKDAY(T$8)=1,TRUE,FALSE)</formula>
    </cfRule>
  </conditionalFormatting>
  <conditionalFormatting sqref="T144:U144">
    <cfRule type="expression" dxfId="1955" priority="1795" stopIfTrue="1">
      <formula>IF(WEEKDAY(T$8)=1,TRUE,FALSE)</formula>
    </cfRule>
    <cfRule type="containsText" dxfId="1954" priority="1796" operator="containsText" text="P">
      <formula>NOT(ISERROR(SEARCH("P",T144)))</formula>
    </cfRule>
  </conditionalFormatting>
  <conditionalFormatting sqref="T165:U165 W165:Y165">
    <cfRule type="expression" dxfId="1953" priority="1789" stopIfTrue="1">
      <formula>IF(WEEKDAY(T$8)=1,TRUE,FALSE)</formula>
    </cfRule>
    <cfRule type="containsText" dxfId="1952" priority="1790" operator="containsText" text="P">
      <formula>NOT(ISERROR(SEARCH("P",T165)))</formula>
    </cfRule>
    <cfRule type="containsText" dxfId="1951" priority="1791" operator="containsText" text="K">
      <formula>NOT(ISERROR(SEARCH("K",T165)))</formula>
    </cfRule>
    <cfRule type="containsText" dxfId="1950" priority="1792" operator="containsText" text="P">
      <formula>NOT(ISERROR(SEARCH("P",T165)))</formula>
    </cfRule>
    <cfRule type="containsText" dxfId="1949" priority="1793" operator="containsText" text="K">
      <formula>NOT(ISERROR(SEARCH("K",T165)))</formula>
    </cfRule>
    <cfRule type="expression" dxfId="1948" priority="1794" stopIfTrue="1">
      <formula>IF(WEEKDAY(T$8)=1,TRUE,FALSE)</formula>
    </cfRule>
  </conditionalFormatting>
  <conditionalFormatting sqref="T165:U165">
    <cfRule type="containsText" dxfId="1947" priority="1787" operator="containsText" text="P">
      <formula>NOT(ISERROR(SEARCH("P",T165)))</formula>
    </cfRule>
    <cfRule type="containsText" dxfId="1946" priority="1788" operator="containsText" text="K">
      <formula>NOT(ISERROR(SEARCH("K",T165)))</formula>
    </cfRule>
  </conditionalFormatting>
  <conditionalFormatting sqref="T167:U167 W167:Y167">
    <cfRule type="expression" dxfId="1945" priority="1772" stopIfTrue="1">
      <formula>IF(WEEKDAY(T$8)=1,TRUE,FALSE)</formula>
    </cfRule>
    <cfRule type="containsText" dxfId="1944" priority="1773" operator="containsText" text="P">
      <formula>NOT(ISERROR(SEARCH("P",T167)))</formula>
    </cfRule>
    <cfRule type="containsText" dxfId="1943" priority="1774" operator="containsText" text="K">
      <formula>NOT(ISERROR(SEARCH("K",T167)))</formula>
    </cfRule>
    <cfRule type="containsText" dxfId="1942" priority="1775" operator="containsText" text="P">
      <formula>NOT(ISERROR(SEARCH("P",T167)))</formula>
    </cfRule>
    <cfRule type="containsText" dxfId="1941" priority="1776" operator="containsText" text="K">
      <formula>NOT(ISERROR(SEARCH("K",T167)))</formula>
    </cfRule>
    <cfRule type="expression" dxfId="1940" priority="1777" stopIfTrue="1">
      <formula>IF(WEEKDAY(T$8)=1,TRUE,FALSE)</formula>
    </cfRule>
    <cfRule type="containsText" dxfId="1939" priority="1778" operator="containsText" text="P">
      <formula>NOT(ISERROR(SEARCH("P",T167)))</formula>
    </cfRule>
    <cfRule type="containsText" dxfId="1938" priority="1779" operator="containsText" text="K">
      <formula>NOT(ISERROR(SEARCH("K",T167)))</formula>
    </cfRule>
    <cfRule type="expression" dxfId="1937" priority="1780" stopIfTrue="1">
      <formula>IF(WEEKDAY(T$8)=1,TRUE,FALSE)</formula>
    </cfRule>
    <cfRule type="containsText" dxfId="1936" priority="1781" operator="containsText" text="P">
      <formula>NOT(ISERROR(SEARCH("P",T167)))</formula>
    </cfRule>
    <cfRule type="containsText" dxfId="1935" priority="1782" operator="containsText" text="K">
      <formula>NOT(ISERROR(SEARCH("K",T167)))</formula>
    </cfRule>
    <cfRule type="expression" dxfId="1934" priority="1783" stopIfTrue="1">
      <formula>IF(WEEKDAY(T$8)=1,TRUE,FALSE)</formula>
    </cfRule>
    <cfRule type="containsText" dxfId="1933" priority="1784" operator="containsText" text="P">
      <formula>NOT(ISERROR(SEARCH("P",T167)))</formula>
    </cfRule>
    <cfRule type="containsText" dxfId="1932" priority="1785" operator="containsText" text="K">
      <formula>NOT(ISERROR(SEARCH("K",T167)))</formula>
    </cfRule>
    <cfRule type="expression" dxfId="1931" priority="1786" stopIfTrue="1">
      <formula>IF(WEEKDAY(T$8)=1,TRUE,FALSE)</formula>
    </cfRule>
  </conditionalFormatting>
  <conditionalFormatting sqref="T167:U167">
    <cfRule type="containsText" dxfId="1930" priority="1771" operator="containsText" text="K">
      <formula>NOT(ISERROR(SEARCH("K",T167)))</formula>
    </cfRule>
  </conditionalFormatting>
  <conditionalFormatting sqref="T213:U213">
    <cfRule type="expression" dxfId="1929" priority="1768" stopIfTrue="1">
      <formula>IF(WEEKDAY(T$8)=1,TRUE,FALSE)</formula>
    </cfRule>
    <cfRule type="containsText" dxfId="1928" priority="1769" operator="containsText" text="K">
      <formula>NOT(ISERROR(SEARCH("K",T213)))</formula>
    </cfRule>
    <cfRule type="containsText" dxfId="1927" priority="1770" operator="containsText" text="P">
      <formula>NOT(ISERROR(SEARCH("P",T213)))</formula>
    </cfRule>
  </conditionalFormatting>
  <conditionalFormatting sqref="T224:U229">
    <cfRule type="expression" dxfId="1926" priority="1765" stopIfTrue="1">
      <formula>IF(WEEKDAY(T$8)=1,TRUE,FALSE)</formula>
    </cfRule>
    <cfRule type="containsText" dxfId="1925" priority="1766" operator="containsText" text="P">
      <formula>NOT(ISERROR(SEARCH("P",T224)))</formula>
    </cfRule>
    <cfRule type="containsText" dxfId="1924" priority="1767" operator="containsText" text="K">
      <formula>NOT(ISERROR(SEARCH("K",T224)))</formula>
    </cfRule>
  </conditionalFormatting>
  <conditionalFormatting sqref="T44:V44">
    <cfRule type="expression" dxfId="1923" priority="1764" stopIfTrue="1">
      <formula>IF(WEEKDAY(T$8)=1,TRUE,FALSE)</formula>
    </cfRule>
  </conditionalFormatting>
  <conditionalFormatting sqref="T106:V106">
    <cfRule type="containsText" dxfId="1922" priority="1762" operator="containsText" text="K">
      <formula>NOT(ISERROR(SEARCH("K",T106)))</formula>
    </cfRule>
    <cfRule type="expression" dxfId="1921" priority="1763" stopIfTrue="1">
      <formula>IF(WEEKDAY(T$8)=1,TRUE,FALSE)</formula>
    </cfRule>
  </conditionalFormatting>
  <conditionalFormatting sqref="T151:V151">
    <cfRule type="expression" dxfId="1920" priority="1759" stopIfTrue="1">
      <formula>IF(WEEKDAY(T$8)=1,TRUE,FALSE)</formula>
    </cfRule>
    <cfRule type="containsText" dxfId="1919" priority="1760" operator="containsText" text="P">
      <formula>NOT(ISERROR(SEARCH("P",T151)))</formula>
    </cfRule>
    <cfRule type="containsText" dxfId="1918" priority="1761" operator="containsText" text="K">
      <formula>NOT(ISERROR(SEARCH("K",T151)))</formula>
    </cfRule>
  </conditionalFormatting>
  <conditionalFormatting sqref="T167:V167">
    <cfRule type="containsText" dxfId="1917" priority="1758" operator="containsText" text="P">
      <formula>NOT(ISERROR(SEARCH("P",T167)))</formula>
    </cfRule>
  </conditionalFormatting>
  <conditionalFormatting sqref="T181:V181">
    <cfRule type="expression" dxfId="1916" priority="1756" stopIfTrue="1">
      <formula>IF(WEEKDAY(T$8)=1,TRUE,FALSE)</formula>
    </cfRule>
    <cfRule type="containsText" dxfId="1915" priority="1757" operator="containsText" text="K">
      <formula>NOT(ISERROR(SEARCH("K",T181)))</formula>
    </cfRule>
  </conditionalFormatting>
  <conditionalFormatting sqref="T188:V189">
    <cfRule type="containsText" dxfId="1914" priority="1755" operator="containsText" text="P">
      <formula>NOT(ISERROR(SEARCH("P",T188)))</formula>
    </cfRule>
  </conditionalFormatting>
  <conditionalFormatting sqref="T188:V192">
    <cfRule type="expression" dxfId="1913" priority="1753" stopIfTrue="1">
      <formula>IF(WEEKDAY(T$8)=1,TRUE,FALSE)</formula>
    </cfRule>
    <cfRule type="containsText" dxfId="1912" priority="1754" operator="containsText" text="K">
      <formula>NOT(ISERROR(SEARCH("K",T188)))</formula>
    </cfRule>
  </conditionalFormatting>
  <conditionalFormatting sqref="T191:V192">
    <cfRule type="containsText" dxfId="1911" priority="1752" operator="containsText" text="P">
      <formula>NOT(ISERROR(SEARCH("P",T191)))</formula>
    </cfRule>
  </conditionalFormatting>
  <conditionalFormatting sqref="T194:V194">
    <cfRule type="expression" dxfId="1910" priority="1749" stopIfTrue="1">
      <formula>IF(WEEKDAY(T$8)=1,TRUE,FALSE)</formula>
    </cfRule>
    <cfRule type="containsText" dxfId="1909" priority="1750" operator="containsText" text="K">
      <formula>NOT(ISERROR(SEARCH("K",T194)))</formula>
    </cfRule>
    <cfRule type="containsText" dxfId="1908" priority="1751" operator="containsText" text="P">
      <formula>NOT(ISERROR(SEARCH("P",T194)))</formula>
    </cfRule>
  </conditionalFormatting>
  <conditionalFormatting sqref="T199:V212">
    <cfRule type="expression" dxfId="1907" priority="1746" stopIfTrue="1">
      <formula>IF(WEEKDAY(T$8)=1,TRUE,FALSE)</formula>
    </cfRule>
    <cfRule type="containsText" dxfId="1906" priority="1747" operator="containsText" text="K">
      <formula>NOT(ISERROR(SEARCH("K",T199)))</formula>
    </cfRule>
    <cfRule type="containsText" dxfId="1905" priority="1748" operator="containsText" text="P">
      <formula>NOT(ISERROR(SEARCH("P",T199)))</formula>
    </cfRule>
  </conditionalFormatting>
  <conditionalFormatting sqref="T47:X47">
    <cfRule type="expression" dxfId="1904" priority="1743" stopIfTrue="1">
      <formula>IF(WEEKDAY(T$8)=1,TRUE,FALSE)</formula>
    </cfRule>
    <cfRule type="containsText" dxfId="1903" priority="1744" operator="containsText" text="P">
      <formula>NOT(ISERROR(SEARCH("P",T47)))</formula>
    </cfRule>
    <cfRule type="containsText" dxfId="1902" priority="1745" operator="containsText" text="K">
      <formula>NOT(ISERROR(SEARCH("K",T47)))</formula>
    </cfRule>
  </conditionalFormatting>
  <conditionalFormatting sqref="T45:Y46">
    <cfRule type="containsText" dxfId="1901" priority="1742" operator="containsText" text="K">
      <formula>NOT(ISERROR(SEARCH("K",T45)))</formula>
    </cfRule>
  </conditionalFormatting>
  <conditionalFormatting sqref="T101:Y101">
    <cfRule type="containsText" dxfId="1900" priority="1741" operator="containsText" text="K">
      <formula>NOT(ISERROR(SEARCH("K",T101)))</formula>
    </cfRule>
  </conditionalFormatting>
  <conditionalFormatting sqref="T107:Y107">
    <cfRule type="containsText" dxfId="1899" priority="1740" operator="containsText" text="K">
      <formula>NOT(ISERROR(SEARCH("K",T107)))</formula>
    </cfRule>
  </conditionalFormatting>
  <conditionalFormatting sqref="U15">
    <cfRule type="containsText" dxfId="1898" priority="1739" operator="containsText" text="K">
      <formula>NOT(ISERROR(SEARCH("K",U15)))</formula>
    </cfRule>
  </conditionalFormatting>
  <conditionalFormatting sqref="U15:U16">
    <cfRule type="containsText" dxfId="1897" priority="1738" operator="containsText" text="K">
      <formula>NOT(ISERROR(SEARCH("K",U15)))</formula>
    </cfRule>
  </conditionalFormatting>
  <conditionalFormatting sqref="U38">
    <cfRule type="expression" dxfId="1896" priority="1721" stopIfTrue="1">
      <formula>IF(WEEKDAY(U$8)=1,TRUE,FALSE)</formula>
    </cfRule>
    <cfRule type="containsText" dxfId="1895" priority="1722" operator="containsText" text="P">
      <formula>NOT(ISERROR(SEARCH("P",U38)))</formula>
    </cfRule>
    <cfRule type="containsText" dxfId="1894" priority="1723" operator="containsText" text="K">
      <formula>NOT(ISERROR(SEARCH("K",U38)))</formula>
    </cfRule>
    <cfRule type="containsText" dxfId="1893" priority="1724" operator="containsText" text="P">
      <formula>NOT(ISERROR(SEARCH("P",U38)))</formula>
    </cfRule>
    <cfRule type="containsText" dxfId="1892" priority="1725" operator="containsText" text="K">
      <formula>NOT(ISERROR(SEARCH("K",U38)))</formula>
    </cfRule>
    <cfRule type="expression" dxfId="1891" priority="1726" stopIfTrue="1">
      <formula>IF(WEEKDAY(U$8)=1,TRUE,FALSE)</formula>
    </cfRule>
    <cfRule type="containsText" dxfId="1890" priority="1727" operator="containsText" text="P">
      <formula>NOT(ISERROR(SEARCH("P",U38)))</formula>
    </cfRule>
    <cfRule type="containsText" dxfId="1889" priority="1728" operator="containsText" text="K">
      <formula>NOT(ISERROR(SEARCH("K",U38)))</formula>
    </cfRule>
    <cfRule type="expression" dxfId="1888" priority="1729" stopIfTrue="1">
      <formula>IF(WEEKDAY(U$8)=1,TRUE,FALSE)</formula>
    </cfRule>
    <cfRule type="containsText" dxfId="1887" priority="1730" operator="containsText" text="P">
      <formula>NOT(ISERROR(SEARCH("P",U38)))</formula>
    </cfRule>
    <cfRule type="containsText" dxfId="1886" priority="1731" operator="containsText" text="K">
      <formula>NOT(ISERROR(SEARCH("K",U38)))</formula>
    </cfRule>
    <cfRule type="expression" dxfId="1885" priority="1732" stopIfTrue="1">
      <formula>IF(WEEKDAY(U$8)=1,TRUE,FALSE)</formula>
    </cfRule>
    <cfRule type="containsText" dxfId="1884" priority="1733" operator="containsText" text="P">
      <formula>NOT(ISERROR(SEARCH("P",U38)))</formula>
    </cfRule>
    <cfRule type="containsText" dxfId="1883" priority="1734" operator="containsText" text="K">
      <formula>NOT(ISERROR(SEARCH("K",U38)))</formula>
    </cfRule>
    <cfRule type="expression" dxfId="1882" priority="1735" stopIfTrue="1">
      <formula>IF(WEEKDAY(U$8)=1,TRUE,FALSE)</formula>
    </cfRule>
    <cfRule type="containsText" dxfId="1881" priority="1736" operator="containsText" text="P">
      <formula>NOT(ISERROR(SEARCH("P",U38)))</formula>
    </cfRule>
    <cfRule type="containsText" dxfId="1880" priority="1737" operator="containsText" text="K">
      <formula>NOT(ISERROR(SEARCH("K",U38)))</formula>
    </cfRule>
  </conditionalFormatting>
  <conditionalFormatting sqref="U38:U39">
    <cfRule type="expression" dxfId="1879" priority="1718" stopIfTrue="1">
      <formula>IF(WEEKDAY(U$8)=1,TRUE,FALSE)</formula>
    </cfRule>
    <cfRule type="containsText" dxfId="1878" priority="1719" operator="containsText" text="P">
      <formula>NOT(ISERROR(SEARCH("P",U38)))</formula>
    </cfRule>
    <cfRule type="containsText" dxfId="1877" priority="1720" operator="containsText" text="K">
      <formula>NOT(ISERROR(SEARCH("K",U38)))</formula>
    </cfRule>
  </conditionalFormatting>
  <conditionalFormatting sqref="U39">
    <cfRule type="expression" dxfId="1876" priority="1698" stopIfTrue="1">
      <formula>IF(WEEKDAY(U$8)=1,TRUE,FALSE)</formula>
    </cfRule>
    <cfRule type="containsText" dxfId="1875" priority="1699" operator="containsText" text="P">
      <formula>NOT(ISERROR(SEARCH("P",U39)))</formula>
    </cfRule>
    <cfRule type="containsText" dxfId="1874" priority="1700" operator="containsText" text="K">
      <formula>NOT(ISERROR(SEARCH("K",U39)))</formula>
    </cfRule>
    <cfRule type="expression" dxfId="1873" priority="1701" stopIfTrue="1">
      <formula>IF(WEEKDAY(U$8)=1,TRUE,FALSE)</formula>
    </cfRule>
    <cfRule type="containsText" dxfId="1872" priority="1702" operator="containsText" text="P">
      <formula>NOT(ISERROR(SEARCH("P",U39)))</formula>
    </cfRule>
    <cfRule type="containsText" dxfId="1871" priority="1703" operator="containsText" text="K">
      <formula>NOT(ISERROR(SEARCH("K",U39)))</formula>
    </cfRule>
    <cfRule type="expression" dxfId="1870" priority="1704" stopIfTrue="1">
      <formula>IF(WEEKDAY(U$8)=1,TRUE,FALSE)</formula>
    </cfRule>
    <cfRule type="containsText" dxfId="1869" priority="1705" operator="containsText" text="P">
      <formula>NOT(ISERROR(SEARCH("P",U39)))</formula>
    </cfRule>
    <cfRule type="containsText" dxfId="1868" priority="1706" operator="containsText" text="K">
      <formula>NOT(ISERROR(SEARCH("K",U39)))</formula>
    </cfRule>
    <cfRule type="containsText" dxfId="1867" priority="1707" operator="containsText" text="P">
      <formula>NOT(ISERROR(SEARCH("P",U39)))</formula>
    </cfRule>
    <cfRule type="containsText" dxfId="1866" priority="1708" operator="containsText" text="K">
      <formula>NOT(ISERROR(SEARCH("K",U39)))</formula>
    </cfRule>
    <cfRule type="expression" dxfId="1865" priority="1709" stopIfTrue="1">
      <formula>IF(WEEKDAY(U$8)=1,TRUE,FALSE)</formula>
    </cfRule>
    <cfRule type="containsText" dxfId="1864" priority="1710" operator="containsText" text="P">
      <formula>NOT(ISERROR(SEARCH("P",U39)))</formula>
    </cfRule>
    <cfRule type="containsText" dxfId="1863" priority="1711" operator="containsText" text="K">
      <formula>NOT(ISERROR(SEARCH("K",U39)))</formula>
    </cfRule>
    <cfRule type="expression" dxfId="1862" priority="1712" stopIfTrue="1">
      <formula>IF(WEEKDAY(U$8)=1,TRUE,FALSE)</formula>
    </cfRule>
    <cfRule type="containsText" dxfId="1861" priority="1713" operator="containsText" text="P">
      <formula>NOT(ISERROR(SEARCH("P",U39)))</formula>
    </cfRule>
    <cfRule type="containsText" dxfId="1860" priority="1714" operator="containsText" text="K">
      <formula>NOT(ISERROR(SEARCH("K",U39)))</formula>
    </cfRule>
    <cfRule type="expression" dxfId="1859" priority="1715" stopIfTrue="1">
      <formula>IF(WEEKDAY(U$8)=1,TRUE,FALSE)</formula>
    </cfRule>
    <cfRule type="containsText" dxfId="1858" priority="1716" operator="containsText" text="P">
      <formula>NOT(ISERROR(SEARCH("P",U39)))</formula>
    </cfRule>
    <cfRule type="containsText" dxfId="1857" priority="1717" operator="containsText" text="K">
      <formula>NOT(ISERROR(SEARCH("K",U39)))</formula>
    </cfRule>
  </conditionalFormatting>
  <conditionalFormatting sqref="U40 N40">
    <cfRule type="expression" dxfId="1856" priority="1697" stopIfTrue="1">
      <formula>IF(WEEKDAY(N$8)=1,TRUE,FALSE)</formula>
    </cfRule>
  </conditionalFormatting>
  <conditionalFormatting sqref="U41">
    <cfRule type="expression" dxfId="1855" priority="1674" stopIfTrue="1">
      <formula>IF(WEEKDAY(U$8)=1,TRUE,FALSE)</formula>
    </cfRule>
    <cfRule type="containsText" dxfId="1854" priority="1675" operator="containsText" text="P">
      <formula>NOT(ISERROR(SEARCH("P",U41)))</formula>
    </cfRule>
    <cfRule type="containsText" dxfId="1853" priority="1676" operator="containsText" text="K">
      <formula>NOT(ISERROR(SEARCH("K",U41)))</formula>
    </cfRule>
    <cfRule type="expression" dxfId="1852" priority="1677" stopIfTrue="1">
      <formula>IF(WEEKDAY(U$8)=1,TRUE,FALSE)</formula>
    </cfRule>
    <cfRule type="containsText" dxfId="1851" priority="1678" operator="containsText" text="P">
      <formula>NOT(ISERROR(SEARCH("P",U41)))</formula>
    </cfRule>
    <cfRule type="containsText" dxfId="1850" priority="1679" operator="containsText" text="K">
      <formula>NOT(ISERROR(SEARCH("K",U41)))</formula>
    </cfRule>
    <cfRule type="expression" dxfId="1849" priority="1680" stopIfTrue="1">
      <formula>IF(WEEKDAY(U$8)=1,TRUE,FALSE)</formula>
    </cfRule>
    <cfRule type="containsText" dxfId="1848" priority="1681" operator="containsText" text="P">
      <formula>NOT(ISERROR(SEARCH("P",U41)))</formula>
    </cfRule>
    <cfRule type="containsText" dxfId="1847" priority="1682" operator="containsText" text="K">
      <formula>NOT(ISERROR(SEARCH("K",U41)))</formula>
    </cfRule>
    <cfRule type="containsText" dxfId="1846" priority="1683" operator="containsText" text="P">
      <formula>NOT(ISERROR(SEARCH("P",U41)))</formula>
    </cfRule>
    <cfRule type="containsText" dxfId="1845" priority="1684" operator="containsText" text="K">
      <formula>NOT(ISERROR(SEARCH("K",U41)))</formula>
    </cfRule>
    <cfRule type="expression" dxfId="1844" priority="1685" stopIfTrue="1">
      <formula>IF(WEEKDAY(U$8)=1,TRUE,FALSE)</formula>
    </cfRule>
    <cfRule type="containsText" dxfId="1843" priority="1686" operator="containsText" text="P">
      <formula>NOT(ISERROR(SEARCH("P",U41)))</formula>
    </cfRule>
    <cfRule type="containsText" dxfId="1842" priority="1687" operator="containsText" text="K">
      <formula>NOT(ISERROR(SEARCH("K",U41)))</formula>
    </cfRule>
    <cfRule type="expression" dxfId="1841" priority="1688" stopIfTrue="1">
      <formula>IF(WEEKDAY(U$8)=1,TRUE,FALSE)</formula>
    </cfRule>
    <cfRule type="containsText" dxfId="1840" priority="1689" operator="containsText" text="P">
      <formula>NOT(ISERROR(SEARCH("P",U41)))</formula>
    </cfRule>
    <cfRule type="containsText" dxfId="1839" priority="1690" operator="containsText" text="K">
      <formula>NOT(ISERROR(SEARCH("K",U41)))</formula>
    </cfRule>
    <cfRule type="expression" dxfId="1838" priority="1691" stopIfTrue="1">
      <formula>IF(WEEKDAY(U$8)=1,TRUE,FALSE)</formula>
    </cfRule>
    <cfRule type="containsText" dxfId="1837" priority="1692" operator="containsText" text="P">
      <formula>NOT(ISERROR(SEARCH("P",U41)))</formula>
    </cfRule>
    <cfRule type="containsText" dxfId="1836" priority="1693" operator="containsText" text="K">
      <formula>NOT(ISERROR(SEARCH("K",U41)))</formula>
    </cfRule>
    <cfRule type="expression" dxfId="1835" priority="1694" stopIfTrue="1">
      <formula>IF(WEEKDAY(U$8)=1,TRUE,FALSE)</formula>
    </cfRule>
    <cfRule type="containsText" dxfId="1834" priority="1695" operator="containsText" text="P">
      <formula>NOT(ISERROR(SEARCH("P",U41)))</formula>
    </cfRule>
    <cfRule type="containsText" dxfId="1833" priority="1696" operator="containsText" text="K">
      <formula>NOT(ISERROR(SEARCH("K",U41)))</formula>
    </cfRule>
  </conditionalFormatting>
  <conditionalFormatting sqref="U42">
    <cfRule type="expression" dxfId="1832" priority="1669" stopIfTrue="1">
      <formula>IF(WEEKDAY(U$8)=1,TRUE,FALSE)</formula>
    </cfRule>
    <cfRule type="containsText" dxfId="1831" priority="1670" operator="containsText" text="P">
      <formula>NOT(ISERROR(SEARCH("P",U42)))</formula>
    </cfRule>
    <cfRule type="containsText" dxfId="1830" priority="1671" operator="containsText" text="K">
      <formula>NOT(ISERROR(SEARCH("K",U42)))</formula>
    </cfRule>
    <cfRule type="containsText" dxfId="1829" priority="1672" operator="containsText" text="P">
      <formula>NOT(ISERROR(SEARCH("P",U42)))</formula>
    </cfRule>
    <cfRule type="expression" dxfId="1828" priority="1673" stopIfTrue="1">
      <formula>IF(WEEKDAY(U$8)=1,TRUE,FALSE)</formula>
    </cfRule>
  </conditionalFormatting>
  <conditionalFormatting sqref="U45:U47">
    <cfRule type="containsText" dxfId="1827" priority="1668" operator="containsText" text="P">
      <formula>NOT(ISERROR(SEARCH("P",U45)))</formula>
    </cfRule>
  </conditionalFormatting>
  <conditionalFormatting sqref="U48">
    <cfRule type="expression" dxfId="1826" priority="1662" stopIfTrue="1">
      <formula>IF(WEEKDAY(U$8)=1,TRUE,FALSE)</formula>
    </cfRule>
    <cfRule type="containsText" dxfId="1825" priority="1663" operator="containsText" text="P">
      <formula>NOT(ISERROR(SEARCH("P",U48)))</formula>
    </cfRule>
    <cfRule type="containsText" dxfId="1824" priority="1664" operator="containsText" text="K">
      <formula>NOT(ISERROR(SEARCH("K",U48)))</formula>
    </cfRule>
    <cfRule type="expression" dxfId="1823" priority="1665" stopIfTrue="1">
      <formula>IF(WEEKDAY(U$8)=1,TRUE,FALSE)</formula>
    </cfRule>
    <cfRule type="containsText" dxfId="1822" priority="1666" operator="containsText" text="P">
      <formula>NOT(ISERROR(SEARCH("P",U48)))</formula>
    </cfRule>
    <cfRule type="containsText" dxfId="1821" priority="1667" operator="containsText" text="K">
      <formula>NOT(ISERROR(SEARCH("K",U48)))</formula>
    </cfRule>
  </conditionalFormatting>
  <conditionalFormatting sqref="U52">
    <cfRule type="expression" dxfId="1820" priority="1653" stopIfTrue="1">
      <formula>IF(WEEKDAY(U$8)=1,TRUE,FALSE)</formula>
    </cfRule>
    <cfRule type="containsText" dxfId="1819" priority="1654" operator="containsText" text="P">
      <formula>NOT(ISERROR(SEARCH("P",U52)))</formula>
    </cfRule>
    <cfRule type="containsText" dxfId="1818" priority="1655" operator="containsText" text="K">
      <formula>NOT(ISERROR(SEARCH("K",U52)))</formula>
    </cfRule>
    <cfRule type="expression" dxfId="1817" priority="1656" stopIfTrue="1">
      <formula>IF(WEEKDAY(U$8)=1,TRUE,FALSE)</formula>
    </cfRule>
    <cfRule type="containsText" dxfId="1816" priority="1657" operator="containsText" text="P">
      <formula>NOT(ISERROR(SEARCH("P",U52)))</formula>
    </cfRule>
    <cfRule type="containsText" dxfId="1815" priority="1658" operator="containsText" text="K">
      <formula>NOT(ISERROR(SEARCH("K",U52)))</formula>
    </cfRule>
    <cfRule type="expression" dxfId="1814" priority="1659" stopIfTrue="1">
      <formula>IF(WEEKDAY(U$8)=1,TRUE,FALSE)</formula>
    </cfRule>
    <cfRule type="containsText" dxfId="1813" priority="1660" operator="containsText" text="P">
      <formula>NOT(ISERROR(SEARCH("P",U52)))</formula>
    </cfRule>
    <cfRule type="containsText" dxfId="1812" priority="1661" operator="containsText" text="K">
      <formula>NOT(ISERROR(SEARCH("K",U52)))</formula>
    </cfRule>
  </conditionalFormatting>
  <conditionalFormatting sqref="U81">
    <cfRule type="containsText" dxfId="1811" priority="1647" operator="containsText" text="P">
      <formula>NOT(ISERROR(SEARCH("P",U81)))</formula>
    </cfRule>
    <cfRule type="containsText" dxfId="1810" priority="1648" operator="containsText" text="K">
      <formula>NOT(ISERROR(SEARCH("K",U81)))</formula>
    </cfRule>
    <cfRule type="expression" dxfId="1809" priority="1649" stopIfTrue="1">
      <formula>IF(WEEKDAY(U$8)=1,TRUE,FALSE)</formula>
    </cfRule>
    <cfRule type="containsText" dxfId="1808" priority="1650" operator="containsText" text="P">
      <formula>NOT(ISERROR(SEARCH("P",U81)))</formula>
    </cfRule>
    <cfRule type="containsText" dxfId="1807" priority="1651" operator="containsText" text="K">
      <formula>NOT(ISERROR(SEARCH("K",U81)))</formula>
    </cfRule>
    <cfRule type="containsText" dxfId="1806" priority="1652" operator="containsText" text="P">
      <formula>NOT(ISERROR(SEARCH("P",U81)))</formula>
    </cfRule>
  </conditionalFormatting>
  <conditionalFormatting sqref="U97">
    <cfRule type="expression" dxfId="1805" priority="1643" stopIfTrue="1">
      <formula>IF(WEEKDAY(U$8)=1,TRUE,FALSE)</formula>
    </cfRule>
    <cfRule type="containsText" dxfId="1804" priority="1644" operator="containsText" text="P">
      <formula>NOT(ISERROR(SEARCH("P",U97)))</formula>
    </cfRule>
    <cfRule type="containsText" dxfId="1803" priority="1645" operator="containsText" text="K">
      <formula>NOT(ISERROR(SEARCH("K",U97)))</formula>
    </cfRule>
    <cfRule type="containsText" dxfId="1802" priority="1646" operator="containsText" text="P">
      <formula>NOT(ISERROR(SEARCH("P",U97)))</formula>
    </cfRule>
  </conditionalFormatting>
  <conditionalFormatting sqref="U102">
    <cfRule type="containsText" dxfId="1801" priority="1637" operator="containsText" text="K">
      <formula>NOT(ISERROR(SEARCH("K",U102)))</formula>
    </cfRule>
    <cfRule type="expression" dxfId="1800" priority="1638" stopIfTrue="1">
      <formula>IF(WEEKDAY(U$8)=1,TRUE,FALSE)</formula>
    </cfRule>
    <cfRule type="containsText" dxfId="1799" priority="1639" operator="containsText" text="P">
      <formula>NOT(ISERROR(SEARCH("P",U102)))</formula>
    </cfRule>
    <cfRule type="containsText" dxfId="1798" priority="1640" operator="containsText" text="K">
      <formula>NOT(ISERROR(SEARCH("K",U102)))</formula>
    </cfRule>
    <cfRule type="expression" dxfId="1797" priority="1641" stopIfTrue="1">
      <formula>IF(WEEKDAY(U$8)=1,TRUE,FALSE)</formula>
    </cfRule>
    <cfRule type="containsText" dxfId="1796" priority="1642" operator="containsText" text="P">
      <formula>NOT(ISERROR(SEARCH("P",U102)))</formula>
    </cfRule>
  </conditionalFormatting>
  <conditionalFormatting sqref="U144">
    <cfRule type="expression" dxfId="1795" priority="1634" stopIfTrue="1">
      <formula>IF(WEEKDAY(U$8)=1,TRUE,FALSE)</formula>
    </cfRule>
    <cfRule type="containsText" dxfId="1794" priority="1635" operator="containsText" text="P">
      <formula>NOT(ISERROR(SEARCH("P",U144)))</formula>
    </cfRule>
    <cfRule type="containsText" dxfId="1793" priority="1636" operator="containsText" text="K">
      <formula>NOT(ISERROR(SEARCH("K",U144)))</formula>
    </cfRule>
  </conditionalFormatting>
  <conditionalFormatting sqref="U151">
    <cfRule type="expression" dxfId="1792" priority="1632" stopIfTrue="1">
      <formula>IF(WEEKDAY(U$8)=1,TRUE,FALSE)</formula>
    </cfRule>
    <cfRule type="containsText" dxfId="1791" priority="1633" operator="containsText" text="P">
      <formula>NOT(ISERROR(SEARCH("P",U151)))</formula>
    </cfRule>
  </conditionalFormatting>
  <conditionalFormatting sqref="U153:U154">
    <cfRule type="expression" dxfId="1790" priority="1630" stopIfTrue="1">
      <formula>IF(WEEKDAY(U$8)=1,TRUE,FALSE)</formula>
    </cfRule>
    <cfRule type="containsText" dxfId="1789" priority="1631" operator="containsText" text="P">
      <formula>NOT(ISERROR(SEARCH("P",U153)))</formula>
    </cfRule>
  </conditionalFormatting>
  <conditionalFormatting sqref="U154">
    <cfRule type="containsText" dxfId="1788" priority="1629" operator="containsText" text="K">
      <formula>NOT(ISERROR(SEARCH("K",U154)))</formula>
    </cfRule>
  </conditionalFormatting>
  <conditionalFormatting sqref="U155">
    <cfRule type="expression" dxfId="1787" priority="1626" stopIfTrue="1">
      <formula>IF(WEEKDAY(U$8)=1,TRUE,FALSE)</formula>
    </cfRule>
    <cfRule type="containsText" dxfId="1786" priority="1627" operator="containsText" text="P">
      <formula>NOT(ISERROR(SEARCH("P",U155)))</formula>
    </cfRule>
    <cfRule type="containsText" dxfId="1785" priority="1628" operator="containsText" text="K">
      <formula>NOT(ISERROR(SEARCH("K",U155)))</formula>
    </cfRule>
  </conditionalFormatting>
  <conditionalFormatting sqref="U162 X162:Y162">
    <cfRule type="containsText" dxfId="1784" priority="1625" operator="containsText" text="K">
      <formula>NOT(ISERROR(SEARCH("K",U162)))</formula>
    </cfRule>
  </conditionalFormatting>
  <conditionalFormatting sqref="U162">
    <cfRule type="expression" dxfId="1783" priority="1621" stopIfTrue="1">
      <formula>IF(WEEKDAY(U$8)=1,TRUE,FALSE)</formula>
    </cfRule>
    <cfRule type="containsText" dxfId="1782" priority="1622" operator="containsText" text="P">
      <formula>NOT(ISERROR(SEARCH("P",U162)))</formula>
    </cfRule>
    <cfRule type="containsText" dxfId="1781" priority="1623" operator="containsText" text="K">
      <formula>NOT(ISERROR(SEARCH("K",U162)))</formula>
    </cfRule>
    <cfRule type="containsText" dxfId="1780" priority="1624" operator="containsText" text="P">
      <formula>NOT(ISERROR(SEARCH("P",U162)))</formula>
    </cfRule>
  </conditionalFormatting>
  <conditionalFormatting sqref="U164 W164:Y164">
    <cfRule type="containsText" dxfId="1779" priority="1620" operator="containsText" text="K">
      <formula>NOT(ISERROR(SEARCH("K",U164)))</formula>
    </cfRule>
  </conditionalFormatting>
  <conditionalFormatting sqref="U164">
    <cfRule type="expression" dxfId="1778" priority="1616" stopIfTrue="1">
      <formula>IF(WEEKDAY(U$8)=1,TRUE,FALSE)</formula>
    </cfRule>
    <cfRule type="containsText" dxfId="1777" priority="1617" operator="containsText" text="P">
      <formula>NOT(ISERROR(SEARCH("P",U164)))</formula>
    </cfRule>
    <cfRule type="containsText" dxfId="1776" priority="1618" operator="containsText" text="K">
      <formula>NOT(ISERROR(SEARCH("K",U164)))</formula>
    </cfRule>
    <cfRule type="containsText" dxfId="1775" priority="1619" operator="containsText" text="P">
      <formula>NOT(ISERROR(SEARCH("P",U164)))</formula>
    </cfRule>
  </conditionalFormatting>
  <conditionalFormatting sqref="U168 W168:Y168">
    <cfRule type="containsText" dxfId="1774" priority="1615" operator="containsText" text="K">
      <formula>NOT(ISERROR(SEARCH("K",U168)))</formula>
    </cfRule>
  </conditionalFormatting>
  <conditionalFormatting sqref="U169">
    <cfRule type="containsText" dxfId="1773" priority="1611" operator="containsText" text="P">
      <formula>NOT(ISERROR(SEARCH("P",U169)))</formula>
    </cfRule>
    <cfRule type="containsText" dxfId="1772" priority="1612" operator="containsText" text="K">
      <formula>NOT(ISERROR(SEARCH("K",U169)))</formula>
    </cfRule>
    <cfRule type="containsText" dxfId="1771" priority="1613" operator="containsText" text="P">
      <formula>NOT(ISERROR(SEARCH("P",U169)))</formula>
    </cfRule>
    <cfRule type="containsText" dxfId="1770" priority="1614" operator="containsText" text="K">
      <formula>NOT(ISERROR(SEARCH("K",U169)))</formula>
    </cfRule>
  </conditionalFormatting>
  <conditionalFormatting sqref="U169:U170">
    <cfRule type="expression" dxfId="1769" priority="1610" stopIfTrue="1">
      <formula>IF(WEEKDAY(U$8)=1,TRUE,FALSE)</formula>
    </cfRule>
  </conditionalFormatting>
  <conditionalFormatting sqref="U170">
    <cfRule type="containsText" dxfId="1768" priority="1604" operator="containsText" text="P">
      <formula>NOT(ISERROR(SEARCH("P",U170)))</formula>
    </cfRule>
    <cfRule type="containsText" dxfId="1767" priority="1605" operator="containsText" text="K">
      <formula>NOT(ISERROR(SEARCH("K",U170)))</formula>
    </cfRule>
    <cfRule type="expression" dxfId="1766" priority="1606" stopIfTrue="1">
      <formula>IF(WEEKDAY(U$8)=1,TRUE,FALSE)</formula>
    </cfRule>
    <cfRule type="containsText" dxfId="1765" priority="1607" operator="containsText" text="P">
      <formula>NOT(ISERROR(SEARCH("P",U170)))</formula>
    </cfRule>
    <cfRule type="containsText" dxfId="1764" priority="1608" operator="containsText" text="K">
      <formula>NOT(ISERROR(SEARCH("K",U170)))</formula>
    </cfRule>
    <cfRule type="containsText" dxfId="1763" priority="1609" operator="containsText" text="P">
      <formula>NOT(ISERROR(SEARCH("P",U170)))</formula>
    </cfRule>
  </conditionalFormatting>
  <conditionalFormatting sqref="U170:U171">
    <cfRule type="expression" dxfId="1762" priority="1603" stopIfTrue="1">
      <formula>IF(WEEKDAY(U$8)=1,TRUE,FALSE)</formula>
    </cfRule>
  </conditionalFormatting>
  <conditionalFormatting sqref="U171">
    <cfRule type="containsText" dxfId="1761" priority="1597" operator="containsText" text="P">
      <formula>NOT(ISERROR(SEARCH("P",U171)))</formula>
    </cfRule>
    <cfRule type="containsText" dxfId="1760" priority="1598" operator="containsText" text="K">
      <formula>NOT(ISERROR(SEARCH("K",U171)))</formula>
    </cfRule>
    <cfRule type="containsText" dxfId="1759" priority="1599" operator="containsText" text="P">
      <formula>NOT(ISERROR(SEARCH("P",U171)))</formula>
    </cfRule>
    <cfRule type="containsText" dxfId="1758" priority="1600" operator="containsText" text="K">
      <formula>NOT(ISERROR(SEARCH("K",U171)))</formula>
    </cfRule>
    <cfRule type="containsText" dxfId="1757" priority="1601" operator="containsText" text="P">
      <formula>NOT(ISERROR(SEARCH("P",U171)))</formula>
    </cfRule>
    <cfRule type="containsText" dxfId="1756" priority="1602" operator="containsText" text="K">
      <formula>NOT(ISERROR(SEARCH("K",U171)))</formula>
    </cfRule>
  </conditionalFormatting>
  <conditionalFormatting sqref="U171:U172">
    <cfRule type="expression" dxfId="1755" priority="1596" stopIfTrue="1">
      <formula>IF(WEEKDAY(U$8)=1,TRUE,FALSE)</formula>
    </cfRule>
  </conditionalFormatting>
  <conditionalFormatting sqref="U172">
    <cfRule type="containsText" dxfId="1754" priority="1593" operator="containsText" text="P">
      <formula>NOT(ISERROR(SEARCH("P",U172)))</formula>
    </cfRule>
    <cfRule type="containsText" dxfId="1753" priority="1594" operator="containsText" text="K">
      <formula>NOT(ISERROR(SEARCH("K",U172)))</formula>
    </cfRule>
    <cfRule type="containsText" dxfId="1752" priority="1595" operator="containsText" text="P">
      <formula>NOT(ISERROR(SEARCH("P",U172)))</formula>
    </cfRule>
  </conditionalFormatting>
  <conditionalFormatting sqref="U172:U174 W173:X174">
    <cfRule type="containsText" dxfId="1751" priority="1592" operator="containsText" text="K">
      <formula>NOT(ISERROR(SEARCH("K",U172)))</formula>
    </cfRule>
  </conditionalFormatting>
  <conditionalFormatting sqref="U175:U176">
    <cfRule type="expression" dxfId="1750" priority="1591" stopIfTrue="1">
      <formula>IF(WEEKDAY(U$8)=1,TRUE,FALSE)</formula>
    </cfRule>
  </conditionalFormatting>
  <conditionalFormatting sqref="U176">
    <cfRule type="containsText" dxfId="1749" priority="1590" operator="containsText" text="K">
      <formula>NOT(ISERROR(SEARCH("K",U176)))</formula>
    </cfRule>
  </conditionalFormatting>
  <conditionalFormatting sqref="U176:U177">
    <cfRule type="containsText" dxfId="1748" priority="1589" operator="containsText" text="P">
      <formula>NOT(ISERROR(SEARCH("P",U176)))</formula>
    </cfRule>
  </conditionalFormatting>
  <conditionalFormatting sqref="U177">
    <cfRule type="containsText" dxfId="1747" priority="1587" operator="containsText" text="K">
      <formula>NOT(ISERROR(SEARCH("K",U177)))</formula>
    </cfRule>
    <cfRule type="expression" dxfId="1746" priority="1588" stopIfTrue="1">
      <formula>IF(WEEKDAY(U$8)=1,TRUE,FALSE)</formula>
    </cfRule>
  </conditionalFormatting>
  <conditionalFormatting sqref="U178">
    <cfRule type="expression" dxfId="1745" priority="1583" stopIfTrue="1">
      <formula>IF(WEEKDAY(U$8)=1,TRUE,FALSE)</formula>
    </cfRule>
    <cfRule type="containsText" dxfId="1744" priority="1584" operator="containsText" text="P">
      <formula>NOT(ISERROR(SEARCH("P",U178)))</formula>
    </cfRule>
    <cfRule type="containsText" dxfId="1743" priority="1585" operator="containsText" text="K">
      <formula>NOT(ISERROR(SEARCH("K",U178)))</formula>
    </cfRule>
    <cfRule type="expression" dxfId="1742" priority="1586" stopIfTrue="1">
      <formula>IF(WEEKDAY(U$8)=1,TRUE,FALSE)</formula>
    </cfRule>
  </conditionalFormatting>
  <conditionalFormatting sqref="U180">
    <cfRule type="expression" dxfId="1741" priority="1580" stopIfTrue="1">
      <formula>IF(WEEKDAY(U$8)=1,TRUE,FALSE)</formula>
    </cfRule>
    <cfRule type="containsText" dxfId="1740" priority="1581" operator="containsText" text="K">
      <formula>NOT(ISERROR(SEARCH("K",U180)))</formula>
    </cfRule>
    <cfRule type="containsText" dxfId="1739" priority="1582" operator="containsText" text="P">
      <formula>NOT(ISERROR(SEARCH("P",U180)))</formula>
    </cfRule>
  </conditionalFormatting>
  <conditionalFormatting sqref="U222 I222:S222">
    <cfRule type="containsText" dxfId="1738" priority="1579" operator="containsText" text="P">
      <formula>NOT(ISERROR(SEARCH("P",I222)))</formula>
    </cfRule>
  </conditionalFormatting>
  <conditionalFormatting sqref="U222">
    <cfRule type="expression" dxfId="1737" priority="1578" stopIfTrue="1">
      <formula>IF(WEEKDAY(U$8)=1,TRUE,FALSE)</formula>
    </cfRule>
  </conditionalFormatting>
  <conditionalFormatting sqref="U48:V48">
    <cfRule type="expression" dxfId="1736" priority="1575" stopIfTrue="1">
      <formula>IF(WEEKDAY(U$8)=1,TRUE,FALSE)</formula>
    </cfRule>
    <cfRule type="containsText" dxfId="1735" priority="1576" operator="containsText" text="P">
      <formula>NOT(ISERROR(SEARCH("P",U48)))</formula>
    </cfRule>
    <cfRule type="containsText" dxfId="1734" priority="1577" operator="containsText" text="K">
      <formula>NOT(ISERROR(SEARCH("K",U48)))</formula>
    </cfRule>
  </conditionalFormatting>
  <conditionalFormatting sqref="U153:V153">
    <cfRule type="expression" dxfId="1733" priority="1572" stopIfTrue="1">
      <formula>IF(WEEKDAY(U$8)=1,TRUE,FALSE)</formula>
    </cfRule>
    <cfRule type="containsText" dxfId="1732" priority="1573" operator="containsText" text="P">
      <formula>NOT(ISERROR(SEARCH("P",U153)))</formula>
    </cfRule>
    <cfRule type="containsText" dxfId="1731" priority="1574" operator="containsText" text="K">
      <formula>NOT(ISERROR(SEARCH("K",U153)))</formula>
    </cfRule>
  </conditionalFormatting>
  <conditionalFormatting sqref="U171:V171">
    <cfRule type="expression" dxfId="1730" priority="1571" stopIfTrue="1">
      <formula>IF(WEEKDAY(U$8)=1,TRUE,FALSE)</formula>
    </cfRule>
  </conditionalFormatting>
  <conditionalFormatting sqref="U176:V176">
    <cfRule type="containsText" dxfId="1729" priority="1570" operator="containsText" text="P">
      <formula>NOT(ISERROR(SEARCH("P",U176)))</formula>
    </cfRule>
  </conditionalFormatting>
  <conditionalFormatting sqref="U178:V178">
    <cfRule type="expression" dxfId="1728" priority="1568" stopIfTrue="1">
      <formula>IF(WEEKDAY(U$8)=1,TRUE,FALSE)</formula>
    </cfRule>
    <cfRule type="containsText" dxfId="1727" priority="1569" operator="containsText" text="P">
      <formula>NOT(ISERROR(SEARCH("P",U178)))</formula>
    </cfRule>
  </conditionalFormatting>
  <conditionalFormatting sqref="U184:V184">
    <cfRule type="expression" dxfId="1726" priority="1565" stopIfTrue="1">
      <formula>IF(WEEKDAY(U$8)=1,TRUE,FALSE)</formula>
    </cfRule>
    <cfRule type="containsText" dxfId="1725" priority="1566" operator="containsText" text="K">
      <formula>NOT(ISERROR(SEARCH("K",U184)))</formula>
    </cfRule>
    <cfRule type="containsText" dxfId="1724" priority="1567" operator="containsText" text="P">
      <formula>NOT(ISERROR(SEARCH("P",U184)))</formula>
    </cfRule>
  </conditionalFormatting>
  <conditionalFormatting sqref="U40:W40">
    <cfRule type="containsText" dxfId="1723" priority="1536" operator="containsText" text="P">
      <formula>NOT(ISERROR(SEARCH("P",U40)))</formula>
    </cfRule>
    <cfRule type="containsText" dxfId="1722" priority="1537" operator="containsText" text="K">
      <formula>NOT(ISERROR(SEARCH("K",U40)))</formula>
    </cfRule>
    <cfRule type="expression" dxfId="1721" priority="1538" stopIfTrue="1">
      <formula>IF(WEEKDAY(U$8)=1,TRUE,FALSE)</formula>
    </cfRule>
    <cfRule type="containsText" dxfId="1720" priority="1539" operator="containsText" text="P">
      <formula>NOT(ISERROR(SEARCH("P",U40)))</formula>
    </cfRule>
    <cfRule type="containsText" dxfId="1719" priority="1540" operator="containsText" text="K">
      <formula>NOT(ISERROR(SEARCH("K",U40)))</formula>
    </cfRule>
    <cfRule type="expression" dxfId="1718" priority="1541" stopIfTrue="1">
      <formula>IF(WEEKDAY(U$8)=1,TRUE,FALSE)</formula>
    </cfRule>
    <cfRule type="containsText" dxfId="1717" priority="1542" operator="containsText" text="P">
      <formula>NOT(ISERROR(SEARCH("P",U40)))</formula>
    </cfRule>
    <cfRule type="containsText" dxfId="1716" priority="1543" operator="containsText" text="K">
      <formula>NOT(ISERROR(SEARCH("K",U40)))</formula>
    </cfRule>
    <cfRule type="expression" dxfId="1715" priority="1544" stopIfTrue="1">
      <formula>IF(WEEKDAY(U$8)=1,TRUE,FALSE)</formula>
    </cfRule>
    <cfRule type="containsText" dxfId="1714" priority="1545" operator="containsText" text="P">
      <formula>NOT(ISERROR(SEARCH("P",U40)))</formula>
    </cfRule>
    <cfRule type="containsText" dxfId="1713" priority="1546" operator="containsText" text="K">
      <formula>NOT(ISERROR(SEARCH("K",U40)))</formula>
    </cfRule>
    <cfRule type="expression" dxfId="1712" priority="1547" stopIfTrue="1">
      <formula>IF(WEEKDAY(U$8)=1,TRUE,FALSE)</formula>
    </cfRule>
    <cfRule type="containsText" dxfId="1711" priority="1548" operator="containsText" text="P">
      <formula>NOT(ISERROR(SEARCH("P",U40)))</formula>
    </cfRule>
    <cfRule type="containsText" dxfId="1710" priority="1549" operator="containsText" text="K">
      <formula>NOT(ISERROR(SEARCH("K",U40)))</formula>
    </cfRule>
    <cfRule type="expression" dxfId="1709" priority="1550" stopIfTrue="1">
      <formula>IF(WEEKDAY(U$8)=1,TRUE,FALSE)</formula>
    </cfRule>
    <cfRule type="containsText" dxfId="1708" priority="1551" operator="containsText" text="P">
      <formula>NOT(ISERROR(SEARCH("P",U40)))</formula>
    </cfRule>
    <cfRule type="containsText" dxfId="1707" priority="1552" operator="containsText" text="K">
      <formula>NOT(ISERROR(SEARCH("K",U40)))</formula>
    </cfRule>
    <cfRule type="expression" dxfId="1706" priority="1553" stopIfTrue="1">
      <formula>IF(WEEKDAY(U$8)=1,TRUE,FALSE)</formula>
    </cfRule>
    <cfRule type="containsText" dxfId="1705" priority="1554" operator="containsText" text="P">
      <formula>NOT(ISERROR(SEARCH("P",U40)))</formula>
    </cfRule>
    <cfRule type="containsText" dxfId="1704" priority="1555" operator="containsText" text="K">
      <formula>NOT(ISERROR(SEARCH("K",U40)))</formula>
    </cfRule>
    <cfRule type="expression" dxfId="1703" priority="1556" stopIfTrue="1">
      <formula>IF(WEEKDAY(U$8)=1,TRUE,FALSE)</formula>
    </cfRule>
    <cfRule type="containsText" dxfId="1702" priority="1557" operator="containsText" text="P">
      <formula>NOT(ISERROR(SEARCH("P",U40)))</formula>
    </cfRule>
    <cfRule type="containsText" dxfId="1701" priority="1558" operator="containsText" text="K">
      <formula>NOT(ISERROR(SEARCH("K",U40)))</formula>
    </cfRule>
    <cfRule type="expression" dxfId="1700" priority="1559" stopIfTrue="1">
      <formula>IF(WEEKDAY(U$8)=1,TRUE,FALSE)</formula>
    </cfRule>
    <cfRule type="containsText" dxfId="1699" priority="1560" operator="containsText" text="P">
      <formula>NOT(ISERROR(SEARCH("P",U40)))</formula>
    </cfRule>
    <cfRule type="containsText" dxfId="1698" priority="1561" operator="containsText" text="K">
      <formula>NOT(ISERROR(SEARCH("K",U40)))</formula>
    </cfRule>
    <cfRule type="expression" dxfId="1697" priority="1562" stopIfTrue="1">
      <formula>IF(WEEKDAY(U$8)=1,TRUE,FALSE)</formula>
    </cfRule>
    <cfRule type="containsText" dxfId="1696" priority="1563" operator="containsText" text="P">
      <formula>NOT(ISERROR(SEARCH("P",U40)))</formula>
    </cfRule>
    <cfRule type="containsText" dxfId="1695" priority="1564" operator="containsText" text="K">
      <formula>NOT(ISERROR(SEARCH("K",U40)))</formula>
    </cfRule>
  </conditionalFormatting>
  <conditionalFormatting sqref="U102:W102 K102:N102">
    <cfRule type="containsText" dxfId="1694" priority="1535" operator="containsText" text="P">
      <formula>NOT(ISERROR(SEARCH("P",K102)))</formula>
    </cfRule>
  </conditionalFormatting>
  <conditionalFormatting sqref="U102:W102">
    <cfRule type="expression" dxfId="1693" priority="1534" stopIfTrue="1">
      <formula>IF(WEEKDAY(U$8)=1,TRUE,FALSE)</formula>
    </cfRule>
  </conditionalFormatting>
  <conditionalFormatting sqref="U169:W169">
    <cfRule type="expression" dxfId="1692" priority="1530" stopIfTrue="1">
      <formula>IF(WEEKDAY(U$8)=1,TRUE,FALSE)</formula>
    </cfRule>
    <cfRule type="containsText" dxfId="1691" priority="1531" operator="containsText" text="P">
      <formula>NOT(ISERROR(SEARCH("P",U169)))</formula>
    </cfRule>
    <cfRule type="containsText" dxfId="1690" priority="1532" operator="containsText" text="K">
      <formula>NOT(ISERROR(SEARCH("K",U169)))</formula>
    </cfRule>
    <cfRule type="expression" dxfId="1689" priority="1533" stopIfTrue="1">
      <formula>IF(WEEKDAY(U$8)=1,TRUE,FALSE)</formula>
    </cfRule>
  </conditionalFormatting>
  <conditionalFormatting sqref="U178:W178">
    <cfRule type="containsText" dxfId="1688" priority="1529" operator="containsText" text="K">
      <formula>NOT(ISERROR(SEARCH("K",U178)))</formula>
    </cfRule>
  </conditionalFormatting>
  <conditionalFormatting sqref="U97:X97">
    <cfRule type="containsText" dxfId="1687" priority="1527" operator="containsText" text="P">
      <formula>NOT(ISERROR(SEARCH("P",U97)))</formula>
    </cfRule>
    <cfRule type="containsText" dxfId="1686" priority="1528" operator="containsText" text="K">
      <formula>NOT(ISERROR(SEARCH("K",U97)))</formula>
    </cfRule>
  </conditionalFormatting>
  <conditionalFormatting sqref="U14:Y14 AF14:AH14">
    <cfRule type="containsText" dxfId="1685" priority="1526" operator="containsText" text="K">
      <formula>NOT(ISERROR(SEARCH("K",U14)))</formula>
    </cfRule>
  </conditionalFormatting>
  <conditionalFormatting sqref="U40:Y40 H40:K40">
    <cfRule type="containsText" dxfId="1684" priority="1525" operator="containsText" text="K">
      <formula>NOT(ISERROR(SEARCH("K",H40)))</formula>
    </cfRule>
  </conditionalFormatting>
  <conditionalFormatting sqref="U40:Y40">
    <cfRule type="expression" dxfId="1683" priority="1522" stopIfTrue="1">
      <formula>IF(WEEKDAY(U$8)=1,TRUE,FALSE)</formula>
    </cfRule>
    <cfRule type="containsText" dxfId="1682" priority="1523" operator="containsText" text="P">
      <formula>NOT(ISERROR(SEARCH("P",U40)))</formula>
    </cfRule>
    <cfRule type="expression" dxfId="1681" priority="1524" stopIfTrue="1">
      <formula>IF(WEEKDAY(U$8)=1,TRUE,FALSE)</formula>
    </cfRule>
  </conditionalFormatting>
  <conditionalFormatting sqref="U42:Y42">
    <cfRule type="containsText" dxfId="1680" priority="1520" operator="containsText" text="P">
      <formula>NOT(ISERROR(SEARCH("P",U42)))</formula>
    </cfRule>
    <cfRule type="containsText" dxfId="1679" priority="1521" operator="containsText" text="K">
      <formula>NOT(ISERROR(SEARCH("K",U42)))</formula>
    </cfRule>
  </conditionalFormatting>
  <conditionalFormatting sqref="U50:Y50 I50:S51 T67:T78 F69:S73 U69:Y74 F74:N74 P74:S74 F76:S77 U76:Y77 F82:Y83 K84 R84 F93:S95 U93:Y96">
    <cfRule type="containsText" dxfId="1678" priority="1519" operator="containsText" text="K">
      <formula>NOT(ISERROR(SEARCH("K",F50)))</formula>
    </cfRule>
  </conditionalFormatting>
  <conditionalFormatting sqref="U50:Y50 I50:S51 T67:Y74 F69:S73 F74:N74 P74:S74 F76:S77 T76:Y78 F82:Y83 K84 R84 Y84 F93:S95 U93:Y95 AF50:AI74">
    <cfRule type="containsText" dxfId="1677" priority="1518" operator="containsText" text="P">
      <formula>NOT(ISERROR(SEARCH("P",F50)))</formula>
    </cfRule>
  </conditionalFormatting>
  <conditionalFormatting sqref="U50:Y50 I50:S51 T67:Y74 F69:S73 F74:N74 P74:S74 F76:S77 T76:Y78 F82:Y83 K84 R84 Y84 F93:S95 U93:Y96">
    <cfRule type="expression" dxfId="1676" priority="1517" stopIfTrue="1">
      <formula>IF(WEEKDAY(F$8)=1,TRUE,FALSE)</formula>
    </cfRule>
  </conditionalFormatting>
  <conditionalFormatting sqref="U51:Y51">
    <cfRule type="expression" dxfId="1675" priority="1514" stopIfTrue="1">
      <formula>IF(WEEKDAY(U$8)=1,TRUE,FALSE)</formula>
    </cfRule>
    <cfRule type="containsText" dxfId="1674" priority="1515" operator="containsText" text="P">
      <formula>NOT(ISERROR(SEARCH("P",U51)))</formula>
    </cfRule>
    <cfRule type="containsText" dxfId="1673" priority="1516" operator="containsText" text="K">
      <formula>NOT(ISERROR(SEARCH("K",U51)))</formula>
    </cfRule>
  </conditionalFormatting>
  <conditionalFormatting sqref="U56:Y56 AG85 AI85 F56:J56 M56:S56">
    <cfRule type="containsText" dxfId="1672" priority="1513" operator="containsText" text="P">
      <formula>NOT(ISERROR(SEARCH("P",F56)))</formula>
    </cfRule>
  </conditionalFormatting>
  <conditionalFormatting sqref="U56:Y56">
    <cfRule type="expression" dxfId="1671" priority="1512" stopIfTrue="1">
      <formula>IF(WEEKDAY(U$8)=1,TRUE,FALSE)</formula>
    </cfRule>
  </conditionalFormatting>
  <conditionalFormatting sqref="U57:Y67">
    <cfRule type="containsText" dxfId="1670" priority="1511" operator="containsText" text="K">
      <formula>NOT(ISERROR(SEARCH("K",U57)))</formula>
    </cfRule>
  </conditionalFormatting>
  <conditionalFormatting sqref="U85:Y89">
    <cfRule type="containsText" dxfId="1669" priority="1510" operator="containsText" text="K">
      <formula>NOT(ISERROR(SEARCH("K",U85)))</formula>
    </cfRule>
  </conditionalFormatting>
  <conditionalFormatting sqref="U223:Y223 I222:S223">
    <cfRule type="containsText" dxfId="1668" priority="1509" operator="containsText" text="K">
      <formula>NOT(ISERROR(SEARCH("K",I222)))</formula>
    </cfRule>
  </conditionalFormatting>
  <conditionalFormatting sqref="U147:AF147 F148:AG149">
    <cfRule type="containsText" dxfId="1667" priority="1508" operator="containsText" text="K">
      <formula>NOT(ISERROR(SEARCH("K",F147)))</formula>
    </cfRule>
  </conditionalFormatting>
  <conditionalFormatting sqref="V39">
    <cfRule type="expression" dxfId="1666" priority="1499" stopIfTrue="1">
      <formula>IF(WEEKDAY(V$8)=1,TRUE,FALSE)</formula>
    </cfRule>
    <cfRule type="containsText" dxfId="1665" priority="1500" operator="containsText" text="P">
      <formula>NOT(ISERROR(SEARCH("P",V39)))</formula>
    </cfRule>
    <cfRule type="containsText" dxfId="1664" priority="1501" operator="containsText" text="K">
      <formula>NOT(ISERROR(SEARCH("K",V39)))</formula>
    </cfRule>
    <cfRule type="expression" dxfId="1663" priority="1502" stopIfTrue="1">
      <formula>IF(WEEKDAY(V$8)=1,TRUE,FALSE)</formula>
    </cfRule>
    <cfRule type="containsText" dxfId="1662" priority="1503" operator="containsText" text="P">
      <formula>NOT(ISERROR(SEARCH("P",V39)))</formula>
    </cfRule>
    <cfRule type="containsText" dxfId="1661" priority="1504" operator="containsText" text="K">
      <formula>NOT(ISERROR(SEARCH("K",V39)))</formula>
    </cfRule>
    <cfRule type="expression" dxfId="1660" priority="1505" stopIfTrue="1">
      <formula>IF(WEEKDAY(V$8)=1,TRUE,FALSE)</formula>
    </cfRule>
    <cfRule type="containsText" dxfId="1659" priority="1506" operator="containsText" text="P">
      <formula>NOT(ISERROR(SEARCH("P",V39)))</formula>
    </cfRule>
    <cfRule type="containsText" dxfId="1658" priority="1507" operator="containsText" text="K">
      <formula>NOT(ISERROR(SEARCH("K",V39)))</formula>
    </cfRule>
  </conditionalFormatting>
  <conditionalFormatting sqref="V48">
    <cfRule type="expression" dxfId="1657" priority="1466" stopIfTrue="1">
      <formula>IF(WEEKDAY(V$8)=1,TRUE,FALSE)</formula>
    </cfRule>
    <cfRule type="containsText" dxfId="1656" priority="1467" operator="containsText" text="P">
      <formula>NOT(ISERROR(SEARCH("P",V48)))</formula>
    </cfRule>
    <cfRule type="containsText" dxfId="1655" priority="1468" operator="containsText" text="K">
      <formula>NOT(ISERROR(SEARCH("K",V48)))</formula>
    </cfRule>
    <cfRule type="expression" dxfId="1654" priority="1469" stopIfTrue="1">
      <formula>IF(WEEKDAY(V$8)=1,TRUE,FALSE)</formula>
    </cfRule>
    <cfRule type="containsText" dxfId="1653" priority="1470" operator="containsText" text="P">
      <formula>NOT(ISERROR(SEARCH("P",V48)))</formula>
    </cfRule>
    <cfRule type="containsText" dxfId="1652" priority="1471" operator="containsText" text="K">
      <formula>NOT(ISERROR(SEARCH("K",V48)))</formula>
    </cfRule>
    <cfRule type="expression" dxfId="1651" priority="1472" stopIfTrue="1">
      <formula>IF(WEEKDAY(V$8)=1,TRUE,FALSE)</formula>
    </cfRule>
    <cfRule type="containsText" dxfId="1650" priority="1473" operator="containsText" text="P">
      <formula>NOT(ISERROR(SEARCH("P",V48)))</formula>
    </cfRule>
    <cfRule type="containsText" dxfId="1649" priority="1474" operator="containsText" text="K">
      <formula>NOT(ISERROR(SEARCH("K",V48)))</formula>
    </cfRule>
    <cfRule type="expression" dxfId="1648" priority="1475" stopIfTrue="1">
      <formula>IF(WEEKDAY(V$8)=1,TRUE,FALSE)</formula>
    </cfRule>
    <cfRule type="containsText" dxfId="1647" priority="1476" operator="containsText" text="P">
      <formula>NOT(ISERROR(SEARCH("P",V48)))</formula>
    </cfRule>
    <cfRule type="containsText" dxfId="1646" priority="1477" operator="containsText" text="K">
      <formula>NOT(ISERROR(SEARCH("K",V48)))</formula>
    </cfRule>
    <cfRule type="expression" dxfId="1645" priority="1478" stopIfTrue="1">
      <formula>IF(WEEKDAY(V$8)=1,TRUE,FALSE)</formula>
    </cfRule>
    <cfRule type="containsText" dxfId="1644" priority="1479" operator="containsText" text="P">
      <formula>NOT(ISERROR(SEARCH("P",V48)))</formula>
    </cfRule>
    <cfRule type="containsText" dxfId="1643" priority="1480" operator="containsText" text="K">
      <formula>NOT(ISERROR(SEARCH("K",V48)))</formula>
    </cfRule>
    <cfRule type="expression" dxfId="1642" priority="1481" stopIfTrue="1">
      <formula>IF(WEEKDAY(V$8)=1,TRUE,FALSE)</formula>
    </cfRule>
    <cfRule type="containsText" dxfId="1641" priority="1482" operator="containsText" text="P">
      <formula>NOT(ISERROR(SEARCH("P",V48)))</formula>
    </cfRule>
    <cfRule type="containsText" dxfId="1640" priority="1483" operator="containsText" text="K">
      <formula>NOT(ISERROR(SEARCH("K",V48)))</formula>
    </cfRule>
    <cfRule type="expression" dxfId="1639" priority="1484" stopIfTrue="1">
      <formula>IF(WEEKDAY(V$8)=1,TRUE,FALSE)</formula>
    </cfRule>
    <cfRule type="containsText" dxfId="1638" priority="1485" operator="containsText" text="P">
      <formula>NOT(ISERROR(SEARCH("P",V48)))</formula>
    </cfRule>
    <cfRule type="containsText" dxfId="1637" priority="1486" operator="containsText" text="K">
      <formula>NOT(ISERROR(SEARCH("K",V48)))</formula>
    </cfRule>
    <cfRule type="expression" dxfId="1636" priority="1487" stopIfTrue="1">
      <formula>IF(WEEKDAY(V$8)=1,TRUE,FALSE)</formula>
    </cfRule>
    <cfRule type="containsText" dxfId="1635" priority="1488" operator="containsText" text="P">
      <formula>NOT(ISERROR(SEARCH("P",V48)))</formula>
    </cfRule>
    <cfRule type="containsText" dxfId="1634" priority="1489" operator="containsText" text="K">
      <formula>NOT(ISERROR(SEARCH("K",V48)))</formula>
    </cfRule>
    <cfRule type="expression" dxfId="1633" priority="1490" stopIfTrue="1">
      <formula>IF(WEEKDAY(V$8)=1,TRUE,FALSE)</formula>
    </cfRule>
    <cfRule type="containsText" dxfId="1632" priority="1491" operator="containsText" text="P">
      <formula>NOT(ISERROR(SEARCH("P",V48)))</formula>
    </cfRule>
    <cfRule type="containsText" dxfId="1631" priority="1492" operator="containsText" text="K">
      <formula>NOT(ISERROR(SEARCH("K",V48)))</formula>
    </cfRule>
    <cfRule type="expression" dxfId="1630" priority="1493" stopIfTrue="1">
      <formula>IF(WEEKDAY(V$8)=1,TRUE,FALSE)</formula>
    </cfRule>
    <cfRule type="containsText" dxfId="1629" priority="1494" operator="containsText" text="P">
      <formula>NOT(ISERROR(SEARCH("P",V48)))</formula>
    </cfRule>
    <cfRule type="containsText" dxfId="1628" priority="1495" operator="containsText" text="K">
      <formula>NOT(ISERROR(SEARCH("K",V48)))</formula>
    </cfRule>
    <cfRule type="expression" dxfId="1627" priority="1496" stopIfTrue="1">
      <formula>IF(WEEKDAY(V$8)=1,TRUE,FALSE)</formula>
    </cfRule>
    <cfRule type="containsText" dxfId="1626" priority="1497" operator="containsText" text="P">
      <formula>NOT(ISERROR(SEARCH("P",V48)))</formula>
    </cfRule>
    <cfRule type="containsText" dxfId="1625" priority="1498" operator="containsText" text="K">
      <formula>NOT(ISERROR(SEARCH("K",V48)))</formula>
    </cfRule>
  </conditionalFormatting>
  <conditionalFormatting sqref="V141">
    <cfRule type="containsText" dxfId="1624" priority="1465" operator="containsText" text="P">
      <formula>NOT(ISERROR(SEARCH("P",V141)))</formula>
    </cfRule>
  </conditionalFormatting>
  <conditionalFormatting sqref="V144 F144:S144">
    <cfRule type="containsText" dxfId="1623" priority="1464" operator="containsText" text="P">
      <formula>NOT(ISERROR(SEARCH("P",F144)))</formula>
    </cfRule>
  </conditionalFormatting>
  <conditionalFormatting sqref="V153">
    <cfRule type="expression" dxfId="1622" priority="1459" stopIfTrue="1">
      <formula>IF(WEEKDAY(V$8)=1,TRUE,FALSE)</formula>
    </cfRule>
    <cfRule type="containsText" dxfId="1621" priority="1460" operator="containsText" text="P">
      <formula>NOT(ISERROR(SEARCH("P",V153)))</formula>
    </cfRule>
    <cfRule type="expression" dxfId="1620" priority="1461" stopIfTrue="1">
      <formula>IF(WEEKDAY(U$8)=1,TRUE,FALSE)</formula>
    </cfRule>
    <cfRule type="containsText" dxfId="1619" priority="1462" operator="containsText" text="P">
      <formula>NOT(ISERROR(SEARCH("P",V153)))</formula>
    </cfRule>
    <cfRule type="expression" dxfId="1618" priority="1463" stopIfTrue="1">
      <formula>IF(WEEKDAY(U$8)=1,TRUE,FALSE)</formula>
    </cfRule>
  </conditionalFormatting>
  <conditionalFormatting sqref="V153:V155">
    <cfRule type="containsText" dxfId="1617" priority="1458" operator="containsText" text="K">
      <formula>NOT(ISERROR(SEARCH("K",V153)))</formula>
    </cfRule>
  </conditionalFormatting>
  <conditionalFormatting sqref="V164:V165">
    <cfRule type="containsText" dxfId="1616" priority="1451" operator="containsText" text="P">
      <formula>NOT(ISERROR(SEARCH("P",V164)))</formula>
    </cfRule>
    <cfRule type="containsText" dxfId="1615" priority="1452" operator="containsText" text="K">
      <formula>NOT(ISERROR(SEARCH("K",V164)))</formula>
    </cfRule>
    <cfRule type="expression" dxfId="1614" priority="1453" stopIfTrue="1">
      <formula>IF(WEEKDAY(V$8)=1,TRUE,FALSE)</formula>
    </cfRule>
    <cfRule type="containsText" dxfId="1613" priority="1454" operator="containsText" text="P">
      <formula>NOT(ISERROR(SEARCH("P",V164)))</formula>
    </cfRule>
    <cfRule type="containsText" dxfId="1612" priority="1455" operator="containsText" text="K">
      <formula>NOT(ISERROR(SEARCH("K",V164)))</formula>
    </cfRule>
    <cfRule type="containsText" dxfId="1611" priority="1456" operator="containsText" text="P">
      <formula>NOT(ISERROR(SEARCH("P",V164)))</formula>
    </cfRule>
    <cfRule type="expression" dxfId="1610" priority="1457" stopIfTrue="1">
      <formula>IF(WEEKDAY(V$8)=1,TRUE,FALSE)</formula>
    </cfRule>
  </conditionalFormatting>
  <conditionalFormatting sqref="V166">
    <cfRule type="containsText" dxfId="1609" priority="1448" operator="containsText" text="K">
      <formula>NOT(ISERROR(SEARCH("K",V166)))</formula>
    </cfRule>
    <cfRule type="expression" dxfId="1608" priority="1449" stopIfTrue="1">
      <formula>IF(WEEKDAY(V$8)=1,TRUE,FALSE)</formula>
    </cfRule>
    <cfRule type="containsText" dxfId="1607" priority="1450" operator="containsText" text="P">
      <formula>NOT(ISERROR(SEARCH("P",V166)))</formula>
    </cfRule>
  </conditionalFormatting>
  <conditionalFormatting sqref="V167">
    <cfRule type="containsText" dxfId="1606" priority="1442" operator="containsText" text="P">
      <formula>NOT(ISERROR(SEARCH("P",V167)))</formula>
    </cfRule>
    <cfRule type="containsText" dxfId="1605" priority="1443" operator="containsText" text="K">
      <formula>NOT(ISERROR(SEARCH("K",V167)))</formula>
    </cfRule>
    <cfRule type="expression" dxfId="1604" priority="1444" stopIfTrue="1">
      <formula>IF(WEEKDAY(V$8)=1,TRUE,FALSE)</formula>
    </cfRule>
    <cfRule type="containsText" dxfId="1603" priority="1445" operator="containsText" text="P">
      <formula>NOT(ISERROR(SEARCH("P",V167)))</formula>
    </cfRule>
    <cfRule type="containsText" dxfId="1602" priority="1446" operator="containsText" text="K">
      <formula>NOT(ISERROR(SEARCH("K",V167)))</formula>
    </cfRule>
    <cfRule type="expression" dxfId="1601" priority="1447" stopIfTrue="1">
      <formula>IF(WEEKDAY(V$8)=1,TRUE,FALSE)</formula>
    </cfRule>
  </conditionalFormatting>
  <conditionalFormatting sqref="V168">
    <cfRule type="containsText" dxfId="1600" priority="1439" operator="containsText" text="K">
      <formula>NOT(ISERROR(SEARCH("K",V168)))</formula>
    </cfRule>
    <cfRule type="expression" dxfId="1599" priority="1440" stopIfTrue="1">
      <formula>IF(WEEKDAY(V$8)=1,TRUE,FALSE)</formula>
    </cfRule>
    <cfRule type="containsText" dxfId="1598" priority="1441" operator="containsText" text="P">
      <formula>NOT(ISERROR(SEARCH("P",V168)))</formula>
    </cfRule>
  </conditionalFormatting>
  <conditionalFormatting sqref="V170">
    <cfRule type="containsText" dxfId="1597" priority="1436" operator="containsText" text="K">
      <formula>NOT(ISERROR(SEARCH("K",V170)))</formula>
    </cfRule>
    <cfRule type="expression" dxfId="1596" priority="1437" stopIfTrue="1">
      <formula>IF(WEEKDAY(V$8)=1,TRUE,FALSE)</formula>
    </cfRule>
    <cfRule type="containsText" dxfId="1595" priority="1438" operator="containsText" text="P">
      <formula>NOT(ISERROR(SEARCH("P",V170)))</formula>
    </cfRule>
  </conditionalFormatting>
  <conditionalFormatting sqref="V171">
    <cfRule type="containsText" dxfId="1594" priority="1400" operator="containsText" text="K">
      <formula>NOT(ISERROR(SEARCH("K",V171)))</formula>
    </cfRule>
    <cfRule type="expression" dxfId="1593" priority="1401" stopIfTrue="1">
      <formula>IF(WEEKDAY(V$8)=1,TRUE,FALSE)</formula>
    </cfRule>
    <cfRule type="containsText" dxfId="1592" priority="1402" operator="containsText" text="P">
      <formula>NOT(ISERROR(SEARCH("P",V171)))</formula>
    </cfRule>
    <cfRule type="containsText" dxfId="1591" priority="1403" operator="containsText" text="K">
      <formula>NOT(ISERROR(SEARCH("K",V171)))</formula>
    </cfRule>
    <cfRule type="expression" dxfId="1590" priority="1404" stopIfTrue="1">
      <formula>IF(WEEKDAY(V$8)=1,TRUE,FALSE)</formula>
    </cfRule>
    <cfRule type="containsText" dxfId="1589" priority="1405" operator="containsText" text="P">
      <formula>NOT(ISERROR(SEARCH("P",V171)))</formula>
    </cfRule>
    <cfRule type="containsText" dxfId="1588" priority="1406" operator="containsText" text="K">
      <formula>NOT(ISERROR(SEARCH("K",V171)))</formula>
    </cfRule>
    <cfRule type="expression" dxfId="1587" priority="1407" stopIfTrue="1">
      <formula>IF(WEEKDAY(V$8)=1,TRUE,FALSE)</formula>
    </cfRule>
    <cfRule type="containsText" dxfId="1586" priority="1408" operator="containsText" text="P">
      <formula>NOT(ISERROR(SEARCH("P",V171)))</formula>
    </cfRule>
    <cfRule type="containsText" dxfId="1585" priority="1409" operator="containsText" text="K">
      <formula>NOT(ISERROR(SEARCH("K",V171)))</formula>
    </cfRule>
    <cfRule type="expression" dxfId="1584" priority="1410" stopIfTrue="1">
      <formula>IF(WEEKDAY(V$8)=1,TRUE,FALSE)</formula>
    </cfRule>
    <cfRule type="containsText" dxfId="1583" priority="1411" operator="containsText" text="P">
      <formula>NOT(ISERROR(SEARCH("P",V171)))</formula>
    </cfRule>
    <cfRule type="containsText" dxfId="1582" priority="1412" operator="containsText" text="K">
      <formula>NOT(ISERROR(SEARCH("K",V171)))</formula>
    </cfRule>
    <cfRule type="expression" dxfId="1581" priority="1413" stopIfTrue="1">
      <formula>IF(WEEKDAY(V$8)=1,TRUE,FALSE)</formula>
    </cfRule>
    <cfRule type="containsText" dxfId="1580" priority="1414" operator="containsText" text="P">
      <formula>NOT(ISERROR(SEARCH("P",V171)))</formula>
    </cfRule>
    <cfRule type="containsText" dxfId="1579" priority="1415" operator="containsText" text="K">
      <formula>NOT(ISERROR(SEARCH("K",V171)))</formula>
    </cfRule>
    <cfRule type="expression" dxfId="1578" priority="1416" stopIfTrue="1">
      <formula>IF(WEEKDAY(V$8)=1,TRUE,FALSE)</formula>
    </cfRule>
    <cfRule type="containsText" dxfId="1577" priority="1417" operator="containsText" text="P">
      <formula>NOT(ISERROR(SEARCH("P",V171)))</formula>
    </cfRule>
    <cfRule type="containsText" dxfId="1576" priority="1418" operator="containsText" text="K">
      <formula>NOT(ISERROR(SEARCH("K",V171)))</formula>
    </cfRule>
    <cfRule type="expression" dxfId="1575" priority="1419" stopIfTrue="1">
      <formula>IF(WEEKDAY(V$8)=1,TRUE,FALSE)</formula>
    </cfRule>
    <cfRule type="containsText" dxfId="1574" priority="1420" operator="containsText" text="P">
      <formula>NOT(ISERROR(SEARCH("P",V171)))</formula>
    </cfRule>
    <cfRule type="containsText" dxfId="1573" priority="1421" operator="containsText" text="K">
      <formula>NOT(ISERROR(SEARCH("K",V171)))</formula>
    </cfRule>
    <cfRule type="expression" dxfId="1572" priority="1422" stopIfTrue="1">
      <formula>IF(WEEKDAY(V$8)=1,TRUE,FALSE)</formula>
    </cfRule>
    <cfRule type="containsText" dxfId="1571" priority="1423" operator="containsText" text="P">
      <formula>NOT(ISERROR(SEARCH("P",V171)))</formula>
    </cfRule>
    <cfRule type="containsText" dxfId="1570" priority="1424" operator="containsText" text="K">
      <formula>NOT(ISERROR(SEARCH("K",V171)))</formula>
    </cfRule>
    <cfRule type="expression" dxfId="1569" priority="1425" stopIfTrue="1">
      <formula>IF(WEEKDAY(V$8)=1,TRUE,FALSE)</formula>
    </cfRule>
    <cfRule type="containsText" dxfId="1568" priority="1426" operator="containsText" text="P">
      <formula>NOT(ISERROR(SEARCH("P",V171)))</formula>
    </cfRule>
    <cfRule type="containsText" dxfId="1567" priority="1427" operator="containsText" text="K">
      <formula>NOT(ISERROR(SEARCH("K",V171)))</formula>
    </cfRule>
    <cfRule type="expression" dxfId="1566" priority="1428" stopIfTrue="1">
      <formula>IF(WEEKDAY(V$8)=1,TRUE,FALSE)</formula>
    </cfRule>
    <cfRule type="containsText" dxfId="1565" priority="1429" operator="containsText" text="P">
      <formula>NOT(ISERROR(SEARCH("P",V171)))</formula>
    </cfRule>
    <cfRule type="containsText" dxfId="1564" priority="1430" operator="containsText" text="K">
      <formula>NOT(ISERROR(SEARCH("K",V171)))</formula>
    </cfRule>
    <cfRule type="expression" dxfId="1563" priority="1431" stopIfTrue="1">
      <formula>IF(WEEKDAY(V$8)=1,TRUE,FALSE)</formula>
    </cfRule>
    <cfRule type="containsText" dxfId="1562" priority="1432" operator="containsText" text="P">
      <formula>NOT(ISERROR(SEARCH("P",V171)))</formula>
    </cfRule>
    <cfRule type="containsText" dxfId="1561" priority="1433" operator="containsText" text="K">
      <formula>NOT(ISERROR(SEARCH("K",V171)))</formula>
    </cfRule>
    <cfRule type="expression" dxfId="1560" priority="1434" stopIfTrue="1">
      <formula>IF(WEEKDAY(V$8)=1,TRUE,FALSE)</formula>
    </cfRule>
    <cfRule type="containsText" dxfId="1559" priority="1435" operator="containsText" text="K">
      <formula>NOT(ISERROR(SEARCH("K",V171)))</formula>
    </cfRule>
  </conditionalFormatting>
  <conditionalFormatting sqref="V171:V172">
    <cfRule type="containsText" dxfId="1558" priority="1399" operator="containsText" text="P">
      <formula>NOT(ISERROR(SEARCH("P",V171)))</formula>
    </cfRule>
  </conditionalFormatting>
  <conditionalFormatting sqref="V172">
    <cfRule type="containsText" dxfId="1557" priority="1393" operator="containsText" text="P">
      <formula>NOT(ISERROR(SEARCH("P",V172)))</formula>
    </cfRule>
    <cfRule type="containsText" dxfId="1556" priority="1394" operator="containsText" text="K">
      <formula>NOT(ISERROR(SEARCH("K",V172)))</formula>
    </cfRule>
    <cfRule type="expression" dxfId="1555" priority="1395" stopIfTrue="1">
      <formula>IF(WEEKDAY(V$8)=1,TRUE,FALSE)</formula>
    </cfRule>
    <cfRule type="containsText" dxfId="1554" priority="1396" operator="containsText" text="P">
      <formula>NOT(ISERROR(SEARCH("P",V172)))</formula>
    </cfRule>
    <cfRule type="containsText" dxfId="1553" priority="1397" operator="containsText" text="K">
      <formula>NOT(ISERROR(SEARCH("K",V172)))</formula>
    </cfRule>
    <cfRule type="expression" dxfId="1552" priority="1398" stopIfTrue="1">
      <formula>IF(WEEKDAY(V$8)=1,TRUE,FALSE)</formula>
    </cfRule>
  </conditionalFormatting>
  <conditionalFormatting sqref="V173:V175">
    <cfRule type="containsText" dxfId="1551" priority="1390" operator="containsText" text="K">
      <formula>NOT(ISERROR(SEARCH("K",V173)))</formula>
    </cfRule>
    <cfRule type="expression" dxfId="1550" priority="1391" stopIfTrue="1">
      <formula>IF(WEEKDAY(V$8)=1,TRUE,FALSE)</formula>
    </cfRule>
    <cfRule type="containsText" dxfId="1549" priority="1392" operator="containsText" text="P">
      <formula>NOT(ISERROR(SEARCH("P",V173)))</formula>
    </cfRule>
  </conditionalFormatting>
  <conditionalFormatting sqref="V176">
    <cfRule type="containsText" dxfId="1548" priority="1385" operator="containsText" text="K">
      <formula>NOT(ISERROR(SEARCH("K",V176)))</formula>
    </cfRule>
    <cfRule type="expression" dxfId="1547" priority="1386" stopIfTrue="1">
      <formula>IF(WEEKDAY(V$8)=1,TRUE,FALSE)</formula>
    </cfRule>
    <cfRule type="containsText" dxfId="1546" priority="1387" operator="containsText" text="P">
      <formula>NOT(ISERROR(SEARCH("P",V176)))</formula>
    </cfRule>
    <cfRule type="containsText" dxfId="1545" priority="1388" operator="containsText" text="K">
      <formula>NOT(ISERROR(SEARCH("K",V176)))</formula>
    </cfRule>
    <cfRule type="expression" dxfId="1544" priority="1389" stopIfTrue="1">
      <formula>IF(WEEKDAY(V$8)=1,TRUE,FALSE)</formula>
    </cfRule>
  </conditionalFormatting>
  <conditionalFormatting sqref="V176:V177">
    <cfRule type="containsText" dxfId="1543" priority="1384" operator="containsText" text="P">
      <formula>NOT(ISERROR(SEARCH("P",V176)))</formula>
    </cfRule>
  </conditionalFormatting>
  <conditionalFormatting sqref="V177">
    <cfRule type="containsText" dxfId="1542" priority="1380" operator="containsText" text="P">
      <formula>NOT(ISERROR(SEARCH("P",V177)))</formula>
    </cfRule>
    <cfRule type="containsText" dxfId="1541" priority="1381" operator="containsText" text="K">
      <formula>NOT(ISERROR(SEARCH("K",V177)))</formula>
    </cfRule>
    <cfRule type="containsText" dxfId="1540" priority="1382" operator="containsText" text="P">
      <formula>NOT(ISERROR(SEARCH("P",V177)))</formula>
    </cfRule>
    <cfRule type="containsText" dxfId="1539" priority="1383" operator="containsText" text="K">
      <formula>NOT(ISERROR(SEARCH("K",V177)))</formula>
    </cfRule>
  </conditionalFormatting>
  <conditionalFormatting sqref="V177:V178">
    <cfRule type="expression" dxfId="1538" priority="1379" stopIfTrue="1">
      <formula>IF(WEEKDAY(V$8)=1,TRUE,FALSE)</formula>
    </cfRule>
  </conditionalFormatting>
  <conditionalFormatting sqref="V178">
    <cfRule type="expression" dxfId="1537" priority="1346" stopIfTrue="1">
      <formula>IF(WEEKDAY(V$8)=1,TRUE,FALSE)</formula>
    </cfRule>
    <cfRule type="containsText" dxfId="1536" priority="1347" operator="containsText" text="P">
      <formula>NOT(ISERROR(SEARCH("P",V178)))</formula>
    </cfRule>
    <cfRule type="containsText" dxfId="1535" priority="1348" operator="containsText" text="K">
      <formula>NOT(ISERROR(SEARCH("K",V178)))</formula>
    </cfRule>
    <cfRule type="expression" dxfId="1534" priority="1349" stopIfTrue="1">
      <formula>IF(WEEKDAY(V$8)=1,TRUE,FALSE)</formula>
    </cfRule>
    <cfRule type="containsText" dxfId="1533" priority="1350" operator="containsText" text="P">
      <formula>NOT(ISERROR(SEARCH("P",V178)))</formula>
    </cfRule>
    <cfRule type="containsText" dxfId="1532" priority="1351" operator="containsText" text="K">
      <formula>NOT(ISERROR(SEARCH("K",V178)))</formula>
    </cfRule>
    <cfRule type="expression" dxfId="1531" priority="1352" stopIfTrue="1">
      <formula>IF(WEEKDAY(V$8)=1,TRUE,FALSE)</formula>
    </cfRule>
    <cfRule type="containsText" dxfId="1530" priority="1353" operator="containsText" text="P">
      <formula>NOT(ISERROR(SEARCH("P",V178)))</formula>
    </cfRule>
    <cfRule type="containsText" dxfId="1529" priority="1354" operator="containsText" text="K">
      <formula>NOT(ISERROR(SEARCH("K",V178)))</formula>
    </cfRule>
    <cfRule type="expression" dxfId="1528" priority="1355" stopIfTrue="1">
      <formula>IF(WEEKDAY(V$8)=1,TRUE,FALSE)</formula>
    </cfRule>
    <cfRule type="containsText" dxfId="1527" priority="1356" operator="containsText" text="P">
      <formula>NOT(ISERROR(SEARCH("P",V178)))</formula>
    </cfRule>
    <cfRule type="containsText" dxfId="1526" priority="1357" operator="containsText" text="K">
      <formula>NOT(ISERROR(SEARCH("K",V178)))</formula>
    </cfRule>
    <cfRule type="expression" dxfId="1525" priority="1358" stopIfTrue="1">
      <formula>IF(WEEKDAY(V$8)=1,TRUE,FALSE)</formula>
    </cfRule>
    <cfRule type="containsText" dxfId="1524" priority="1359" operator="containsText" text="P">
      <formula>NOT(ISERROR(SEARCH("P",V178)))</formula>
    </cfRule>
    <cfRule type="containsText" dxfId="1523" priority="1360" operator="containsText" text="K">
      <formula>NOT(ISERROR(SEARCH("K",V178)))</formula>
    </cfRule>
    <cfRule type="expression" dxfId="1522" priority="1361" stopIfTrue="1">
      <formula>IF(WEEKDAY(V$8)=1,TRUE,FALSE)</formula>
    </cfRule>
    <cfRule type="containsText" dxfId="1521" priority="1362" operator="containsText" text="P">
      <formula>NOT(ISERROR(SEARCH("P",V178)))</formula>
    </cfRule>
    <cfRule type="containsText" dxfId="1520" priority="1363" operator="containsText" text="K">
      <formula>NOT(ISERROR(SEARCH("K",V178)))</formula>
    </cfRule>
    <cfRule type="expression" dxfId="1519" priority="1364" stopIfTrue="1">
      <formula>IF(WEEKDAY(V$8)=1,TRUE,FALSE)</formula>
    </cfRule>
    <cfRule type="containsText" dxfId="1518" priority="1365" operator="containsText" text="P">
      <formula>NOT(ISERROR(SEARCH("P",V178)))</formula>
    </cfRule>
    <cfRule type="containsText" dxfId="1517" priority="1366" operator="containsText" text="K">
      <formula>NOT(ISERROR(SEARCH("K",V178)))</formula>
    </cfRule>
    <cfRule type="expression" dxfId="1516" priority="1367" stopIfTrue="1">
      <formula>IF(WEEKDAY(V$8)=1,TRUE,FALSE)</formula>
    </cfRule>
    <cfRule type="containsText" dxfId="1515" priority="1368" operator="containsText" text="P">
      <formula>NOT(ISERROR(SEARCH("P",V178)))</formula>
    </cfRule>
    <cfRule type="containsText" dxfId="1514" priority="1369" operator="containsText" text="K">
      <formula>NOT(ISERROR(SEARCH("K",V178)))</formula>
    </cfRule>
    <cfRule type="expression" dxfId="1513" priority="1370" stopIfTrue="1">
      <formula>IF(WEEKDAY(V$8)=1,TRUE,FALSE)</formula>
    </cfRule>
    <cfRule type="containsText" dxfId="1512" priority="1371" operator="containsText" text="P">
      <formula>NOT(ISERROR(SEARCH("P",V178)))</formula>
    </cfRule>
    <cfRule type="containsText" dxfId="1511" priority="1372" operator="containsText" text="K">
      <formula>NOT(ISERROR(SEARCH("K",V178)))</formula>
    </cfRule>
    <cfRule type="expression" dxfId="1510" priority="1373" stopIfTrue="1">
      <formula>IF(WEEKDAY(V$8)=1,TRUE,FALSE)</formula>
    </cfRule>
    <cfRule type="containsText" dxfId="1509" priority="1374" operator="containsText" text="P">
      <formula>NOT(ISERROR(SEARCH("P",V178)))</formula>
    </cfRule>
    <cfRule type="containsText" dxfId="1508" priority="1375" operator="containsText" text="K">
      <formula>NOT(ISERROR(SEARCH("K",V178)))</formula>
    </cfRule>
    <cfRule type="expression" dxfId="1507" priority="1376" stopIfTrue="1">
      <formula>IF(WEEKDAY(V$8)=1,TRUE,FALSE)</formula>
    </cfRule>
    <cfRule type="containsText" dxfId="1506" priority="1377" operator="containsText" text="P">
      <formula>NOT(ISERROR(SEARCH("P",V178)))</formula>
    </cfRule>
    <cfRule type="containsText" dxfId="1505" priority="1378" operator="containsText" text="K">
      <formula>NOT(ISERROR(SEARCH("K",V178)))</formula>
    </cfRule>
  </conditionalFormatting>
  <conditionalFormatting sqref="V182">
    <cfRule type="expression" dxfId="1504" priority="1343" stopIfTrue="1">
      <formula>IF(WEEKDAY(V$8)=1,TRUE,FALSE)</formula>
    </cfRule>
    <cfRule type="containsText" dxfId="1503" priority="1344" operator="containsText" text="K">
      <formula>NOT(ISERROR(SEARCH("K",V182)))</formula>
    </cfRule>
    <cfRule type="containsText" dxfId="1502" priority="1345" operator="containsText" text="P">
      <formula>NOT(ISERROR(SEARCH("P",V182)))</formula>
    </cfRule>
  </conditionalFormatting>
  <conditionalFormatting sqref="V185">
    <cfRule type="expression" dxfId="1501" priority="1340" stopIfTrue="1">
      <formula>IF(WEEKDAY(V$8)=1,TRUE,FALSE)</formula>
    </cfRule>
    <cfRule type="containsText" dxfId="1500" priority="1341" operator="containsText" text="K">
      <formula>NOT(ISERROR(SEARCH("K",V185)))</formula>
    </cfRule>
    <cfRule type="containsText" dxfId="1499" priority="1342" operator="containsText" text="P">
      <formula>NOT(ISERROR(SEARCH("P",V185)))</formula>
    </cfRule>
  </conditionalFormatting>
  <conditionalFormatting sqref="V218:V223 F222:H223 G105:S105 U105:Y105 U107:Y107 G108:Y108 G109:S109 F116:U116 P151:P153 AJ217:AJ224 BF217:BG230 J224:J230 AJ226:AJ230 K78:L79 AJ91:AJ98 K156:O158 K159:N159 K160:O160 U106:V106 X106:Y106 F106:S107">
    <cfRule type="containsText" dxfId="1498" priority="1339" operator="containsText" text="P">
      <formula>NOT(ISERROR(SEARCH("P",F78)))</formula>
    </cfRule>
  </conditionalFormatting>
  <conditionalFormatting sqref="V102:W102">
    <cfRule type="containsText" dxfId="1497" priority="1336" operator="containsText" text="K">
      <formula>NOT(ISERROR(SEARCH("K",V102)))</formula>
    </cfRule>
    <cfRule type="containsText" dxfId="1496" priority="1337" operator="containsText" text="P">
      <formula>NOT(ISERROR(SEARCH("P",V102)))</formula>
    </cfRule>
    <cfRule type="containsText" dxfId="1495" priority="1338" operator="containsText" text="K">
      <formula>NOT(ISERROR(SEARCH("K",V102)))</formula>
    </cfRule>
  </conditionalFormatting>
  <conditionalFormatting sqref="V144:W144">
    <cfRule type="containsText" dxfId="1494" priority="1335" operator="containsText" text="K">
      <formula>NOT(ISERROR(SEARCH("K",V144)))</formula>
    </cfRule>
  </conditionalFormatting>
  <conditionalFormatting sqref="V162:W162">
    <cfRule type="containsText" dxfId="1493" priority="1332" operator="containsText" text="P">
      <formula>NOT(ISERROR(SEARCH(("P"),(V162))))</formula>
    </cfRule>
    <cfRule type="containsText" dxfId="1492" priority="1333" operator="containsText" text="K">
      <formula>NOT(ISERROR(SEARCH(("K"),(V162))))</formula>
    </cfRule>
    <cfRule type="expression" dxfId="1491" priority="1334" stopIfTrue="1">
      <formula>IF(WEEKDAY(V$8)=1,TRUE,FALSE)</formula>
    </cfRule>
  </conditionalFormatting>
  <conditionalFormatting sqref="V169:W169 I169">
    <cfRule type="containsText" dxfId="1490" priority="1331" operator="containsText" text="K">
      <formula>NOT(ISERROR(SEARCH("K",I169)))</formula>
    </cfRule>
  </conditionalFormatting>
  <conditionalFormatting sqref="V169:W169">
    <cfRule type="containsText" dxfId="1489" priority="1303" operator="containsText" text="P">
      <formula>NOT(ISERROR(SEARCH("P",V169)))</formula>
    </cfRule>
    <cfRule type="containsText" dxfId="1488" priority="1304" operator="containsText" text="K">
      <formula>NOT(ISERROR(SEARCH("K",V169)))</formula>
    </cfRule>
    <cfRule type="expression" dxfId="1487" priority="1305" stopIfTrue="1">
      <formula>IF(WEEKDAY(V$8)=1,TRUE,FALSE)</formula>
    </cfRule>
    <cfRule type="containsText" dxfId="1486" priority="1306" operator="containsText" text="P">
      <formula>NOT(ISERROR(SEARCH("P",V169)))</formula>
    </cfRule>
    <cfRule type="containsText" dxfId="1485" priority="1307" operator="containsText" text="K">
      <formula>NOT(ISERROR(SEARCH("K",V169)))</formula>
    </cfRule>
    <cfRule type="expression" dxfId="1484" priority="1308" stopIfTrue="1">
      <formula>IF(WEEKDAY(V$8)=1,TRUE,FALSE)</formula>
    </cfRule>
    <cfRule type="containsText" dxfId="1483" priority="1309" operator="containsText" text="P">
      <formula>NOT(ISERROR(SEARCH("P",V169)))</formula>
    </cfRule>
    <cfRule type="containsText" dxfId="1482" priority="1310" operator="containsText" text="K">
      <formula>NOT(ISERROR(SEARCH("K",V169)))</formula>
    </cfRule>
    <cfRule type="expression" dxfId="1481" priority="1311" stopIfTrue="1">
      <formula>IF(WEEKDAY(V$8)=1,TRUE,FALSE)</formula>
    </cfRule>
    <cfRule type="containsText" dxfId="1480" priority="1312" operator="containsText" text="P">
      <formula>NOT(ISERROR(SEARCH("P",V169)))</formula>
    </cfRule>
    <cfRule type="containsText" dxfId="1479" priority="1313" operator="containsText" text="K">
      <formula>NOT(ISERROR(SEARCH("K",V169)))</formula>
    </cfRule>
    <cfRule type="expression" dxfId="1478" priority="1314" stopIfTrue="1">
      <formula>IF(WEEKDAY(V$8)=1,TRUE,FALSE)</formula>
    </cfRule>
    <cfRule type="containsText" dxfId="1477" priority="1315" operator="containsText" text="P">
      <formula>NOT(ISERROR(SEARCH("P",V169)))</formula>
    </cfRule>
    <cfRule type="containsText" dxfId="1476" priority="1316" operator="containsText" text="K">
      <formula>NOT(ISERROR(SEARCH("K",V169)))</formula>
    </cfRule>
    <cfRule type="expression" dxfId="1475" priority="1317" stopIfTrue="1">
      <formula>IF(WEEKDAY(V$8)=1,TRUE,FALSE)</formula>
    </cfRule>
    <cfRule type="containsText" dxfId="1474" priority="1318" operator="containsText" text="P">
      <formula>NOT(ISERROR(SEARCH("P",V169)))</formula>
    </cfRule>
    <cfRule type="containsText" dxfId="1473" priority="1319" operator="containsText" text="K">
      <formula>NOT(ISERROR(SEARCH("K",V169)))</formula>
    </cfRule>
    <cfRule type="expression" dxfId="1472" priority="1320" stopIfTrue="1">
      <formula>IF(WEEKDAY(V$8)=1,TRUE,FALSE)</formula>
    </cfRule>
    <cfRule type="containsText" dxfId="1471" priority="1321" operator="containsText" text="P">
      <formula>NOT(ISERROR(SEARCH("P",V169)))</formula>
    </cfRule>
    <cfRule type="containsText" dxfId="1470" priority="1322" operator="containsText" text="K">
      <formula>NOT(ISERROR(SEARCH("K",V169)))</formula>
    </cfRule>
    <cfRule type="expression" dxfId="1469" priority="1323" stopIfTrue="1">
      <formula>IF(WEEKDAY(V$8)=1,TRUE,FALSE)</formula>
    </cfRule>
    <cfRule type="containsText" dxfId="1468" priority="1324" operator="containsText" text="P">
      <formula>NOT(ISERROR(SEARCH("P",V169)))</formula>
    </cfRule>
    <cfRule type="containsText" dxfId="1467" priority="1325" operator="containsText" text="K">
      <formula>NOT(ISERROR(SEARCH("K",V169)))</formula>
    </cfRule>
    <cfRule type="expression" dxfId="1466" priority="1326" stopIfTrue="1">
      <formula>IF(WEEKDAY(V$8)=1,TRUE,FALSE)</formula>
    </cfRule>
    <cfRule type="containsText" dxfId="1465" priority="1327" operator="containsText" text="P">
      <formula>NOT(ISERROR(SEARCH("P",V169)))</formula>
    </cfRule>
    <cfRule type="containsText" dxfId="1464" priority="1328" operator="containsText" text="K">
      <formula>NOT(ISERROR(SEARCH("K",V169)))</formula>
    </cfRule>
    <cfRule type="expression" dxfId="1463" priority="1329" stopIfTrue="1">
      <formula>IF(WEEKDAY(V$8)=1,TRUE,FALSE)</formula>
    </cfRule>
    <cfRule type="containsText" dxfId="1462" priority="1330" operator="containsText" text="P">
      <formula>NOT(ISERROR(SEARCH("P",V169)))</formula>
    </cfRule>
  </conditionalFormatting>
  <conditionalFormatting sqref="V171:W171 W170">
    <cfRule type="containsText" dxfId="1461" priority="1302" operator="containsText" text="P">
      <formula>NOT(ISERROR(SEARCH("P",V170)))</formula>
    </cfRule>
  </conditionalFormatting>
  <conditionalFormatting sqref="V41:X42">
    <cfRule type="expression" dxfId="1460" priority="1301" stopIfTrue="1">
      <formula>IF(WEEKDAY(V$8)=1,TRUE,FALSE)</formula>
    </cfRule>
  </conditionalFormatting>
  <conditionalFormatting sqref="V44:X44">
    <cfRule type="containsText" dxfId="1459" priority="1300" operator="containsText" text="K">
      <formula>NOT(ISERROR(SEARCH("K",V44)))</formula>
    </cfRule>
  </conditionalFormatting>
  <conditionalFormatting sqref="V48:X48">
    <cfRule type="expression" dxfId="1458" priority="1297" stopIfTrue="1">
      <formula>IF(WEEKDAY(V$8)=1,TRUE,FALSE)</formula>
    </cfRule>
    <cfRule type="containsText" dxfId="1457" priority="1298" operator="containsText" text="P">
      <formula>NOT(ISERROR(SEARCH("P",V48)))</formula>
    </cfRule>
    <cfRule type="containsText" dxfId="1456" priority="1299" operator="containsText" text="K">
      <formula>NOT(ISERROR(SEARCH("K",V48)))</formula>
    </cfRule>
  </conditionalFormatting>
  <conditionalFormatting sqref="V52:X52">
    <cfRule type="containsText" dxfId="1455" priority="1296" operator="containsText" text="K">
      <formula>NOT(ISERROR(SEARCH("K",V52)))</formula>
    </cfRule>
  </conditionalFormatting>
  <conditionalFormatting sqref="V97:X97">
    <cfRule type="containsText" dxfId="1454" priority="1290" operator="containsText" text="P">
      <formula>NOT(ISERROR(SEARCH("P",V97)))</formula>
    </cfRule>
    <cfRule type="containsText" dxfId="1453" priority="1291" operator="containsText" text="K">
      <formula>NOT(ISERROR(SEARCH("K",V97)))</formula>
    </cfRule>
    <cfRule type="expression" dxfId="1452" priority="1292" stopIfTrue="1">
      <formula>IF(WEEKDAY(V$8)=1,TRUE,FALSE)</formula>
    </cfRule>
    <cfRule type="containsText" dxfId="1451" priority="1293" operator="containsText" text="P">
      <formula>NOT(ISERROR(SEARCH("P",V97)))</formula>
    </cfRule>
    <cfRule type="containsText" dxfId="1450" priority="1294" operator="containsText" text="K">
      <formula>NOT(ISERROR(SEARCH("K",V97)))</formula>
    </cfRule>
    <cfRule type="expression" dxfId="1449" priority="1295" stopIfTrue="1">
      <formula>IF(WEEKDAY(V$8)=1,TRUE,FALSE)</formula>
    </cfRule>
  </conditionalFormatting>
  <conditionalFormatting sqref="V15:Y16">
    <cfRule type="expression" dxfId="1448" priority="1287" stopIfTrue="1">
      <formula>IF(WEEKDAY(V$8)=1,TRUE,FALSE)</formula>
    </cfRule>
    <cfRule type="containsText" dxfId="1447" priority="1288" operator="containsText" text="K">
      <formula>NOT(ISERROR(SEARCH("K",V15)))</formula>
    </cfRule>
    <cfRule type="containsText" dxfId="1446" priority="1289" operator="containsText" text="P">
      <formula>NOT(ISERROR(SEARCH("P",V15)))</formula>
    </cfRule>
  </conditionalFormatting>
  <conditionalFormatting sqref="V23:Y23 Y25">
    <cfRule type="expression" dxfId="1445" priority="1286" stopIfTrue="1">
      <formula>IF(WEEKDAY(V$8)=1,TRUE,FALSE)</formula>
    </cfRule>
  </conditionalFormatting>
  <conditionalFormatting sqref="V38:Y38">
    <cfRule type="containsText" dxfId="1444" priority="1283" operator="containsText" text="P">
      <formula>NOT(ISERROR(SEARCH(("P"),(V38))))</formula>
    </cfRule>
    <cfRule type="containsText" dxfId="1443" priority="1284" operator="containsText" text="K">
      <formula>NOT(ISERROR(SEARCH(("K"),(V38))))</formula>
    </cfRule>
    <cfRule type="expression" dxfId="1442" priority="1285" stopIfTrue="1">
      <formula>IF(WEEKDAY(V$8)=1,TRUE,FALSE)</formula>
    </cfRule>
  </conditionalFormatting>
  <conditionalFormatting sqref="V39:Y39">
    <cfRule type="expression" dxfId="1441" priority="1277" stopIfTrue="1">
      <formula>IF(WEEKDAY(V$8)=1,TRUE,FALSE)</formula>
    </cfRule>
    <cfRule type="containsText" dxfId="1440" priority="1278" operator="containsText" text="P">
      <formula>NOT(ISERROR(SEARCH("P",V39)))</formula>
    </cfRule>
    <cfRule type="containsText" dxfId="1439" priority="1279" operator="containsText" text="K">
      <formula>NOT(ISERROR(SEARCH("K",V39)))</formula>
    </cfRule>
    <cfRule type="expression" dxfId="1438" priority="1280" stopIfTrue="1">
      <formula>IF(WEEKDAY(V$8)=1,TRUE,FALSE)</formula>
    </cfRule>
    <cfRule type="containsText" dxfId="1437" priority="1281" operator="containsText" text="P">
      <formula>NOT(ISERROR(SEARCH("P",V39)))</formula>
    </cfRule>
    <cfRule type="containsText" dxfId="1436" priority="1282" operator="containsText" text="K">
      <formula>NOT(ISERROR(SEARCH("K",V39)))</formula>
    </cfRule>
  </conditionalFormatting>
  <conditionalFormatting sqref="V41:Y41 M41">
    <cfRule type="expression" dxfId="1435" priority="1276" stopIfTrue="1">
      <formula>IF(WEEKDAY(M$8)=1,TRUE,FALSE)</formula>
    </cfRule>
  </conditionalFormatting>
  <conditionalFormatting sqref="V41:Y41">
    <cfRule type="containsText" dxfId="1434" priority="1247" operator="containsText" text="P">
      <formula>NOT(ISERROR(SEARCH("P",V41)))</formula>
    </cfRule>
    <cfRule type="containsText" dxfId="1433" priority="1248" operator="containsText" text="K">
      <formula>NOT(ISERROR(SEARCH("K",V41)))</formula>
    </cfRule>
    <cfRule type="expression" dxfId="1432" priority="1249" stopIfTrue="1">
      <formula>IF(WEEKDAY(V$8)=1,TRUE,FALSE)</formula>
    </cfRule>
    <cfRule type="containsText" dxfId="1431" priority="1250" operator="containsText" text="P">
      <formula>NOT(ISERROR(SEARCH("P",V41)))</formula>
    </cfRule>
    <cfRule type="containsText" dxfId="1430" priority="1251" operator="containsText" text="K">
      <formula>NOT(ISERROR(SEARCH("K",V41)))</formula>
    </cfRule>
    <cfRule type="expression" dxfId="1429" priority="1252" stopIfTrue="1">
      <formula>IF(WEEKDAY(V$8)=1,TRUE,FALSE)</formula>
    </cfRule>
    <cfRule type="containsText" dxfId="1428" priority="1253" operator="containsText" text="P">
      <formula>NOT(ISERROR(SEARCH("P",V41)))</formula>
    </cfRule>
    <cfRule type="containsText" dxfId="1427" priority="1254" operator="containsText" text="K">
      <formula>NOT(ISERROR(SEARCH("K",V41)))</formula>
    </cfRule>
    <cfRule type="expression" dxfId="1426" priority="1255" stopIfTrue="1">
      <formula>IF(WEEKDAY(V$8)=1,TRUE,FALSE)</formula>
    </cfRule>
    <cfRule type="containsText" dxfId="1425" priority="1256" operator="containsText" text="P">
      <formula>NOT(ISERROR(SEARCH("P",V41)))</formula>
    </cfRule>
    <cfRule type="containsText" dxfId="1424" priority="1257" operator="containsText" text="K">
      <formula>NOT(ISERROR(SEARCH("K",V41)))</formula>
    </cfRule>
    <cfRule type="expression" dxfId="1423" priority="1258" stopIfTrue="1">
      <formula>IF(WEEKDAY(V$8)=1,TRUE,FALSE)</formula>
    </cfRule>
    <cfRule type="containsText" dxfId="1422" priority="1259" operator="containsText" text="P">
      <formula>NOT(ISERROR(SEARCH("P",V41)))</formula>
    </cfRule>
    <cfRule type="containsText" dxfId="1421" priority="1260" operator="containsText" text="K">
      <formula>NOT(ISERROR(SEARCH("K",V41)))</formula>
    </cfRule>
    <cfRule type="expression" dxfId="1420" priority="1261" stopIfTrue="1">
      <formula>IF(WEEKDAY(V$8)=1,TRUE,FALSE)</formula>
    </cfRule>
    <cfRule type="containsText" dxfId="1419" priority="1262" operator="containsText" text="P">
      <formula>NOT(ISERROR(SEARCH("P",V41)))</formula>
    </cfRule>
    <cfRule type="containsText" dxfId="1418" priority="1263" operator="containsText" text="K">
      <formula>NOT(ISERROR(SEARCH("K",V41)))</formula>
    </cfRule>
    <cfRule type="expression" dxfId="1417" priority="1264" stopIfTrue="1">
      <formula>IF(WEEKDAY(V$8)=1,TRUE,FALSE)</formula>
    </cfRule>
    <cfRule type="containsText" dxfId="1416" priority="1265" operator="containsText" text="P">
      <formula>NOT(ISERROR(SEARCH("P",V41)))</formula>
    </cfRule>
    <cfRule type="containsText" dxfId="1415" priority="1266" operator="containsText" text="K">
      <formula>NOT(ISERROR(SEARCH("K",V41)))</formula>
    </cfRule>
    <cfRule type="expression" dxfId="1414" priority="1267" stopIfTrue="1">
      <formula>IF(WEEKDAY(V$8)=1,TRUE,FALSE)</formula>
    </cfRule>
    <cfRule type="containsText" dxfId="1413" priority="1268" operator="containsText" text="P">
      <formula>NOT(ISERROR(SEARCH("P",V41)))</formula>
    </cfRule>
    <cfRule type="containsText" dxfId="1412" priority="1269" operator="containsText" text="K">
      <formula>NOT(ISERROR(SEARCH("K",V41)))</formula>
    </cfRule>
    <cfRule type="expression" dxfId="1411" priority="1270" stopIfTrue="1">
      <formula>IF(WEEKDAY(V$8)=1,TRUE,FALSE)</formula>
    </cfRule>
    <cfRule type="containsText" dxfId="1410" priority="1271" operator="containsText" text="P">
      <formula>NOT(ISERROR(SEARCH("P",V41)))</formula>
    </cfRule>
    <cfRule type="containsText" dxfId="1409" priority="1272" operator="containsText" text="K">
      <formula>NOT(ISERROR(SEARCH("K",V41)))</formula>
    </cfRule>
    <cfRule type="expression" dxfId="1408" priority="1273" stopIfTrue="1">
      <formula>IF(WEEKDAY(V$8)=1,TRUE,FALSE)</formula>
    </cfRule>
    <cfRule type="containsText" dxfId="1407" priority="1274" operator="containsText" text="P">
      <formula>NOT(ISERROR(SEARCH("P",V41)))</formula>
    </cfRule>
    <cfRule type="containsText" dxfId="1406" priority="1275" operator="containsText" text="K">
      <formula>NOT(ISERROR(SEARCH("K",V41)))</formula>
    </cfRule>
  </conditionalFormatting>
  <conditionalFormatting sqref="V42:Y42">
    <cfRule type="expression" dxfId="1405" priority="1241" stopIfTrue="1">
      <formula>IF(WEEKDAY(V$8)=1,TRUE,FALSE)</formula>
    </cfRule>
    <cfRule type="containsText" dxfId="1404" priority="1242" operator="containsText" text="P">
      <formula>NOT(ISERROR(SEARCH("P",V42)))</formula>
    </cfRule>
    <cfRule type="containsText" dxfId="1403" priority="1243" operator="containsText" text="K">
      <formula>NOT(ISERROR(SEARCH("K",V42)))</formula>
    </cfRule>
    <cfRule type="expression" dxfId="1402" priority="1244" stopIfTrue="1">
      <formula>IF(WEEKDAY(V$8)=1,TRUE,FALSE)</formula>
    </cfRule>
    <cfRule type="containsText" dxfId="1401" priority="1245" operator="containsText" text="P">
      <formula>NOT(ISERROR(SEARCH("P",V42)))</formula>
    </cfRule>
    <cfRule type="containsText" dxfId="1400" priority="1246" operator="containsText" text="K">
      <formula>NOT(ISERROR(SEARCH("K",V42)))</formula>
    </cfRule>
  </conditionalFormatting>
  <conditionalFormatting sqref="V52:Y52">
    <cfRule type="expression" dxfId="1399" priority="1239" stopIfTrue="1">
      <formula>IF(WEEKDAY(V$8)=1,TRUE,FALSE)</formula>
    </cfRule>
    <cfRule type="containsText" dxfId="1398" priority="1240" operator="containsText" text="P">
      <formula>NOT(ISERROR(SEARCH("P",V52)))</formula>
    </cfRule>
  </conditionalFormatting>
  <conditionalFormatting sqref="V81:Y81">
    <cfRule type="containsText" dxfId="1397" priority="1236" operator="containsText" text="K">
      <formula>NOT(ISERROR(SEARCH("K",V81)))</formula>
    </cfRule>
    <cfRule type="expression" dxfId="1396" priority="1237" stopIfTrue="1">
      <formula>IF(WEEKDAY(V$8)=1,TRUE,FALSE)</formula>
    </cfRule>
    <cfRule type="containsText" dxfId="1395" priority="1238" operator="containsText" text="P">
      <formula>NOT(ISERROR(SEARCH("P",V81)))</formula>
    </cfRule>
  </conditionalFormatting>
  <conditionalFormatting sqref="V102:Y102">
    <cfRule type="expression" dxfId="1394" priority="1234" stopIfTrue="1">
      <formula>IF(WEEKDAY(V$8)=1,TRUE,FALSE)</formula>
    </cfRule>
    <cfRule type="containsText" dxfId="1393" priority="1235" operator="containsText" text="P">
      <formula>NOT(ISERROR(SEARCH("P",V102)))</formula>
    </cfRule>
  </conditionalFormatting>
  <conditionalFormatting sqref="V153:Y153">
    <cfRule type="containsText" dxfId="1392" priority="1233" operator="containsText" text="K">
      <formula>NOT(ISERROR(SEARCH("K",V153)))</formula>
    </cfRule>
  </conditionalFormatting>
  <conditionalFormatting sqref="V169:Y169">
    <cfRule type="expression" dxfId="1391" priority="1231" stopIfTrue="1">
      <formula>IF(WEEKDAY(V$8)=1,TRUE,FALSE)</formula>
    </cfRule>
    <cfRule type="containsText" dxfId="1390" priority="1232" operator="containsText" text="P">
      <formula>NOT(ISERROR(SEARCH("P",V169)))</formula>
    </cfRule>
  </conditionalFormatting>
  <conditionalFormatting sqref="V178:Y178">
    <cfRule type="containsText" dxfId="1389" priority="1229" operator="containsText" text="P">
      <formula>NOT(ISERROR(SEARCH("P",V178)))</formula>
    </cfRule>
    <cfRule type="containsText" dxfId="1388" priority="1230" operator="containsText" text="K">
      <formula>NOT(ISERROR(SEARCH("K",V178)))</formula>
    </cfRule>
  </conditionalFormatting>
  <conditionalFormatting sqref="V224:Y229">
    <cfRule type="expression" dxfId="1387" priority="1226" stopIfTrue="1">
      <formula>IF(WEEKDAY(V$8)=1,TRUE,FALSE)</formula>
    </cfRule>
    <cfRule type="containsText" dxfId="1386" priority="1227" operator="containsText" text="P">
      <formula>NOT(ISERROR(SEARCH("P",V224)))</formula>
    </cfRule>
    <cfRule type="containsText" dxfId="1385" priority="1228" operator="containsText" text="K">
      <formula>NOT(ISERROR(SEARCH("K",V224)))</formula>
    </cfRule>
  </conditionalFormatting>
  <conditionalFormatting sqref="V23:AC23 Y25">
    <cfRule type="containsText" dxfId="1384" priority="1224" operator="containsText" text="K">
      <formula>NOT(ISERROR(SEARCH("K",V23)))</formula>
    </cfRule>
    <cfRule type="containsText" dxfId="1383" priority="1225" operator="containsText" text="P">
      <formula>NOT(ISERROR(SEARCH("P",V23)))</formula>
    </cfRule>
  </conditionalFormatting>
  <conditionalFormatting sqref="V141:AE141 F142:AG142">
    <cfRule type="containsText" dxfId="1382" priority="1223" operator="containsText" text="K">
      <formula>NOT(ISERROR(SEARCH("K",F141)))</formula>
    </cfRule>
  </conditionalFormatting>
  <conditionalFormatting sqref="W44">
    <cfRule type="expression" dxfId="1381" priority="1219" stopIfTrue="1">
      <formula>IF(WEEKDAY(W$8)=1,TRUE,FALSE)</formula>
    </cfRule>
    <cfRule type="containsText" dxfId="1380" priority="1220" operator="containsText" text="P">
      <formula>NOT(ISERROR(SEARCH("P",W44)))</formula>
    </cfRule>
    <cfRule type="expression" dxfId="1379" priority="1221" stopIfTrue="1">
      <formula>IF(WEEKDAY(W$8)=1,TRUE,FALSE)</formula>
    </cfRule>
    <cfRule type="containsText" dxfId="1378" priority="1222" operator="containsText" text="P">
      <formula>NOT(ISERROR(SEARCH("P",W44)))</formula>
    </cfRule>
  </conditionalFormatting>
  <conditionalFormatting sqref="W51">
    <cfRule type="containsText" dxfId="1377" priority="1218" operator="containsText" text="K">
      <formula>NOT(ISERROR(SEARCH("K",W51)))</formula>
    </cfRule>
  </conditionalFormatting>
  <conditionalFormatting sqref="W56">
    <cfRule type="containsText" dxfId="1376" priority="1217" operator="containsText" text="K">
      <formula>NOT(ISERROR(SEARCH("K",W56)))</formula>
    </cfRule>
  </conditionalFormatting>
  <conditionalFormatting sqref="W79">
    <cfRule type="containsText" dxfId="1375" priority="1212" operator="containsText" text="K">
      <formula>NOT(ISERROR(SEARCH("K",W79)))</formula>
    </cfRule>
    <cfRule type="expression" dxfId="1374" priority="1213" stopIfTrue="1">
      <formula>IF(WEEKDAY(W$8)=1,TRUE,FALSE)</formula>
    </cfRule>
    <cfRule type="containsText" dxfId="1373" priority="1214" operator="containsText" text="P">
      <formula>NOT(ISERROR(SEARCH("P",W79)))</formula>
    </cfRule>
    <cfRule type="expression" dxfId="1372" priority="1215" stopIfTrue="1">
      <formula>IF(WEEKDAY(W$8)=1,TRUE,FALSE)</formula>
    </cfRule>
    <cfRule type="containsText" dxfId="1371" priority="1216" operator="containsText" text="P">
      <formula>NOT(ISERROR(SEARCH("P",W79)))</formula>
    </cfRule>
  </conditionalFormatting>
  <conditionalFormatting sqref="W106">
    <cfRule type="containsText" dxfId="1370" priority="1209" operator="containsText" text="P">
      <formula>NOT(ISERROR(SEARCH("P",W106)))</formula>
    </cfRule>
    <cfRule type="expression" dxfId="1369" priority="1210" stopIfTrue="1">
      <formula>IF(WEEKDAY(W$8)=1,TRUE,FALSE)</formula>
    </cfRule>
    <cfRule type="containsText" dxfId="1368" priority="1211" operator="containsText" text="P">
      <formula>NOT(ISERROR(SEARCH("P",W106)))</formula>
    </cfRule>
  </conditionalFormatting>
  <conditionalFormatting sqref="W144">
    <cfRule type="expression" dxfId="1367" priority="1205" stopIfTrue="1">
      <formula>IF(WEEKDAY(W$8)=1,TRUE,FALSE)</formula>
    </cfRule>
    <cfRule type="containsText" dxfId="1366" priority="1206" operator="containsText" text="P">
      <formula>NOT(ISERROR(SEARCH("P",W144)))</formula>
    </cfRule>
    <cfRule type="expression" dxfId="1365" priority="1207" stopIfTrue="1">
      <formula>IF(WEEKDAY(W$8)=1,TRUE,FALSE)</formula>
    </cfRule>
    <cfRule type="containsText" dxfId="1364" priority="1208" operator="containsText" text="P">
      <formula>NOT(ISERROR(SEARCH("P",W144)))</formula>
    </cfRule>
  </conditionalFormatting>
  <conditionalFormatting sqref="W151">
    <cfRule type="containsText" dxfId="1363" priority="1202" operator="containsText" text="K">
      <formula>NOT(ISERROR(SEARCH("K",W151)))</formula>
    </cfRule>
    <cfRule type="containsText" dxfId="1362" priority="1203" operator="containsText" text="P">
      <formula>NOT(ISERROR(SEARCH("P",W151)))</formula>
    </cfRule>
    <cfRule type="containsText" dxfId="1361" priority="1204" operator="containsText" text="K">
      <formula>NOT(ISERROR(SEARCH("K",W151)))</formula>
    </cfRule>
  </conditionalFormatting>
  <conditionalFormatting sqref="W153">
    <cfRule type="expression" dxfId="1360" priority="1200" stopIfTrue="1">
      <formula>IF(WEEKDAY(W$8)=1,TRUE,FALSE)</formula>
    </cfRule>
    <cfRule type="containsText" dxfId="1359" priority="1201" operator="containsText" text="P">
      <formula>NOT(ISERROR(SEARCH("P",W153)))</formula>
    </cfRule>
  </conditionalFormatting>
  <conditionalFormatting sqref="W153:W155">
    <cfRule type="expression" dxfId="1358" priority="1198" stopIfTrue="1">
      <formula>IF(WEEKDAY(W$8)=1,TRUE,FALSE)</formula>
    </cfRule>
    <cfRule type="containsText" dxfId="1357" priority="1199" operator="containsText" text="P">
      <formula>NOT(ISERROR(SEARCH("P",W153)))</formula>
    </cfRule>
  </conditionalFormatting>
  <conditionalFormatting sqref="W154:W155">
    <cfRule type="containsText" dxfId="1356" priority="1197" operator="containsText" text="P">
      <formula>NOT(ISERROR(SEARCH("P",W154)))</formula>
    </cfRule>
  </conditionalFormatting>
  <conditionalFormatting sqref="W170:W171 P170:P171 R170:T171">
    <cfRule type="containsText" dxfId="1355" priority="1196" operator="containsText" text="K">
      <formula>NOT(ISERROR(SEARCH("K",P170)))</formula>
    </cfRule>
  </conditionalFormatting>
  <conditionalFormatting sqref="W170:W171 R171:T171">
    <cfRule type="containsText" dxfId="1354" priority="1195" operator="containsText" text="K">
      <formula>NOT(ISERROR(SEARCH("K",R170)))</formula>
    </cfRule>
  </conditionalFormatting>
  <conditionalFormatting sqref="W175">
    <cfRule type="containsText" dxfId="1353" priority="1193" operator="containsText" text="K">
      <formula>NOT(ISERROR(SEARCH("K",W175)))</formula>
    </cfRule>
    <cfRule type="containsText" dxfId="1352" priority="1194" operator="containsText" text="P">
      <formula>NOT(ISERROR(SEARCH("P",W175)))</formula>
    </cfRule>
  </conditionalFormatting>
  <conditionalFormatting sqref="W223">
    <cfRule type="expression" dxfId="1351" priority="1191" stopIfTrue="1">
      <formula>IF(WEEKDAY(W$8)=1,TRUE,FALSE)</formula>
    </cfRule>
    <cfRule type="containsText" dxfId="1350" priority="1192" operator="containsText" text="P">
      <formula>NOT(ISERROR(SEARCH("P",W223)))</formula>
    </cfRule>
  </conditionalFormatting>
  <conditionalFormatting sqref="W25:X25 Z25">
    <cfRule type="expression" dxfId="1349" priority="1188" stopIfTrue="1">
      <formula>IF(WEEKDAY(W$8)=1,TRUE,FALSE)</formula>
    </cfRule>
    <cfRule type="containsText" dxfId="1348" priority="1189" operator="containsText" text="P">
      <formula>NOT(ISERROR(SEARCH("P",W25)))</formula>
    </cfRule>
    <cfRule type="containsText" dxfId="1347" priority="1190" operator="containsText" text="K">
      <formula>NOT(ISERROR(SEARCH("K",W25)))</formula>
    </cfRule>
  </conditionalFormatting>
  <conditionalFormatting sqref="W47:X47">
    <cfRule type="containsText" dxfId="1346" priority="1186" operator="containsText" text="K">
      <formula>NOT(ISERROR(SEARCH("K",W47)))</formula>
    </cfRule>
    <cfRule type="expression" dxfId="1345" priority="1187" stopIfTrue="1">
      <formula>IF(WEEKDAY(W$8)=1,TRUE,FALSE)</formula>
    </cfRule>
  </conditionalFormatting>
  <conditionalFormatting sqref="W48:X48">
    <cfRule type="expression" dxfId="1344" priority="1181" stopIfTrue="1">
      <formula>IF(WEEKDAY(W$8)=1,TRUE,FALSE)</formula>
    </cfRule>
    <cfRule type="containsText" dxfId="1343" priority="1182" operator="containsText" text="P">
      <formula>NOT(ISERROR(SEARCH("P",W48)))</formula>
    </cfRule>
    <cfRule type="containsText" dxfId="1342" priority="1183" operator="containsText" text="K">
      <formula>NOT(ISERROR(SEARCH("K",W48)))</formula>
    </cfRule>
    <cfRule type="containsText" dxfId="1341" priority="1184" operator="containsText" text="P">
      <formula>NOT(ISERROR(SEARCH("P",W48)))</formula>
    </cfRule>
    <cfRule type="expression" dxfId="1340" priority="1185" stopIfTrue="1">
      <formula>IF(WEEKDAY(W$8)=1,TRUE,FALSE)</formula>
    </cfRule>
  </conditionalFormatting>
  <conditionalFormatting sqref="W170:X172">
    <cfRule type="containsText" dxfId="1339" priority="1180" operator="containsText" text="P">
      <formula>NOT(ISERROR(SEARCH("P",W170)))</formula>
    </cfRule>
  </conditionalFormatting>
  <conditionalFormatting sqref="W172:X173">
    <cfRule type="containsText" dxfId="1338" priority="1177" operator="containsText" text="P">
      <formula>NOT(ISERROR(SEARCH("P",W172)))</formula>
    </cfRule>
    <cfRule type="containsText" dxfId="1337" priority="1178" operator="containsText" text="K">
      <formula>NOT(ISERROR(SEARCH("K",W172)))</formula>
    </cfRule>
    <cfRule type="expression" dxfId="1336" priority="1179" stopIfTrue="1">
      <formula>IF(WEEKDAY(W$8)=1,TRUE,FALSE)</formula>
    </cfRule>
  </conditionalFormatting>
  <conditionalFormatting sqref="W173:X174 U172:U174">
    <cfRule type="containsText" dxfId="1335" priority="1176" operator="containsText" text="P">
      <formula>NOT(ISERROR(SEARCH("P",U172)))</formula>
    </cfRule>
  </conditionalFormatting>
  <conditionalFormatting sqref="W173:X174">
    <cfRule type="expression" dxfId="1334" priority="1175" stopIfTrue="1">
      <formula>IF(WEEKDAY(W$8)=1,TRUE,FALSE)</formula>
    </cfRule>
  </conditionalFormatting>
  <conditionalFormatting sqref="W175:X176">
    <cfRule type="containsText" dxfId="1333" priority="1174" operator="containsText" text="P">
      <formula>NOT(ISERROR(SEARCH("P",W175)))</formula>
    </cfRule>
  </conditionalFormatting>
  <conditionalFormatting sqref="W176:X176">
    <cfRule type="expression" dxfId="1332" priority="1173" stopIfTrue="1">
      <formula>IF(WEEKDAY(W$8)=1,TRUE,FALSE)</formula>
    </cfRule>
  </conditionalFormatting>
  <conditionalFormatting sqref="W176:X177">
    <cfRule type="containsText" dxfId="1331" priority="1172" operator="containsText" text="K">
      <formula>NOT(ISERROR(SEARCH("K",W176)))</formula>
    </cfRule>
  </conditionalFormatting>
  <conditionalFormatting sqref="W177:X178">
    <cfRule type="containsText" dxfId="1330" priority="1171" operator="containsText" text="P">
      <formula>NOT(ISERROR(SEARCH("P",W177)))</formula>
    </cfRule>
  </conditionalFormatting>
  <conditionalFormatting sqref="W39:Y39">
    <cfRule type="expression" dxfId="1329" priority="1168" stopIfTrue="1">
      <formula>IF(WEEKDAY(W$8)=1,TRUE,FALSE)</formula>
    </cfRule>
    <cfRule type="containsText" dxfId="1328" priority="1169" operator="containsText" text="P">
      <formula>NOT(ISERROR(SEARCH("P",W39)))</formula>
    </cfRule>
    <cfRule type="containsText" dxfId="1327" priority="1170" operator="containsText" text="K">
      <formula>NOT(ISERROR(SEARCH("K",W39)))</formula>
    </cfRule>
  </conditionalFormatting>
  <conditionalFormatting sqref="W79:Y79">
    <cfRule type="containsText" dxfId="1326" priority="1167" operator="containsText" text="K">
      <formula>NOT(ISERROR(SEARCH("K",W79)))</formula>
    </cfRule>
  </conditionalFormatting>
  <conditionalFormatting sqref="W106:Y106">
    <cfRule type="containsText" dxfId="1325" priority="1165" operator="containsText" text="K">
      <formula>NOT(ISERROR(SEARCH("K",W106)))</formula>
    </cfRule>
    <cfRule type="expression" dxfId="1324" priority="1166" stopIfTrue="1">
      <formula>IF(WEEKDAY(W$8)=1,TRUE,FALSE)</formula>
    </cfRule>
  </conditionalFormatting>
  <conditionalFormatting sqref="W144:Y144">
    <cfRule type="containsText" dxfId="1323" priority="1164" operator="containsText" text="K">
      <formula>NOT(ISERROR(SEARCH("K",W144)))</formula>
    </cfRule>
  </conditionalFormatting>
  <conditionalFormatting sqref="W151:Y151 P162">
    <cfRule type="containsText" dxfId="1322" priority="1163" operator="containsText" text="P">
      <formula>NOT(ISERROR(SEARCH("P",P151)))</formula>
    </cfRule>
  </conditionalFormatting>
  <conditionalFormatting sqref="W151:Y151">
    <cfRule type="expression" dxfId="1321" priority="1162" stopIfTrue="1">
      <formula>IF(WEEKDAY(W$8)=1,TRUE,FALSE)</formula>
    </cfRule>
  </conditionalFormatting>
  <conditionalFormatting sqref="W154:Y155">
    <cfRule type="containsText" dxfId="1320" priority="1160" operator="containsText" text="K">
      <formula>NOT(ISERROR(SEARCH("K",W154)))</formula>
    </cfRule>
    <cfRule type="containsText" dxfId="1319" priority="1161" operator="containsText" text="K">
      <formula>NOT(ISERROR(SEARCH("K",W154)))</formula>
    </cfRule>
  </conditionalFormatting>
  <conditionalFormatting sqref="W164:Y164 U164">
    <cfRule type="containsText" dxfId="1318" priority="1159" operator="containsText" text="P">
      <formula>NOT(ISERROR(SEARCH("P",U164)))</formula>
    </cfRule>
  </conditionalFormatting>
  <conditionalFormatting sqref="W164:Y164">
    <cfRule type="expression" dxfId="1317" priority="1146" stopIfTrue="1">
      <formula>IF(WEEKDAY(W$8)=1,TRUE,FALSE)</formula>
    </cfRule>
    <cfRule type="containsText" dxfId="1316" priority="1147" operator="containsText" text="P">
      <formula>NOT(ISERROR(SEARCH("P",W164)))</formula>
    </cfRule>
    <cfRule type="containsText" dxfId="1315" priority="1148" operator="containsText" text="K">
      <formula>NOT(ISERROR(SEARCH("K",W164)))</formula>
    </cfRule>
    <cfRule type="expression" dxfId="1314" priority="1149" stopIfTrue="1">
      <formula>IF(WEEKDAY(W$8)=1,TRUE,FALSE)</formula>
    </cfRule>
    <cfRule type="containsText" dxfId="1313" priority="1150" operator="containsText" text="P">
      <formula>NOT(ISERROR(SEARCH("P",W164)))</formula>
    </cfRule>
    <cfRule type="containsText" dxfId="1312" priority="1151" operator="containsText" text="K">
      <formula>NOT(ISERROR(SEARCH("K",W164)))</formula>
    </cfRule>
    <cfRule type="expression" dxfId="1311" priority="1152" stopIfTrue="1">
      <formula>IF(WEEKDAY(W$8)=1,TRUE,FALSE)</formula>
    </cfRule>
    <cfRule type="containsText" dxfId="1310" priority="1153" operator="containsText" text="P">
      <formula>NOT(ISERROR(SEARCH("P",W164)))</formula>
    </cfRule>
    <cfRule type="containsText" dxfId="1309" priority="1154" operator="containsText" text="K">
      <formula>NOT(ISERROR(SEARCH("K",W164)))</formula>
    </cfRule>
    <cfRule type="expression" dxfId="1308" priority="1155" stopIfTrue="1">
      <formula>IF(WEEKDAY(W$8)=1,TRUE,FALSE)</formula>
    </cfRule>
    <cfRule type="containsText" dxfId="1307" priority="1156" operator="containsText" text="P">
      <formula>NOT(ISERROR(SEARCH("P",W164)))</formula>
    </cfRule>
    <cfRule type="containsText" dxfId="1306" priority="1157" operator="containsText" text="K">
      <formula>NOT(ISERROR(SEARCH("K",W164)))</formula>
    </cfRule>
    <cfRule type="expression" dxfId="1305" priority="1158" stopIfTrue="1">
      <formula>IF(WEEKDAY(W$8)=1,TRUE,FALSE)</formula>
    </cfRule>
  </conditionalFormatting>
  <conditionalFormatting sqref="W165:Y167 U166">
    <cfRule type="containsText" dxfId="1304" priority="1144" operator="containsText" text="P">
      <formula>NOT(ISERROR(SEARCH("P",U165)))</formula>
    </cfRule>
    <cfRule type="containsText" dxfId="1303" priority="1145" operator="containsText" text="K">
      <formula>NOT(ISERROR(SEARCH("K",U165)))</formula>
    </cfRule>
  </conditionalFormatting>
  <conditionalFormatting sqref="W166:Y166">
    <cfRule type="expression" dxfId="1302" priority="1107" stopIfTrue="1">
      <formula>IF(WEEKDAY(W$8)=1,TRUE,FALSE)</formula>
    </cfRule>
    <cfRule type="containsText" dxfId="1301" priority="1108" operator="containsText" text="P">
      <formula>NOT(ISERROR(SEARCH("P",W166)))</formula>
    </cfRule>
    <cfRule type="containsText" dxfId="1300" priority="1109" operator="containsText" text="K">
      <formula>NOT(ISERROR(SEARCH("K",W166)))</formula>
    </cfRule>
    <cfRule type="expression" dxfId="1299" priority="1110" stopIfTrue="1">
      <formula>IF(WEEKDAY(W$8)=1,TRUE,FALSE)</formula>
    </cfRule>
    <cfRule type="containsText" dxfId="1298" priority="1111" operator="containsText" text="P">
      <formula>NOT(ISERROR(SEARCH("P",W166)))</formula>
    </cfRule>
    <cfRule type="containsText" dxfId="1297" priority="1112" operator="containsText" text="K">
      <formula>NOT(ISERROR(SEARCH("K",W166)))</formula>
    </cfRule>
    <cfRule type="expression" dxfId="1296" priority="1113" stopIfTrue="1">
      <formula>IF(WEEKDAY(W$8)=1,TRUE,FALSE)</formula>
    </cfRule>
    <cfRule type="containsText" dxfId="1295" priority="1114" operator="containsText" text="P">
      <formula>NOT(ISERROR(SEARCH("P",W166)))</formula>
    </cfRule>
    <cfRule type="containsText" dxfId="1294" priority="1115" operator="containsText" text="K">
      <formula>NOT(ISERROR(SEARCH("K",W166)))</formula>
    </cfRule>
    <cfRule type="expression" dxfId="1293" priority="1116" stopIfTrue="1">
      <formula>IF(WEEKDAY(W$8)=1,TRUE,FALSE)</formula>
    </cfRule>
    <cfRule type="containsText" dxfId="1292" priority="1117" operator="containsText" text="P">
      <formula>NOT(ISERROR(SEARCH("P",W166)))</formula>
    </cfRule>
    <cfRule type="containsText" dxfId="1291" priority="1118" operator="containsText" text="K">
      <formula>NOT(ISERROR(SEARCH("K",W166)))</formula>
    </cfRule>
    <cfRule type="expression" dxfId="1290" priority="1119" stopIfTrue="1">
      <formula>IF(WEEKDAY(W$8)=1,TRUE,FALSE)</formula>
    </cfRule>
    <cfRule type="containsText" dxfId="1289" priority="1120" operator="containsText" text="P">
      <formula>NOT(ISERROR(SEARCH("P",W166)))</formula>
    </cfRule>
    <cfRule type="containsText" dxfId="1288" priority="1121" operator="containsText" text="K">
      <formula>NOT(ISERROR(SEARCH("K",W166)))</formula>
    </cfRule>
    <cfRule type="expression" dxfId="1287" priority="1122" stopIfTrue="1">
      <formula>IF(WEEKDAY(W$8)=1,TRUE,FALSE)</formula>
    </cfRule>
    <cfRule type="containsText" dxfId="1286" priority="1123" operator="containsText" text="P">
      <formula>NOT(ISERROR(SEARCH("P",W166)))</formula>
    </cfRule>
    <cfRule type="containsText" dxfId="1285" priority="1124" operator="containsText" text="K">
      <formula>NOT(ISERROR(SEARCH("K",W166)))</formula>
    </cfRule>
    <cfRule type="expression" dxfId="1284" priority="1125" stopIfTrue="1">
      <formula>IF(WEEKDAY(W$8)=1,TRUE,FALSE)</formula>
    </cfRule>
    <cfRule type="containsText" dxfId="1283" priority="1126" operator="containsText" text="P">
      <formula>NOT(ISERROR(SEARCH("P",W166)))</formula>
    </cfRule>
    <cfRule type="containsText" dxfId="1282" priority="1127" operator="containsText" text="K">
      <formula>NOT(ISERROR(SEARCH("K",W166)))</formula>
    </cfRule>
    <cfRule type="expression" dxfId="1281" priority="1128" stopIfTrue="1">
      <formula>IF(WEEKDAY(W$8)=1,TRUE,FALSE)</formula>
    </cfRule>
    <cfRule type="containsText" dxfId="1280" priority="1129" operator="containsText" text="P">
      <formula>NOT(ISERROR(SEARCH("P",W166)))</formula>
    </cfRule>
    <cfRule type="containsText" dxfId="1279" priority="1130" operator="containsText" text="K">
      <formula>NOT(ISERROR(SEARCH("K",W166)))</formula>
    </cfRule>
    <cfRule type="expression" dxfId="1278" priority="1131" stopIfTrue="1">
      <formula>IF(WEEKDAY(W$8)=1,TRUE,FALSE)</formula>
    </cfRule>
    <cfRule type="containsText" dxfId="1277" priority="1132" operator="containsText" text="P">
      <formula>NOT(ISERROR(SEARCH("P",W166)))</formula>
    </cfRule>
    <cfRule type="containsText" dxfId="1276" priority="1133" operator="containsText" text="K">
      <formula>NOT(ISERROR(SEARCH("K",W166)))</formula>
    </cfRule>
    <cfRule type="expression" dxfId="1275" priority="1134" stopIfTrue="1">
      <formula>IF(WEEKDAY(W$8)=1,TRUE,FALSE)</formula>
    </cfRule>
    <cfRule type="containsText" dxfId="1274" priority="1135" operator="containsText" text="P">
      <formula>NOT(ISERROR(SEARCH("P",W166)))</formula>
    </cfRule>
    <cfRule type="containsText" dxfId="1273" priority="1136" operator="containsText" text="K">
      <formula>NOT(ISERROR(SEARCH("K",W166)))</formula>
    </cfRule>
    <cfRule type="expression" dxfId="1272" priority="1137" stopIfTrue="1">
      <formula>IF(WEEKDAY(W$8)=1,TRUE,FALSE)</formula>
    </cfRule>
    <cfRule type="containsText" dxfId="1271" priority="1138" operator="containsText" text="P">
      <formula>NOT(ISERROR(SEARCH("P",W166)))</formula>
    </cfRule>
    <cfRule type="containsText" dxfId="1270" priority="1139" operator="containsText" text="K">
      <formula>NOT(ISERROR(SEARCH("K",W166)))</formula>
    </cfRule>
    <cfRule type="expression" dxfId="1269" priority="1140" stopIfTrue="1">
      <formula>IF(WEEKDAY(W$8)=1,TRUE,FALSE)</formula>
    </cfRule>
    <cfRule type="containsText" dxfId="1268" priority="1141" operator="containsText" text="P">
      <formula>NOT(ISERROR(SEARCH("P",W166)))</formula>
    </cfRule>
    <cfRule type="containsText" dxfId="1267" priority="1142" operator="containsText" text="K">
      <formula>NOT(ISERROR(SEARCH("K",W166)))</formula>
    </cfRule>
    <cfRule type="expression" dxfId="1266" priority="1143" stopIfTrue="1">
      <formula>IF(WEEKDAY(W$8)=1,TRUE,FALSE)</formula>
    </cfRule>
  </conditionalFormatting>
  <conditionalFormatting sqref="W168:Y168 U168">
    <cfRule type="containsText" dxfId="1265" priority="1106" operator="containsText" text="P">
      <formula>NOT(ISERROR(SEARCH("P",U168)))</formula>
    </cfRule>
  </conditionalFormatting>
  <conditionalFormatting sqref="W168:Y168">
    <cfRule type="expression" dxfId="1264" priority="1069" stopIfTrue="1">
      <formula>IF(WEEKDAY(W$8)=1,TRUE,FALSE)</formula>
    </cfRule>
    <cfRule type="containsText" dxfId="1263" priority="1070" operator="containsText" text="P">
      <formula>NOT(ISERROR(SEARCH("P",W168)))</formula>
    </cfRule>
    <cfRule type="containsText" dxfId="1262" priority="1071" operator="containsText" text="K">
      <formula>NOT(ISERROR(SEARCH("K",W168)))</formula>
    </cfRule>
    <cfRule type="expression" dxfId="1261" priority="1072" stopIfTrue="1">
      <formula>IF(WEEKDAY(W$8)=1,TRUE,FALSE)</formula>
    </cfRule>
    <cfRule type="containsText" dxfId="1260" priority="1073" operator="containsText" text="P">
      <formula>NOT(ISERROR(SEARCH("P",W168)))</formula>
    </cfRule>
    <cfRule type="containsText" dxfId="1259" priority="1074" operator="containsText" text="K">
      <formula>NOT(ISERROR(SEARCH("K",W168)))</formula>
    </cfRule>
    <cfRule type="expression" dxfId="1258" priority="1075" stopIfTrue="1">
      <formula>IF(WEEKDAY(W$8)=1,TRUE,FALSE)</formula>
    </cfRule>
    <cfRule type="containsText" dxfId="1257" priority="1076" operator="containsText" text="P">
      <formula>NOT(ISERROR(SEARCH("P",W168)))</formula>
    </cfRule>
    <cfRule type="containsText" dxfId="1256" priority="1077" operator="containsText" text="K">
      <formula>NOT(ISERROR(SEARCH("K",W168)))</formula>
    </cfRule>
    <cfRule type="expression" dxfId="1255" priority="1078" stopIfTrue="1">
      <formula>IF(WEEKDAY(W$8)=1,TRUE,FALSE)</formula>
    </cfRule>
    <cfRule type="containsText" dxfId="1254" priority="1079" operator="containsText" text="P">
      <formula>NOT(ISERROR(SEARCH("P",W168)))</formula>
    </cfRule>
    <cfRule type="containsText" dxfId="1253" priority="1080" operator="containsText" text="K">
      <formula>NOT(ISERROR(SEARCH("K",W168)))</formula>
    </cfRule>
    <cfRule type="expression" dxfId="1252" priority="1081" stopIfTrue="1">
      <formula>IF(WEEKDAY(W$8)=1,TRUE,FALSE)</formula>
    </cfRule>
    <cfRule type="containsText" dxfId="1251" priority="1082" operator="containsText" text="P">
      <formula>NOT(ISERROR(SEARCH("P",W168)))</formula>
    </cfRule>
    <cfRule type="containsText" dxfId="1250" priority="1083" operator="containsText" text="K">
      <formula>NOT(ISERROR(SEARCH("K",W168)))</formula>
    </cfRule>
    <cfRule type="expression" dxfId="1249" priority="1084" stopIfTrue="1">
      <formula>IF(WEEKDAY(W$8)=1,TRUE,FALSE)</formula>
    </cfRule>
    <cfRule type="containsText" dxfId="1248" priority="1085" operator="containsText" text="P">
      <formula>NOT(ISERROR(SEARCH("P",W168)))</formula>
    </cfRule>
    <cfRule type="containsText" dxfId="1247" priority="1086" operator="containsText" text="K">
      <formula>NOT(ISERROR(SEARCH("K",W168)))</formula>
    </cfRule>
    <cfRule type="expression" dxfId="1246" priority="1087" stopIfTrue="1">
      <formula>IF(WEEKDAY(W$8)=1,TRUE,FALSE)</formula>
    </cfRule>
    <cfRule type="containsText" dxfId="1245" priority="1088" operator="containsText" text="P">
      <formula>NOT(ISERROR(SEARCH("P",W168)))</formula>
    </cfRule>
    <cfRule type="containsText" dxfId="1244" priority="1089" operator="containsText" text="K">
      <formula>NOT(ISERROR(SEARCH("K",W168)))</formula>
    </cfRule>
    <cfRule type="expression" dxfId="1243" priority="1090" stopIfTrue="1">
      <formula>IF(WEEKDAY(W$8)=1,TRUE,FALSE)</formula>
    </cfRule>
    <cfRule type="containsText" dxfId="1242" priority="1091" operator="containsText" text="P">
      <formula>NOT(ISERROR(SEARCH("P",W168)))</formula>
    </cfRule>
    <cfRule type="containsText" dxfId="1241" priority="1092" operator="containsText" text="K">
      <formula>NOT(ISERROR(SEARCH("K",W168)))</formula>
    </cfRule>
    <cfRule type="expression" dxfId="1240" priority="1093" stopIfTrue="1">
      <formula>IF(WEEKDAY(W$8)=1,TRUE,FALSE)</formula>
    </cfRule>
    <cfRule type="containsText" dxfId="1239" priority="1094" operator="containsText" text="P">
      <formula>NOT(ISERROR(SEARCH("P",W168)))</formula>
    </cfRule>
    <cfRule type="containsText" dxfId="1238" priority="1095" operator="containsText" text="K">
      <formula>NOT(ISERROR(SEARCH("K",W168)))</formula>
    </cfRule>
    <cfRule type="expression" dxfId="1237" priority="1096" stopIfTrue="1">
      <formula>IF(WEEKDAY(W$8)=1,TRUE,FALSE)</formula>
    </cfRule>
    <cfRule type="containsText" dxfId="1236" priority="1097" operator="containsText" text="P">
      <formula>NOT(ISERROR(SEARCH("P",W168)))</formula>
    </cfRule>
    <cfRule type="containsText" dxfId="1235" priority="1098" operator="containsText" text="K">
      <formula>NOT(ISERROR(SEARCH("K",W168)))</formula>
    </cfRule>
    <cfRule type="expression" dxfId="1234" priority="1099" stopIfTrue="1">
      <formula>IF(WEEKDAY(W$8)=1,TRUE,FALSE)</formula>
    </cfRule>
    <cfRule type="containsText" dxfId="1233" priority="1100" operator="containsText" text="P">
      <formula>NOT(ISERROR(SEARCH("P",W168)))</formula>
    </cfRule>
    <cfRule type="containsText" dxfId="1232" priority="1101" operator="containsText" text="K">
      <formula>NOT(ISERROR(SEARCH("K",W168)))</formula>
    </cfRule>
    <cfRule type="expression" dxfId="1231" priority="1102" stopIfTrue="1">
      <formula>IF(WEEKDAY(W$8)=1,TRUE,FALSE)</formula>
    </cfRule>
    <cfRule type="containsText" dxfId="1230" priority="1103" operator="containsText" text="P">
      <formula>NOT(ISERROR(SEARCH("P",W168)))</formula>
    </cfRule>
    <cfRule type="containsText" dxfId="1229" priority="1104" operator="containsText" text="K">
      <formula>NOT(ISERROR(SEARCH("K",W168)))</formula>
    </cfRule>
    <cfRule type="expression" dxfId="1228" priority="1105" stopIfTrue="1">
      <formula>IF(WEEKDAY(W$8)=1,TRUE,FALSE)</formula>
    </cfRule>
  </conditionalFormatting>
  <conditionalFormatting sqref="W172:Y172">
    <cfRule type="containsText" dxfId="1227" priority="1065" operator="containsText" text="K">
      <formula>NOT(ISERROR(SEARCH("K",W172)))</formula>
    </cfRule>
    <cfRule type="expression" dxfId="1226" priority="1066" stopIfTrue="1">
      <formula>IF(WEEKDAY(W$8)=1,TRUE,FALSE)</formula>
    </cfRule>
    <cfRule type="containsText" dxfId="1225" priority="1067" operator="containsText" text="P">
      <formula>NOT(ISERROR(SEARCH("P",W172)))</formula>
    </cfRule>
    <cfRule type="containsText" dxfId="1224" priority="1068" operator="containsText" text="K">
      <formula>NOT(ISERROR(SEARCH("K",W172)))</formula>
    </cfRule>
  </conditionalFormatting>
  <conditionalFormatting sqref="W173:Y173">
    <cfRule type="expression" dxfId="1223" priority="1032" stopIfTrue="1">
      <formula>IF(WEEKDAY(W$8)=1,TRUE,FALSE)</formula>
    </cfRule>
    <cfRule type="containsText" dxfId="1222" priority="1033" operator="containsText" text="P">
      <formula>NOT(ISERROR(SEARCH("P",W173)))</formula>
    </cfRule>
    <cfRule type="containsText" dxfId="1221" priority="1034" operator="containsText" text="K">
      <formula>NOT(ISERROR(SEARCH("K",W173)))</formula>
    </cfRule>
    <cfRule type="expression" dxfId="1220" priority="1035" stopIfTrue="1">
      <formula>IF(WEEKDAY(W$8)=1,TRUE,FALSE)</formula>
    </cfRule>
    <cfRule type="containsText" dxfId="1219" priority="1036" operator="containsText" text="P">
      <formula>NOT(ISERROR(SEARCH("P",W173)))</formula>
    </cfRule>
    <cfRule type="containsText" dxfId="1218" priority="1037" operator="containsText" text="K">
      <formula>NOT(ISERROR(SEARCH("K",W173)))</formula>
    </cfRule>
    <cfRule type="expression" dxfId="1217" priority="1038" stopIfTrue="1">
      <formula>IF(WEEKDAY(W$8)=1,TRUE,FALSE)</formula>
    </cfRule>
    <cfRule type="containsText" dxfId="1216" priority="1039" operator="containsText" text="P">
      <formula>NOT(ISERROR(SEARCH("P",W173)))</formula>
    </cfRule>
    <cfRule type="containsText" dxfId="1215" priority="1040" operator="containsText" text="K">
      <formula>NOT(ISERROR(SEARCH("K",W173)))</formula>
    </cfRule>
    <cfRule type="expression" dxfId="1214" priority="1041" stopIfTrue="1">
      <formula>IF(WEEKDAY(W$8)=1,TRUE,FALSE)</formula>
    </cfRule>
    <cfRule type="containsText" dxfId="1213" priority="1042" operator="containsText" text="P">
      <formula>NOT(ISERROR(SEARCH("P",W173)))</formula>
    </cfRule>
    <cfRule type="containsText" dxfId="1212" priority="1043" operator="containsText" text="K">
      <formula>NOT(ISERROR(SEARCH("K",W173)))</formula>
    </cfRule>
    <cfRule type="expression" dxfId="1211" priority="1044" stopIfTrue="1">
      <formula>IF(WEEKDAY(W$8)=1,TRUE,FALSE)</formula>
    </cfRule>
    <cfRule type="containsText" dxfId="1210" priority="1045" operator="containsText" text="P">
      <formula>NOT(ISERROR(SEARCH("P",W173)))</formula>
    </cfRule>
    <cfRule type="containsText" dxfId="1209" priority="1046" operator="containsText" text="K">
      <formula>NOT(ISERROR(SEARCH("K",W173)))</formula>
    </cfRule>
    <cfRule type="expression" dxfId="1208" priority="1047" stopIfTrue="1">
      <formula>IF(WEEKDAY(W$8)=1,TRUE,FALSE)</formula>
    </cfRule>
    <cfRule type="containsText" dxfId="1207" priority="1048" operator="containsText" text="P">
      <formula>NOT(ISERROR(SEARCH("P",W173)))</formula>
    </cfRule>
    <cfRule type="containsText" dxfId="1206" priority="1049" operator="containsText" text="K">
      <formula>NOT(ISERROR(SEARCH("K",W173)))</formula>
    </cfRule>
    <cfRule type="expression" dxfId="1205" priority="1050" stopIfTrue="1">
      <formula>IF(WEEKDAY(W$8)=1,TRUE,FALSE)</formula>
    </cfRule>
    <cfRule type="containsText" dxfId="1204" priority="1051" operator="containsText" text="P">
      <formula>NOT(ISERROR(SEARCH("P",W173)))</formula>
    </cfRule>
    <cfRule type="containsText" dxfId="1203" priority="1052" operator="containsText" text="K">
      <formula>NOT(ISERROR(SEARCH("K",W173)))</formula>
    </cfRule>
    <cfRule type="expression" dxfId="1202" priority="1053" stopIfTrue="1">
      <formula>IF(WEEKDAY(W$8)=1,TRUE,FALSE)</formula>
    </cfRule>
    <cfRule type="containsText" dxfId="1201" priority="1054" operator="containsText" text="P">
      <formula>NOT(ISERROR(SEARCH("P",W173)))</formula>
    </cfRule>
    <cfRule type="containsText" dxfId="1200" priority="1055" operator="containsText" text="K">
      <formula>NOT(ISERROR(SEARCH("K",W173)))</formula>
    </cfRule>
    <cfRule type="expression" dxfId="1199" priority="1056" stopIfTrue="1">
      <formula>IF(WEEKDAY(W$8)=1,TRUE,FALSE)</formula>
    </cfRule>
    <cfRule type="containsText" dxfId="1198" priority="1057" operator="containsText" text="P">
      <formula>NOT(ISERROR(SEARCH("P",W173)))</formula>
    </cfRule>
    <cfRule type="containsText" dxfId="1197" priority="1058" operator="containsText" text="K">
      <formula>NOT(ISERROR(SEARCH("K",W173)))</formula>
    </cfRule>
    <cfRule type="expression" dxfId="1196" priority="1059" stopIfTrue="1">
      <formula>IF(WEEKDAY(W$8)=1,TRUE,FALSE)</formula>
    </cfRule>
    <cfRule type="containsText" dxfId="1195" priority="1060" operator="containsText" text="P">
      <formula>NOT(ISERROR(SEARCH("P",W173)))</formula>
    </cfRule>
    <cfRule type="containsText" dxfId="1194" priority="1061" operator="containsText" text="K">
      <formula>NOT(ISERROR(SEARCH("K",W173)))</formula>
    </cfRule>
    <cfRule type="expression" dxfId="1193" priority="1062" stopIfTrue="1">
      <formula>IF(WEEKDAY(W$8)=1,TRUE,FALSE)</formula>
    </cfRule>
    <cfRule type="containsText" dxfId="1192" priority="1063" operator="containsText" text="P">
      <formula>NOT(ISERROR(SEARCH("P",W173)))</formula>
    </cfRule>
    <cfRule type="containsText" dxfId="1191" priority="1064" operator="containsText" text="K">
      <formula>NOT(ISERROR(SEARCH("K",W173)))</formula>
    </cfRule>
  </conditionalFormatting>
  <conditionalFormatting sqref="W174:Y174">
    <cfRule type="expression" dxfId="1190" priority="996" stopIfTrue="1">
      <formula>IF(WEEKDAY(W$8)=1,TRUE,FALSE)</formula>
    </cfRule>
    <cfRule type="containsText" dxfId="1189" priority="997" operator="containsText" text="P">
      <formula>NOT(ISERROR(SEARCH("P",W174)))</formula>
    </cfRule>
    <cfRule type="containsText" dxfId="1188" priority="998" operator="containsText" text="K">
      <formula>NOT(ISERROR(SEARCH("K",W174)))</formula>
    </cfRule>
    <cfRule type="expression" dxfId="1187" priority="999" stopIfTrue="1">
      <formula>IF(WEEKDAY(W$8)=1,TRUE,FALSE)</formula>
    </cfRule>
    <cfRule type="containsText" dxfId="1186" priority="1000" operator="containsText" text="P">
      <formula>NOT(ISERROR(SEARCH("P",W174)))</formula>
    </cfRule>
    <cfRule type="containsText" dxfId="1185" priority="1001" operator="containsText" text="K">
      <formula>NOT(ISERROR(SEARCH("K",W174)))</formula>
    </cfRule>
    <cfRule type="expression" dxfId="1184" priority="1002" stopIfTrue="1">
      <formula>IF(WEEKDAY(W$8)=1,TRUE,FALSE)</formula>
    </cfRule>
    <cfRule type="containsText" dxfId="1183" priority="1003" operator="containsText" text="P">
      <formula>NOT(ISERROR(SEARCH("P",W174)))</formula>
    </cfRule>
    <cfRule type="containsText" dxfId="1182" priority="1004" operator="containsText" text="K">
      <formula>NOT(ISERROR(SEARCH("K",W174)))</formula>
    </cfRule>
    <cfRule type="expression" dxfId="1181" priority="1005" stopIfTrue="1">
      <formula>IF(WEEKDAY(W$8)=1,TRUE,FALSE)</formula>
    </cfRule>
    <cfRule type="containsText" dxfId="1180" priority="1006" operator="containsText" text="P">
      <formula>NOT(ISERROR(SEARCH("P",W174)))</formula>
    </cfRule>
    <cfRule type="containsText" dxfId="1179" priority="1007" operator="containsText" text="K">
      <formula>NOT(ISERROR(SEARCH("K",W174)))</formula>
    </cfRule>
    <cfRule type="expression" dxfId="1178" priority="1008" stopIfTrue="1">
      <formula>IF(WEEKDAY(W$8)=1,TRUE,FALSE)</formula>
    </cfRule>
    <cfRule type="containsText" dxfId="1177" priority="1009" operator="containsText" text="P">
      <formula>NOT(ISERROR(SEARCH("P",W174)))</formula>
    </cfRule>
    <cfRule type="containsText" dxfId="1176" priority="1010" operator="containsText" text="K">
      <formula>NOT(ISERROR(SEARCH("K",W174)))</formula>
    </cfRule>
    <cfRule type="expression" dxfId="1175" priority="1011" stopIfTrue="1">
      <formula>IF(WEEKDAY(W$8)=1,TRUE,FALSE)</formula>
    </cfRule>
    <cfRule type="containsText" dxfId="1174" priority="1012" operator="containsText" text="P">
      <formula>NOT(ISERROR(SEARCH("P",W174)))</formula>
    </cfRule>
    <cfRule type="containsText" dxfId="1173" priority="1013" operator="containsText" text="K">
      <formula>NOT(ISERROR(SEARCH("K",W174)))</formula>
    </cfRule>
    <cfRule type="expression" dxfId="1172" priority="1014" stopIfTrue="1">
      <formula>IF(WEEKDAY(W$8)=1,TRUE,FALSE)</formula>
    </cfRule>
    <cfRule type="containsText" dxfId="1171" priority="1015" operator="containsText" text="P">
      <formula>NOT(ISERROR(SEARCH("P",W174)))</formula>
    </cfRule>
    <cfRule type="containsText" dxfId="1170" priority="1016" operator="containsText" text="K">
      <formula>NOT(ISERROR(SEARCH("K",W174)))</formula>
    </cfRule>
    <cfRule type="expression" dxfId="1169" priority="1017" stopIfTrue="1">
      <formula>IF(WEEKDAY(W$8)=1,TRUE,FALSE)</formula>
    </cfRule>
    <cfRule type="containsText" dxfId="1168" priority="1018" operator="containsText" text="P">
      <formula>NOT(ISERROR(SEARCH("P",W174)))</formula>
    </cfRule>
    <cfRule type="containsText" dxfId="1167" priority="1019" operator="containsText" text="K">
      <formula>NOT(ISERROR(SEARCH("K",W174)))</formula>
    </cfRule>
    <cfRule type="expression" dxfId="1166" priority="1020" stopIfTrue="1">
      <formula>IF(WEEKDAY(W$8)=1,TRUE,FALSE)</formula>
    </cfRule>
    <cfRule type="containsText" dxfId="1165" priority="1021" operator="containsText" text="P">
      <formula>NOT(ISERROR(SEARCH("P",W174)))</formula>
    </cfRule>
    <cfRule type="containsText" dxfId="1164" priority="1022" operator="containsText" text="K">
      <formula>NOT(ISERROR(SEARCH("K",W174)))</formula>
    </cfRule>
    <cfRule type="expression" dxfId="1163" priority="1023" stopIfTrue="1">
      <formula>IF(WEEKDAY(W$8)=1,TRUE,FALSE)</formula>
    </cfRule>
    <cfRule type="containsText" dxfId="1162" priority="1024" operator="containsText" text="P">
      <formula>NOT(ISERROR(SEARCH("P",W174)))</formula>
    </cfRule>
    <cfRule type="containsText" dxfId="1161" priority="1025" operator="containsText" text="K">
      <formula>NOT(ISERROR(SEARCH("K",W174)))</formula>
    </cfRule>
    <cfRule type="expression" dxfId="1160" priority="1026" stopIfTrue="1">
      <formula>IF(WEEKDAY(W$8)=1,TRUE,FALSE)</formula>
    </cfRule>
    <cfRule type="containsText" dxfId="1159" priority="1027" operator="containsText" text="P">
      <formula>NOT(ISERROR(SEARCH("P",W174)))</formula>
    </cfRule>
    <cfRule type="containsText" dxfId="1158" priority="1028" operator="containsText" text="K">
      <formula>NOT(ISERROR(SEARCH("K",W174)))</formula>
    </cfRule>
    <cfRule type="expression" dxfId="1157" priority="1029" stopIfTrue="1">
      <formula>IF(WEEKDAY(W$8)=1,TRUE,FALSE)</formula>
    </cfRule>
    <cfRule type="containsText" dxfId="1156" priority="1030" operator="containsText" text="P">
      <formula>NOT(ISERROR(SEARCH("P",W174)))</formula>
    </cfRule>
    <cfRule type="containsText" dxfId="1155" priority="1031" operator="containsText" text="K">
      <formula>NOT(ISERROR(SEARCH("K",W174)))</formula>
    </cfRule>
  </conditionalFormatting>
  <conditionalFormatting sqref="W176:Y176">
    <cfRule type="expression" dxfId="1154" priority="993" stopIfTrue="1">
      <formula>IF(WEEKDAY(W$8)=1,TRUE,FALSE)</formula>
    </cfRule>
    <cfRule type="containsText" dxfId="1153" priority="994" operator="containsText" text="P">
      <formula>NOT(ISERROR(SEARCH("P",W176)))</formula>
    </cfRule>
    <cfRule type="containsText" dxfId="1152" priority="995" operator="containsText" text="K">
      <formula>NOT(ISERROR(SEARCH("K",W176)))</formula>
    </cfRule>
  </conditionalFormatting>
  <conditionalFormatting sqref="W176:Y177">
    <cfRule type="containsText" dxfId="1151" priority="992" operator="containsText" text="K">
      <formula>NOT(ISERROR(SEARCH("K",W176)))</formula>
    </cfRule>
  </conditionalFormatting>
  <conditionalFormatting sqref="W177:Y177">
    <cfRule type="containsText" dxfId="1150" priority="988" operator="containsText" text="K">
      <formula>NOT(ISERROR(SEARCH("K",W177)))</formula>
    </cfRule>
    <cfRule type="expression" dxfId="1149" priority="989" stopIfTrue="1">
      <formula>IF(WEEKDAY(W$8)=1,TRUE,FALSE)</formula>
    </cfRule>
    <cfRule type="containsText" dxfId="1148" priority="990" operator="containsText" text="P">
      <formula>NOT(ISERROR(SEARCH("P",W177)))</formula>
    </cfRule>
    <cfRule type="expression" dxfId="1147" priority="991" stopIfTrue="1">
      <formula>IF(WEEKDAY(W$8)=1,TRUE,FALSE)</formula>
    </cfRule>
  </conditionalFormatting>
  <conditionalFormatting sqref="W200:Y206 W199:X199">
    <cfRule type="containsText" dxfId="1146" priority="987" operator="containsText" text="K">
      <formula>NOT(ISERROR(SEARCH("K",W199)))</formula>
    </cfRule>
  </conditionalFormatting>
  <conditionalFormatting sqref="W203:Y206">
    <cfRule type="expression" dxfId="1145" priority="985" stopIfTrue="1">
      <formula>IF(WEEKDAY(W$8)=1,TRUE,FALSE)</formula>
    </cfRule>
    <cfRule type="containsText" dxfId="1144" priority="986" operator="containsText" text="P">
      <formula>NOT(ISERROR(SEARCH("P",W203)))</formula>
    </cfRule>
  </conditionalFormatting>
  <conditionalFormatting sqref="W194:Z194">
    <cfRule type="expression" dxfId="1143" priority="982" stopIfTrue="1">
      <formula>IF(WEEKDAY(W$8)=1,TRUE,FALSE)</formula>
    </cfRule>
    <cfRule type="containsText" dxfId="1142" priority="983" operator="containsText" text="P">
      <formula>NOT(ISERROR(SEARCH("P",W194)))</formula>
    </cfRule>
    <cfRule type="containsText" dxfId="1141" priority="984" operator="containsText" text="K">
      <formula>NOT(ISERROR(SEARCH("K",W194)))</formula>
    </cfRule>
  </conditionalFormatting>
  <conditionalFormatting sqref="X44 H44:K44 F44">
    <cfRule type="containsText" dxfId="1140" priority="981" operator="containsText" text="P">
      <formula>NOT(ISERROR(SEARCH("P",F44)))</formula>
    </cfRule>
  </conditionalFormatting>
  <conditionalFormatting sqref="X48">
    <cfRule type="expression" dxfId="1139" priority="970" stopIfTrue="1">
      <formula>IF(WEEKDAY(X$8)=1,TRUE,FALSE)</formula>
    </cfRule>
    <cfRule type="containsText" dxfId="1138" priority="971" operator="containsText" text="P">
      <formula>NOT(ISERROR(SEARCH("P",X48)))</formula>
    </cfRule>
    <cfRule type="containsText" dxfId="1137" priority="972" operator="containsText" text="K">
      <formula>NOT(ISERROR(SEARCH("K",X48)))</formula>
    </cfRule>
    <cfRule type="expression" dxfId="1136" priority="973" stopIfTrue="1">
      <formula>IF(WEEKDAY(X$8)=1,TRUE,FALSE)</formula>
    </cfRule>
    <cfRule type="containsText" dxfId="1135" priority="974" operator="containsText" text="P">
      <formula>NOT(ISERROR(SEARCH("P",X48)))</formula>
    </cfRule>
    <cfRule type="containsText" dxfId="1134" priority="975" operator="containsText" text="K">
      <formula>NOT(ISERROR(SEARCH("K",X48)))</formula>
    </cfRule>
    <cfRule type="containsText" dxfId="1133" priority="976" operator="containsText" text="P">
      <formula>NOT(ISERROR(SEARCH("P",X48)))</formula>
    </cfRule>
    <cfRule type="containsText" dxfId="1132" priority="977" operator="containsText" text="K">
      <formula>NOT(ISERROR(SEARCH("K",X48)))</formula>
    </cfRule>
    <cfRule type="expression" dxfId="1131" priority="978" stopIfTrue="1">
      <formula>IF(WEEKDAY(X$8)=1,TRUE,FALSE)</formula>
    </cfRule>
    <cfRule type="containsText" dxfId="1130" priority="979" operator="containsText" text="P">
      <formula>NOT(ISERROR(SEARCH("P",X48)))</formula>
    </cfRule>
    <cfRule type="containsText" dxfId="1129" priority="980" operator="containsText" text="K">
      <formula>NOT(ISERROR(SEARCH("K",X48)))</formula>
    </cfRule>
  </conditionalFormatting>
  <conditionalFormatting sqref="X153">
    <cfRule type="expression" dxfId="1128" priority="967" stopIfTrue="1">
      <formula>IF(WEEKDAY(X$8)=1,TRUE,FALSE)</formula>
    </cfRule>
    <cfRule type="containsText" dxfId="1127" priority="968" operator="containsText" text="K">
      <formula>NOT(ISERROR(SEARCH("K",X153)))</formula>
    </cfRule>
    <cfRule type="containsText" dxfId="1126" priority="969" operator="containsText" text="P">
      <formula>NOT(ISERROR(SEARCH("P",X153)))</formula>
    </cfRule>
  </conditionalFormatting>
  <conditionalFormatting sqref="X169:X171">
    <cfRule type="expression" dxfId="1125" priority="966" stopIfTrue="1">
      <formula>IF(WEEKDAY(X$8)=1,TRUE,FALSE)</formula>
    </cfRule>
  </conditionalFormatting>
  <conditionalFormatting sqref="X170:X171">
    <cfRule type="expression" dxfId="1124" priority="952" stopIfTrue="1">
      <formula>IF(WEEKDAY(X$8)=1,TRUE,FALSE)</formula>
    </cfRule>
    <cfRule type="containsText" dxfId="1123" priority="953" operator="containsText" text="P">
      <formula>NOT(ISERROR(SEARCH("P",X170)))</formula>
    </cfRule>
    <cfRule type="containsText" dxfId="1122" priority="954" operator="containsText" text="K">
      <formula>NOT(ISERROR(SEARCH("K",X170)))</formula>
    </cfRule>
    <cfRule type="expression" dxfId="1121" priority="955" stopIfTrue="1">
      <formula>IF(WEEKDAY(X$8)=1,TRUE,FALSE)</formula>
    </cfRule>
    <cfRule type="containsText" dxfId="1120" priority="956" operator="containsText" text="P">
      <formula>NOT(ISERROR(SEARCH("P",X170)))</formula>
    </cfRule>
    <cfRule type="containsText" dxfId="1119" priority="957" operator="containsText" text="K">
      <formula>NOT(ISERROR(SEARCH("K",X170)))</formula>
    </cfRule>
    <cfRule type="containsText" dxfId="1118" priority="958" operator="containsText" text="P">
      <formula>NOT(ISERROR(SEARCH("P",X170)))</formula>
    </cfRule>
    <cfRule type="containsText" dxfId="1117" priority="959" operator="containsText" text="K">
      <formula>NOT(ISERROR(SEARCH("K",X170)))</formula>
    </cfRule>
    <cfRule type="expression" dxfId="1116" priority="960" stopIfTrue="1">
      <formula>IF(WEEKDAY(X$8)=1,TRUE,FALSE)</formula>
    </cfRule>
    <cfRule type="containsText" dxfId="1115" priority="961" operator="containsText" text="P">
      <formula>NOT(ISERROR(SEARCH("P",X170)))</formula>
    </cfRule>
    <cfRule type="containsText" dxfId="1114" priority="962" operator="containsText" text="K">
      <formula>NOT(ISERROR(SEARCH("K",X170)))</formula>
    </cfRule>
    <cfRule type="expression" dxfId="1113" priority="963" stopIfTrue="1">
      <formula>IF(WEEKDAY(X$8)=1,TRUE,FALSE)</formula>
    </cfRule>
    <cfRule type="containsText" dxfId="1112" priority="964" operator="containsText" text="P">
      <formula>NOT(ISERROR(SEARCH("P",X170)))</formula>
    </cfRule>
    <cfRule type="containsText" dxfId="1111" priority="965" operator="containsText" text="K">
      <formula>NOT(ISERROR(SEARCH("K",X170)))</formula>
    </cfRule>
  </conditionalFormatting>
  <conditionalFormatting sqref="X40:Y40">
    <cfRule type="expression" dxfId="1110" priority="937" stopIfTrue="1">
      <formula>IF(WEEKDAY(X$8)=1,TRUE,FALSE)</formula>
    </cfRule>
    <cfRule type="containsText" dxfId="1109" priority="938" operator="containsText" text="P">
      <formula>NOT(ISERROR(SEARCH("P",X40)))</formula>
    </cfRule>
    <cfRule type="containsText" dxfId="1108" priority="939" operator="containsText" text="K">
      <formula>NOT(ISERROR(SEARCH("K",X40)))</formula>
    </cfRule>
    <cfRule type="expression" dxfId="1107" priority="940" stopIfTrue="1">
      <formula>IF(WEEKDAY(X$8)=1,TRUE,FALSE)</formula>
    </cfRule>
    <cfRule type="containsText" dxfId="1106" priority="941" operator="containsText" text="P">
      <formula>NOT(ISERROR(SEARCH("P",X40)))</formula>
    </cfRule>
    <cfRule type="containsText" dxfId="1105" priority="942" operator="containsText" text="K">
      <formula>NOT(ISERROR(SEARCH("K",X40)))</formula>
    </cfRule>
    <cfRule type="expression" dxfId="1104" priority="943" stopIfTrue="1">
      <formula>IF(WEEKDAY(X$8)=1,TRUE,FALSE)</formula>
    </cfRule>
    <cfRule type="containsText" dxfId="1103" priority="944" operator="containsText" text="P">
      <formula>NOT(ISERROR(SEARCH("P",X40)))</formula>
    </cfRule>
    <cfRule type="containsText" dxfId="1102" priority="945" operator="containsText" text="K">
      <formula>NOT(ISERROR(SEARCH("K",X40)))</formula>
    </cfRule>
    <cfRule type="containsText" dxfId="1101" priority="946" operator="containsText" text="P">
      <formula>NOT(ISERROR(SEARCH("P",X40)))</formula>
    </cfRule>
    <cfRule type="containsText" dxfId="1100" priority="947" operator="containsText" text="K">
      <formula>NOT(ISERROR(SEARCH("K",X40)))</formula>
    </cfRule>
    <cfRule type="expression" dxfId="1099" priority="948" stopIfTrue="1">
      <formula>IF(WEEKDAY(X$8)=1,TRUE,FALSE)</formula>
    </cfRule>
    <cfRule type="containsText" dxfId="1098" priority="949" operator="containsText" text="P">
      <formula>NOT(ISERROR(SEARCH("P",X40)))</formula>
    </cfRule>
    <cfRule type="containsText" dxfId="1097" priority="950" operator="containsText" text="K">
      <formula>NOT(ISERROR(SEARCH("K",X40)))</formula>
    </cfRule>
    <cfRule type="containsText" dxfId="1096" priority="951" operator="containsText" text="P">
      <formula>NOT(ISERROR(SEARCH("P",X40)))</formula>
    </cfRule>
  </conditionalFormatting>
  <conditionalFormatting sqref="X102:Y102">
    <cfRule type="containsText" dxfId="1095" priority="921" operator="containsText" text="P">
      <formula>NOT(ISERROR(SEARCH("P",X102)))</formula>
    </cfRule>
    <cfRule type="containsText" dxfId="1094" priority="922" operator="containsText" text="K">
      <formula>NOT(ISERROR(SEARCH("K",X102)))</formula>
    </cfRule>
    <cfRule type="expression" dxfId="1093" priority="923" stopIfTrue="1">
      <formula>IF(WEEKDAY(X$8)=1,TRUE,FALSE)</formula>
    </cfRule>
    <cfRule type="containsText" dxfId="1092" priority="924" operator="containsText" text="P">
      <formula>NOT(ISERROR(SEARCH("P",X102)))</formula>
    </cfRule>
    <cfRule type="containsText" dxfId="1091" priority="925" operator="containsText" text="K">
      <formula>NOT(ISERROR(SEARCH("K",X102)))</formula>
    </cfRule>
    <cfRule type="expression" dxfId="1090" priority="926" stopIfTrue="1">
      <formula>IF(WEEKDAY(X$8)=1,TRUE,FALSE)</formula>
    </cfRule>
    <cfRule type="containsText" dxfId="1089" priority="927" operator="containsText" text="P">
      <formula>NOT(ISERROR(SEARCH("P",X102)))</formula>
    </cfRule>
    <cfRule type="containsText" dxfId="1088" priority="928" operator="containsText" text="K">
      <formula>NOT(ISERROR(SEARCH("K",X102)))</formula>
    </cfRule>
    <cfRule type="containsText" dxfId="1087" priority="929" operator="containsText" text="P">
      <formula>NOT(ISERROR(SEARCH("P",X102)))</formula>
    </cfRule>
    <cfRule type="containsText" dxfId="1086" priority="930" operator="containsText" text="K">
      <formula>NOT(ISERROR(SEARCH("K",X102)))</formula>
    </cfRule>
    <cfRule type="expression" dxfId="1085" priority="931" stopIfTrue="1">
      <formula>IF(WEEKDAY(X$8)=1,TRUE,FALSE)</formula>
    </cfRule>
    <cfRule type="containsText" dxfId="1084" priority="932" operator="containsText" text="P">
      <formula>NOT(ISERROR(SEARCH("P",X102)))</formula>
    </cfRule>
    <cfRule type="containsText" dxfId="1083" priority="933" operator="containsText" text="K">
      <formula>NOT(ISERROR(SEARCH("K",X102)))</formula>
    </cfRule>
    <cfRule type="expression" dxfId="1082" priority="934" stopIfTrue="1">
      <formula>IF(WEEKDAY(X$8)=1,TRUE,FALSE)</formula>
    </cfRule>
    <cfRule type="containsText" dxfId="1081" priority="935" operator="containsText" text="P">
      <formula>NOT(ISERROR(SEARCH("P",X102)))</formula>
    </cfRule>
    <cfRule type="containsText" dxfId="1080" priority="936" operator="containsText" text="K">
      <formula>NOT(ISERROR(SEARCH("K",X102)))</formula>
    </cfRule>
  </conditionalFormatting>
  <conditionalFormatting sqref="X142:Y142">
    <cfRule type="containsText" dxfId="1079" priority="919" operator="containsText" text="K">
      <formula>NOT(ISERROR(SEARCH("K",X142)))</formula>
    </cfRule>
    <cfRule type="containsText" dxfId="1078" priority="920" operator="containsText" text="P">
      <formula>NOT(ISERROR(SEARCH("P",X142)))</formula>
    </cfRule>
  </conditionalFormatting>
  <conditionalFormatting sqref="X144:Y144">
    <cfRule type="containsText" dxfId="1077" priority="913" operator="containsText" text="K">
      <formula>NOT(ISERROR(SEARCH("K",X144)))</formula>
    </cfRule>
    <cfRule type="expression" dxfId="1076" priority="914" stopIfTrue="1">
      <formula>IF(WEEKDAY(X$8)=1,TRUE,FALSE)</formula>
    </cfRule>
    <cfRule type="containsText" dxfId="1075" priority="915" operator="containsText" text="K">
      <formula>NOT(ISERROR(SEARCH("K",X144)))</formula>
    </cfRule>
    <cfRule type="containsText" dxfId="1074" priority="916" operator="containsText" text="P">
      <formula>NOT(ISERROR(SEARCH("P",X144)))</formula>
    </cfRule>
    <cfRule type="expression" dxfId="1073" priority="917" stopIfTrue="1">
      <formula>IF(WEEKDAY(X$8)=1,TRUE,FALSE)</formula>
    </cfRule>
    <cfRule type="containsText" dxfId="1072" priority="918" operator="containsText" text="P">
      <formula>NOT(ISERROR(SEARCH("P",X144)))</formula>
    </cfRule>
  </conditionalFormatting>
  <conditionalFormatting sqref="X151:Y151">
    <cfRule type="containsText" dxfId="1071" priority="912" operator="containsText" text="K">
      <formula>NOT(ISERROR(SEARCH("K",X151)))</formula>
    </cfRule>
  </conditionalFormatting>
  <conditionalFormatting sqref="X153:Y155">
    <cfRule type="expression" dxfId="1070" priority="910" stopIfTrue="1">
      <formula>IF(WEEKDAY(X$8)=1,TRUE,FALSE)</formula>
    </cfRule>
    <cfRule type="containsText" dxfId="1069" priority="911" operator="containsText" text="P">
      <formula>NOT(ISERROR(SEARCH("P",X153)))</formula>
    </cfRule>
  </conditionalFormatting>
  <conditionalFormatting sqref="X154:Y155">
    <cfRule type="expression" dxfId="1068" priority="906" stopIfTrue="1">
      <formula>IF(WEEKDAY(X$8)=1,TRUE,FALSE)</formula>
    </cfRule>
    <cfRule type="containsText" dxfId="1067" priority="907" operator="containsText" text="P">
      <formula>NOT(ISERROR(SEARCH("P",X154)))</formula>
    </cfRule>
    <cfRule type="expression" dxfId="1066" priority="908" stopIfTrue="1">
      <formula>IF(WEEKDAY(X$8)=1,TRUE,FALSE)</formula>
    </cfRule>
    <cfRule type="containsText" dxfId="1065" priority="909" operator="containsText" text="P">
      <formula>NOT(ISERROR(SEARCH("P",X154)))</formula>
    </cfRule>
  </conditionalFormatting>
  <conditionalFormatting sqref="X161:Y161">
    <cfRule type="containsText" dxfId="1064" priority="901" operator="containsText" text="K">
      <formula>NOT(ISERROR(SEARCH("K",X161)))</formula>
    </cfRule>
    <cfRule type="expression" dxfId="1063" priority="902" stopIfTrue="1">
      <formula>IF(WEEKDAY(X$8)=1,TRUE,FALSE)</formula>
    </cfRule>
    <cfRule type="containsText" dxfId="1062" priority="903" operator="containsText" text="P">
      <formula>NOT(ISERROR(SEARCH("P",X161)))</formula>
    </cfRule>
    <cfRule type="expression" dxfId="1061" priority="904" stopIfTrue="1">
      <formula>IF(WEEKDAY(X$8)=1,TRUE,FALSE)</formula>
    </cfRule>
    <cfRule type="containsText" dxfId="1060" priority="905" operator="containsText" text="P">
      <formula>NOT(ISERROR(SEARCH("P",X161)))</formula>
    </cfRule>
  </conditionalFormatting>
  <conditionalFormatting sqref="X162:Y162 U162">
    <cfRule type="containsText" dxfId="1059" priority="900" operator="containsText" text="P">
      <formula>NOT(ISERROR(SEARCH("P",U162)))</formula>
    </cfRule>
  </conditionalFormatting>
  <conditionalFormatting sqref="X162:Y162">
    <cfRule type="containsText" dxfId="1058" priority="894" operator="containsText" text="P">
      <formula>NOT(ISERROR(SEARCH("P",X162)))</formula>
    </cfRule>
    <cfRule type="containsText" dxfId="1057" priority="895" operator="containsText" text="K">
      <formula>NOT(ISERROR(SEARCH("K",X162)))</formula>
    </cfRule>
    <cfRule type="expression" dxfId="1056" priority="896" stopIfTrue="1">
      <formula>IF(WEEKDAY(X$8)=1,TRUE,FALSE)</formula>
    </cfRule>
    <cfRule type="containsText" dxfId="1055" priority="897" operator="containsText" text="P">
      <formula>NOT(ISERROR(SEARCH("P",X162)))</formula>
    </cfRule>
    <cfRule type="containsText" dxfId="1054" priority="898" operator="containsText" text="K">
      <formula>NOT(ISERROR(SEARCH("K",X162)))</formula>
    </cfRule>
    <cfRule type="expression" dxfId="1053" priority="899" stopIfTrue="1">
      <formula>IF(WEEKDAY(X$8)=1,TRUE,FALSE)</formula>
    </cfRule>
  </conditionalFormatting>
  <conditionalFormatting sqref="X164:Y164">
    <cfRule type="expression" dxfId="1052" priority="885" stopIfTrue="1">
      <formula>IF(WEEKDAY(X$8)=1,TRUE,FALSE)</formula>
    </cfRule>
    <cfRule type="containsText" dxfId="1051" priority="886" operator="containsText" text="P">
      <formula>NOT(ISERROR(SEARCH("P",X164)))</formula>
    </cfRule>
    <cfRule type="containsText" dxfId="1050" priority="887" operator="containsText" text="K">
      <formula>NOT(ISERROR(SEARCH("K",X164)))</formula>
    </cfRule>
    <cfRule type="containsText" dxfId="1049" priority="888" operator="containsText" text="P">
      <formula>NOT(ISERROR(SEARCH("P",X164)))</formula>
    </cfRule>
    <cfRule type="containsText" dxfId="1048" priority="889" operator="containsText" text="K">
      <formula>NOT(ISERROR(SEARCH("K",X164)))</formula>
    </cfRule>
    <cfRule type="expression" dxfId="1047" priority="890" stopIfTrue="1">
      <formula>IF(WEEKDAY(X$8)=1,TRUE,FALSE)</formula>
    </cfRule>
    <cfRule type="containsText" dxfId="1046" priority="891" operator="containsText" text="P">
      <formula>NOT(ISERROR(SEARCH("P",X164)))</formula>
    </cfRule>
    <cfRule type="containsText" dxfId="1045" priority="892" operator="containsText" text="K">
      <formula>NOT(ISERROR(SEARCH("K",X164)))</formula>
    </cfRule>
    <cfRule type="containsText" dxfId="1044" priority="893" operator="containsText" text="P">
      <formula>NOT(ISERROR(SEARCH("P",X164)))</formula>
    </cfRule>
  </conditionalFormatting>
  <conditionalFormatting sqref="X169:Y169">
    <cfRule type="containsText" dxfId="1043" priority="870" operator="containsText" text="P">
      <formula>NOT(ISERROR(SEARCH("P",X169)))</formula>
    </cfRule>
    <cfRule type="containsText" dxfId="1042" priority="871" operator="containsText" text="K">
      <formula>NOT(ISERROR(SEARCH("K",X169)))</formula>
    </cfRule>
    <cfRule type="expression" dxfId="1041" priority="872" stopIfTrue="1">
      <formula>IF(WEEKDAY(X$8)=1,TRUE,FALSE)</formula>
    </cfRule>
    <cfRule type="containsText" dxfId="1040" priority="873" operator="containsText" text="P">
      <formula>NOT(ISERROR(SEARCH("P",X169)))</formula>
    </cfRule>
    <cfRule type="containsText" dxfId="1039" priority="874" operator="containsText" text="K">
      <formula>NOT(ISERROR(SEARCH("K",X169)))</formula>
    </cfRule>
    <cfRule type="expression" dxfId="1038" priority="875" stopIfTrue="1">
      <formula>IF(WEEKDAY(X$8)=1,TRUE,FALSE)</formula>
    </cfRule>
    <cfRule type="containsText" dxfId="1037" priority="876" operator="containsText" text="P">
      <formula>NOT(ISERROR(SEARCH("P",X169)))</formula>
    </cfRule>
    <cfRule type="containsText" dxfId="1036" priority="877" operator="containsText" text="K">
      <formula>NOT(ISERROR(SEARCH("K",X169)))</formula>
    </cfRule>
    <cfRule type="containsText" dxfId="1035" priority="878" operator="containsText" text="P">
      <formula>NOT(ISERROR(SEARCH("P",X169)))</formula>
    </cfRule>
    <cfRule type="containsText" dxfId="1034" priority="879" operator="containsText" text="K">
      <formula>NOT(ISERROR(SEARCH("K",X169)))</formula>
    </cfRule>
    <cfRule type="expression" dxfId="1033" priority="880" stopIfTrue="1">
      <formula>IF(WEEKDAY(X$8)=1,TRUE,FALSE)</formula>
    </cfRule>
    <cfRule type="containsText" dxfId="1032" priority="881" operator="containsText" text="P">
      <formula>NOT(ISERROR(SEARCH("P",X169)))</formula>
    </cfRule>
    <cfRule type="containsText" dxfId="1031" priority="882" operator="containsText" text="K">
      <formula>NOT(ISERROR(SEARCH("K",X169)))</formula>
    </cfRule>
    <cfRule type="containsText" dxfId="1030" priority="883" operator="containsText" text="P">
      <formula>NOT(ISERROR(SEARCH("P",X169)))</formula>
    </cfRule>
    <cfRule type="containsText" dxfId="1029" priority="884" operator="containsText" text="K">
      <formula>NOT(ISERROR(SEARCH("K",X169)))</formula>
    </cfRule>
  </conditionalFormatting>
  <conditionalFormatting sqref="X170:Y171">
    <cfRule type="expression" dxfId="1028" priority="867" stopIfTrue="1">
      <formula>IF(WEEKDAY(X$8)=1,TRUE,FALSE)</formula>
    </cfRule>
    <cfRule type="containsText" dxfId="1027" priority="868" operator="containsText" text="P">
      <formula>NOT(ISERROR(SEARCH("P",X170)))</formula>
    </cfRule>
    <cfRule type="containsText" dxfId="1026" priority="869" operator="containsText" text="K">
      <formula>NOT(ISERROR(SEARCH("K",X170)))</formula>
    </cfRule>
  </conditionalFormatting>
  <conditionalFormatting sqref="X175:Y175">
    <cfRule type="expression" dxfId="1025" priority="849" stopIfTrue="1">
      <formula>IF(WEEKDAY(X$8)=1,TRUE,FALSE)</formula>
    </cfRule>
    <cfRule type="containsText" dxfId="1024" priority="850" operator="containsText" text="P">
      <formula>NOT(ISERROR(SEARCH("P",X175)))</formula>
    </cfRule>
    <cfRule type="containsText" dxfId="1023" priority="851" operator="containsText" text="K">
      <formula>NOT(ISERROR(SEARCH("K",X175)))</formula>
    </cfRule>
    <cfRule type="expression" dxfId="1022" priority="852" stopIfTrue="1">
      <formula>IF(WEEKDAY(X$8)=1,TRUE,FALSE)</formula>
    </cfRule>
    <cfRule type="containsText" dxfId="1021" priority="853" operator="containsText" text="P">
      <formula>NOT(ISERROR(SEARCH("P",X175)))</formula>
    </cfRule>
    <cfRule type="containsText" dxfId="1020" priority="854" operator="containsText" text="K">
      <formula>NOT(ISERROR(SEARCH("K",X175)))</formula>
    </cfRule>
    <cfRule type="expression" dxfId="1019" priority="855" stopIfTrue="1">
      <formula>IF(WEEKDAY(X$8)=1,TRUE,FALSE)</formula>
    </cfRule>
    <cfRule type="containsText" dxfId="1018" priority="856" operator="containsText" text="P">
      <formula>NOT(ISERROR(SEARCH("P",X175)))</formula>
    </cfRule>
    <cfRule type="containsText" dxfId="1017" priority="857" operator="containsText" text="K">
      <formula>NOT(ISERROR(SEARCH("K",X175)))</formula>
    </cfRule>
    <cfRule type="containsText" dxfId="1016" priority="858" operator="containsText" text="P">
      <formula>NOT(ISERROR(SEARCH("P",X175)))</formula>
    </cfRule>
    <cfRule type="containsText" dxfId="1015" priority="859" operator="containsText" text="K">
      <formula>NOT(ISERROR(SEARCH("K",X175)))</formula>
    </cfRule>
    <cfRule type="expression" dxfId="1014" priority="860" stopIfTrue="1">
      <formula>IF(WEEKDAY(X$8)=1,TRUE,FALSE)</formula>
    </cfRule>
    <cfRule type="containsText" dxfId="1013" priority="861" operator="containsText" text="P">
      <formula>NOT(ISERROR(SEARCH("P",X175)))</formula>
    </cfRule>
    <cfRule type="containsText" dxfId="1012" priority="862" operator="containsText" text="K">
      <formula>NOT(ISERROR(SEARCH("K",X175)))</formula>
    </cfRule>
    <cfRule type="expression" dxfId="1011" priority="863" stopIfTrue="1">
      <formula>IF(WEEKDAY(X$8)=1,TRUE,FALSE)</formula>
    </cfRule>
    <cfRule type="containsText" dxfId="1010" priority="864" operator="containsText" text="K">
      <formula>NOT(ISERROR(SEARCH("K",X175)))</formula>
    </cfRule>
    <cfRule type="containsText" dxfId="1009" priority="865" operator="containsText" text="P">
      <formula>NOT(ISERROR(SEARCH("P",X175)))</formula>
    </cfRule>
    <cfRule type="expression" dxfId="1008" priority="866" stopIfTrue="1">
      <formula>IF(WEEKDAY(X$8)=1,TRUE,FALSE)</formula>
    </cfRule>
  </conditionalFormatting>
  <conditionalFormatting sqref="X178:Y178">
    <cfRule type="expression" dxfId="1007" priority="834" stopIfTrue="1">
      <formula>IF(WEEKDAY(X$8)=1,TRUE,FALSE)</formula>
    </cfRule>
    <cfRule type="containsText" dxfId="1006" priority="835" operator="containsText" text="P">
      <formula>NOT(ISERROR(SEARCH("P",X178)))</formula>
    </cfRule>
    <cfRule type="containsText" dxfId="1005" priority="836" operator="containsText" text="K">
      <formula>NOT(ISERROR(SEARCH("K",X178)))</formula>
    </cfRule>
    <cfRule type="expression" dxfId="1004" priority="837" stopIfTrue="1">
      <formula>IF(WEEKDAY(X$8)=1,TRUE,FALSE)</formula>
    </cfRule>
    <cfRule type="containsText" dxfId="1003" priority="838" operator="containsText" text="P">
      <formula>NOT(ISERROR(SEARCH("P",X178)))</formula>
    </cfRule>
    <cfRule type="containsText" dxfId="1002" priority="839" operator="containsText" text="K">
      <formula>NOT(ISERROR(SEARCH("K",X178)))</formula>
    </cfRule>
    <cfRule type="expression" dxfId="1001" priority="840" stopIfTrue="1">
      <formula>IF(WEEKDAY(X$8)=1,TRUE,FALSE)</formula>
    </cfRule>
    <cfRule type="containsText" dxfId="1000" priority="841" operator="containsText" text="P">
      <formula>NOT(ISERROR(SEARCH("P",X178)))</formula>
    </cfRule>
    <cfRule type="containsText" dxfId="999" priority="842" operator="containsText" text="K">
      <formula>NOT(ISERROR(SEARCH("K",X178)))</formula>
    </cfRule>
    <cfRule type="containsText" dxfId="998" priority="843" operator="containsText" text="P">
      <formula>NOT(ISERROR(SEARCH("P",X178)))</formula>
    </cfRule>
    <cfRule type="containsText" dxfId="997" priority="844" operator="containsText" text="K">
      <formula>NOT(ISERROR(SEARCH("K",X178)))</formula>
    </cfRule>
    <cfRule type="expression" dxfId="996" priority="845" stopIfTrue="1">
      <formula>IF(WEEKDAY(X$8)=1,TRUE,FALSE)</formula>
    </cfRule>
    <cfRule type="containsText" dxfId="995" priority="846" operator="containsText" text="P">
      <formula>NOT(ISERROR(SEARCH("P",X178)))</formula>
    </cfRule>
    <cfRule type="containsText" dxfId="994" priority="847" operator="containsText" text="K">
      <formula>NOT(ISERROR(SEARCH("K",X178)))</formula>
    </cfRule>
    <cfRule type="expression" dxfId="993" priority="848" stopIfTrue="1">
      <formula>IF(WEEKDAY(X$8)=1,TRUE,FALSE)</formula>
    </cfRule>
  </conditionalFormatting>
  <conditionalFormatting sqref="X218:Y218">
    <cfRule type="expression" dxfId="992" priority="832" stopIfTrue="1">
      <formula>IF(WEEKDAY(X$8)=1,TRUE,FALSE)</formula>
    </cfRule>
    <cfRule type="containsText" dxfId="991" priority="833" operator="containsText" text="P">
      <formula>NOT(ISERROR(SEARCH("P",X218)))</formula>
    </cfRule>
  </conditionalFormatting>
  <conditionalFormatting sqref="X219:Y219">
    <cfRule type="expression" dxfId="990" priority="829" stopIfTrue="1">
      <formula>IF(WEEKDAY(X$8)=1,TRUE,FALSE)</formula>
    </cfRule>
    <cfRule type="containsText" dxfId="989" priority="830" operator="containsText" text="P">
      <formula>NOT(ISERROR(SEARCH("P",X219)))</formula>
    </cfRule>
    <cfRule type="containsText" dxfId="988" priority="831" operator="containsText" text="K">
      <formula>NOT(ISERROR(SEARCH("K",X219)))</formula>
    </cfRule>
  </conditionalFormatting>
  <conditionalFormatting sqref="X220:Y221">
    <cfRule type="expression" dxfId="987" priority="827" stopIfTrue="1">
      <formula>IF(WEEKDAY(X$8)=1,TRUE,FALSE)</formula>
    </cfRule>
    <cfRule type="containsText" dxfId="986" priority="828" operator="containsText" text="K">
      <formula>NOT(ISERROR(SEARCH("K",X220)))</formula>
    </cfRule>
  </conditionalFormatting>
  <conditionalFormatting sqref="X222:Y222">
    <cfRule type="expression" dxfId="985" priority="824" stopIfTrue="1">
      <formula>IF(WEEKDAY(X$8)=1,TRUE,FALSE)</formula>
    </cfRule>
    <cfRule type="containsText" dxfId="984" priority="825" operator="containsText" text="P">
      <formula>NOT(ISERROR(SEARCH("P",X222)))</formula>
    </cfRule>
    <cfRule type="containsText" dxfId="983" priority="826" operator="containsText" text="K">
      <formula>NOT(ISERROR(SEARCH("K",X222)))</formula>
    </cfRule>
  </conditionalFormatting>
  <conditionalFormatting sqref="Y41:Y42">
    <cfRule type="expression" dxfId="982" priority="823" stopIfTrue="1">
      <formula>IF(WEEKDAY(Y$8)=1,TRUE,FALSE)</formula>
    </cfRule>
  </conditionalFormatting>
  <conditionalFormatting sqref="Y44 H45:I46 K45:K46 M45:M46 O45:P46 R45:R46 T45:T46 V45:Y46">
    <cfRule type="containsText" dxfId="981" priority="821" operator="containsText" text="P">
      <formula>NOT(ISERROR(SEARCH("P",H44)))</formula>
    </cfRule>
    <cfRule type="containsText" dxfId="980" priority="822" operator="containsText" text="K">
      <formula>NOT(ISERROR(SEARCH("K",H44)))</formula>
    </cfRule>
  </conditionalFormatting>
  <conditionalFormatting sqref="Y44 K45:K46 O45:P46 R45:R46 T45:T46 V45:Y46 H45:I46 M45:M46">
    <cfRule type="expression" dxfId="979" priority="820" stopIfTrue="1">
      <formula>IF(WEEKDAY(H$8)=1,TRUE,FALSE)</formula>
    </cfRule>
  </conditionalFormatting>
  <conditionalFormatting sqref="Y47:Y48">
    <cfRule type="expression" dxfId="978" priority="817" stopIfTrue="1">
      <formula>IF(WEEKDAY(Y$8)=1,TRUE,FALSE)</formula>
    </cfRule>
    <cfRule type="containsText" dxfId="977" priority="818" operator="containsText" text="P">
      <formula>NOT(ISERROR(SEARCH("P",Y47)))</formula>
    </cfRule>
    <cfRule type="containsText" dxfId="976" priority="819" operator="containsText" text="K">
      <formula>NOT(ISERROR(SEARCH("K",Y47)))</formula>
    </cfRule>
  </conditionalFormatting>
  <conditionalFormatting sqref="Y48 AF48:AI48 AJ95:AJ98">
    <cfRule type="expression" dxfId="975" priority="816" stopIfTrue="1">
      <formula>IF(WEEKDAY(Y$8)=1,TRUE,FALSE)</formula>
    </cfRule>
  </conditionalFormatting>
  <conditionalFormatting sqref="Y48">
    <cfRule type="containsText" dxfId="974" priority="815" operator="containsText" text="P">
      <formula>NOT(ISERROR(SEARCH("P",Y48)))</formula>
    </cfRule>
  </conditionalFormatting>
  <conditionalFormatting sqref="Y51">
    <cfRule type="containsText" dxfId="973" priority="813" operator="containsText" text="P">
      <formula>NOT(ISERROR(SEARCH("P",Y51)))</formula>
    </cfRule>
    <cfRule type="containsText" dxfId="972" priority="814" operator="containsText" text="K">
      <formula>NOT(ISERROR(SEARCH("K",Y51)))</formula>
    </cfRule>
  </conditionalFormatting>
  <conditionalFormatting sqref="Y51:Y52">
    <cfRule type="containsText" dxfId="971" priority="812" operator="containsText" text="K">
      <formula>NOT(ISERROR(SEARCH("K",Y51)))</formula>
    </cfRule>
  </conditionalFormatting>
  <conditionalFormatting sqref="Y56 BF38:BG42">
    <cfRule type="containsText" dxfId="970" priority="810" operator="containsText" text="P">
      <formula>NOT(ISERROR(SEARCH("P",Y38)))</formula>
    </cfRule>
    <cfRule type="containsText" dxfId="969" priority="811" operator="containsText" text="K">
      <formula>NOT(ISERROR(SEARCH("K",Y38)))</formula>
    </cfRule>
  </conditionalFormatting>
  <conditionalFormatting sqref="Y56">
    <cfRule type="containsText" dxfId="968" priority="809" operator="containsText" text="K">
      <formula>NOT(ISERROR(SEARCH("K",Y56)))</formula>
    </cfRule>
  </conditionalFormatting>
  <conditionalFormatting sqref="Y84 G109:S109">
    <cfRule type="containsText" dxfId="967" priority="808" operator="containsText" text="K">
      <formula>NOT(ISERROR(SEARCH("K",G84)))</formula>
    </cfRule>
  </conditionalFormatting>
  <conditionalFormatting sqref="Y97 AF97:AI101">
    <cfRule type="containsText" dxfId="966" priority="807" operator="containsText" text="K">
      <formula>NOT(ISERROR(SEARCH("K",Y97)))</formula>
    </cfRule>
  </conditionalFormatting>
  <conditionalFormatting sqref="Y97">
    <cfRule type="containsText" dxfId="965" priority="805" operator="containsText" text="P">
      <formula>NOT(ISERROR(SEARCH("P",Y97)))</formula>
    </cfRule>
    <cfRule type="expression" dxfId="964" priority="806" stopIfTrue="1">
      <formula>IF(WEEKDAY(Y$8)=1,TRUE,FALSE)</formula>
    </cfRule>
  </conditionalFormatting>
  <conditionalFormatting sqref="Y99">
    <cfRule type="expression" dxfId="963" priority="804" stopIfTrue="1">
      <formula>IF(WEEKDAY(Y$8)=1,TRUE,FALSE)</formula>
    </cfRule>
  </conditionalFormatting>
  <conditionalFormatting sqref="Y104">
    <cfRule type="containsText" dxfId="962" priority="801" operator="containsText" text="P">
      <formula>NOT(ISERROR(SEARCH("P",Y104)))</formula>
    </cfRule>
    <cfRule type="expression" dxfId="961" priority="802" stopIfTrue="1">
      <formula>IF(WEEKDAY(Y$8)=1,TRUE,FALSE)</formula>
    </cfRule>
    <cfRule type="expression" dxfId="960" priority="803" stopIfTrue="1">
      <formula>IF(WEEKDAY(Y$8)=1,TRUE,FALSE)</formula>
    </cfRule>
  </conditionalFormatting>
  <conditionalFormatting sqref="Y169:Y171">
    <cfRule type="expression" dxfId="959" priority="800" stopIfTrue="1">
      <formula>IF(WEEKDAY(Y$8)=1,TRUE,FALSE)</formula>
    </cfRule>
  </conditionalFormatting>
  <conditionalFormatting sqref="Y170:Y171">
    <cfRule type="containsText" dxfId="958" priority="787" operator="containsText" text="P">
      <formula>NOT(ISERROR(SEARCH("P",Y170)))</formula>
    </cfRule>
    <cfRule type="containsText" dxfId="957" priority="788" operator="containsText" text="K">
      <formula>NOT(ISERROR(SEARCH("K",Y170)))</formula>
    </cfRule>
    <cfRule type="expression" dxfId="956" priority="789" stopIfTrue="1">
      <formula>IF(WEEKDAY(Y$8)=1,TRUE,FALSE)</formula>
    </cfRule>
    <cfRule type="containsText" dxfId="955" priority="790" operator="containsText" text="P">
      <formula>NOT(ISERROR(SEARCH("P",Y170)))</formula>
    </cfRule>
    <cfRule type="containsText" dxfId="954" priority="791" operator="containsText" text="K">
      <formula>NOT(ISERROR(SEARCH("K",Y170)))</formula>
    </cfRule>
    <cfRule type="expression" dxfId="953" priority="792" stopIfTrue="1">
      <formula>IF(WEEKDAY(Y$8)=1,TRUE,FALSE)</formula>
    </cfRule>
    <cfRule type="containsText" dxfId="952" priority="793" operator="containsText" text="P">
      <formula>NOT(ISERROR(SEARCH("P",Y170)))</formula>
    </cfRule>
    <cfRule type="containsText" dxfId="951" priority="794" operator="containsText" text="K">
      <formula>NOT(ISERROR(SEARCH("K",Y170)))</formula>
    </cfRule>
    <cfRule type="containsText" dxfId="950" priority="795" operator="containsText" text="P">
      <formula>NOT(ISERROR(SEARCH("P",Y170)))</formula>
    </cfRule>
    <cfRule type="containsText" dxfId="949" priority="796" operator="containsText" text="K">
      <formula>NOT(ISERROR(SEARCH("K",Y170)))</formula>
    </cfRule>
    <cfRule type="expression" dxfId="948" priority="797" stopIfTrue="1">
      <formula>IF(WEEKDAY(Y$8)=1,TRUE,FALSE)</formula>
    </cfRule>
    <cfRule type="containsText" dxfId="947" priority="798" operator="containsText" text="P">
      <formula>NOT(ISERROR(SEARCH("P",Y170)))</formula>
    </cfRule>
    <cfRule type="containsText" dxfId="946" priority="799" operator="containsText" text="K">
      <formula>NOT(ISERROR(SEARCH("K",Y170)))</formula>
    </cfRule>
  </conditionalFormatting>
  <conditionalFormatting sqref="Y170:Y172">
    <cfRule type="containsText" dxfId="945" priority="786" operator="containsText" text="P">
      <formula>NOT(ISERROR(SEARCH("P",Y170)))</formula>
    </cfRule>
  </conditionalFormatting>
  <conditionalFormatting sqref="Y170:Y173">
    <cfRule type="expression" dxfId="944" priority="785" stopIfTrue="1">
      <formula>IF(WEEKDAY(Y$8)=1,TRUE,FALSE)</formula>
    </cfRule>
  </conditionalFormatting>
  <conditionalFormatting sqref="Y172:Y173">
    <cfRule type="containsText" dxfId="943" priority="783" operator="containsText" text="P">
      <formula>NOT(ISERROR(SEARCH("P",Y172)))</formula>
    </cfRule>
    <cfRule type="containsText" dxfId="942" priority="784" operator="containsText" text="K">
      <formula>NOT(ISERROR(SEARCH("K",Y172)))</formula>
    </cfRule>
  </conditionalFormatting>
  <conditionalFormatting sqref="Y173:Y174">
    <cfRule type="expression" dxfId="941" priority="781" stopIfTrue="1">
      <formula>IF(WEEKDAY(Y$8)=1,TRUE,FALSE)</formula>
    </cfRule>
    <cfRule type="containsText" dxfId="940" priority="782" operator="containsText" text="K">
      <formula>NOT(ISERROR(SEARCH("K",Y173)))</formula>
    </cfRule>
  </conditionalFormatting>
  <conditionalFormatting sqref="Y173:Y176">
    <cfRule type="containsText" dxfId="939" priority="780" operator="containsText" text="P">
      <formula>NOT(ISERROR(SEARCH("P",Y173)))</formula>
    </cfRule>
  </conditionalFormatting>
  <conditionalFormatting sqref="Y176">
    <cfRule type="expression" dxfId="938" priority="779" stopIfTrue="1">
      <formula>IF(WEEKDAY(Y$8)=1,TRUE,FALSE)</formula>
    </cfRule>
  </conditionalFormatting>
  <conditionalFormatting sqref="Y177:Y178">
    <cfRule type="containsText" dxfId="937" priority="778" operator="containsText" text="P">
      <formula>NOT(ISERROR(SEARCH("P",Y177)))</formula>
    </cfRule>
  </conditionalFormatting>
  <conditionalFormatting sqref="Y180">
    <cfRule type="containsText" dxfId="936" priority="776" operator="containsText" text="K">
      <formula>NOT(ISERROR(SEARCH("K",Y180)))</formula>
    </cfRule>
    <cfRule type="expression" dxfId="935" priority="777" stopIfTrue="1">
      <formula>IF(WEEKDAY(Y$8)=1,TRUE,FALSE)</formula>
    </cfRule>
  </conditionalFormatting>
  <conditionalFormatting sqref="Y197:Y199">
    <cfRule type="expression" dxfId="934" priority="773" stopIfTrue="1">
      <formula>IF(WEEKDAY(Y$8)=1,TRUE,FALSE)</formula>
    </cfRule>
    <cfRule type="containsText" dxfId="933" priority="774" operator="containsText" text="P">
      <formula>NOT(ISERROR(SEARCH("P",Y197)))</formula>
    </cfRule>
    <cfRule type="containsText" dxfId="932" priority="775" operator="containsText" text="K">
      <formula>NOT(ISERROR(SEARCH("K",Y197)))</formula>
    </cfRule>
  </conditionalFormatting>
  <conditionalFormatting sqref="Y207:Y215">
    <cfRule type="expression" dxfId="931" priority="770" stopIfTrue="1">
      <formula>IF(WEEKDAY(Y$8)=1,TRUE,FALSE)</formula>
    </cfRule>
    <cfRule type="containsText" dxfId="930" priority="771" operator="containsText" text="P">
      <formula>NOT(ISERROR(SEARCH("P",Y207)))</formula>
    </cfRule>
    <cfRule type="containsText" dxfId="929" priority="772" operator="containsText" text="K">
      <formula>NOT(ISERROR(SEARCH("K",Y207)))</formula>
    </cfRule>
  </conditionalFormatting>
  <conditionalFormatting sqref="Z21">
    <cfRule type="expression" dxfId="928" priority="767" stopIfTrue="1">
      <formula>IF(WEEKDAY(Z$8)=1,TRUE,FALSE)</formula>
    </cfRule>
    <cfRule type="containsText" dxfId="927" priority="768" operator="containsText" text="K">
      <formula>NOT(ISERROR(SEARCH("K",Z21)))</formula>
    </cfRule>
    <cfRule type="containsText" dxfId="926" priority="769" operator="containsText" text="P">
      <formula>NOT(ISERROR(SEARCH("P",Z21)))</formula>
    </cfRule>
  </conditionalFormatting>
  <conditionalFormatting sqref="Z197:AC197 AE197 Z198 AB201:AC201 AB204:AC204 AB208:AC208 Z209:Z213 Z214:AC215">
    <cfRule type="expression" dxfId="925" priority="764" stopIfTrue="1">
      <formula>IF(WEEKDAY(Z$8)=1,TRUE,FALSE)</formula>
    </cfRule>
    <cfRule type="containsText" dxfId="924" priority="765" operator="containsText" text="K">
      <formula>NOT(ISERROR(SEARCH("K",Z197)))</formula>
    </cfRule>
    <cfRule type="containsText" dxfId="923" priority="766" operator="containsText" text="P">
      <formula>NOT(ISERROR(SEARCH("P",Z197)))</formula>
    </cfRule>
  </conditionalFormatting>
  <conditionalFormatting sqref="Z199:Z200 Z201:AA201 Z202">
    <cfRule type="containsText" dxfId="922" priority="763" operator="containsText" text="K">
      <formula>NOT(ISERROR(SEARCH("K",Z199)))</formula>
    </cfRule>
  </conditionalFormatting>
  <conditionalFormatting sqref="Z203 Z204:AA204 Z205:Z207 Z208:AA208">
    <cfRule type="expression" dxfId="921" priority="760" stopIfTrue="1">
      <formula>IF(WEEKDAY(Z$8)=1,TRUE,FALSE)</formula>
    </cfRule>
    <cfRule type="containsText" dxfId="920" priority="761" operator="containsText" text="P">
      <formula>NOT(ISERROR(SEARCH("P",Z203)))</formula>
    </cfRule>
    <cfRule type="containsText" dxfId="919" priority="762" operator="containsText" text="K">
      <formula>NOT(ISERROR(SEARCH("K",Z203)))</formula>
    </cfRule>
  </conditionalFormatting>
  <conditionalFormatting sqref="Z180:AA180">
    <cfRule type="expression" dxfId="918" priority="757" stopIfTrue="1">
      <formula>IF(WEEKDAY(Z$8)=1,TRUE,FALSE)</formula>
    </cfRule>
    <cfRule type="containsText" dxfId="917" priority="758" operator="containsText" text="P">
      <formula>NOT(ISERROR(SEARCH("P",Z180)))</formula>
    </cfRule>
    <cfRule type="containsText" dxfId="916" priority="759" operator="containsText" text="K">
      <formula>NOT(ISERROR(SEARCH("K",Z180)))</formula>
    </cfRule>
  </conditionalFormatting>
  <conditionalFormatting sqref="Z18:AB18 E18:X18 Y18:Y21 Z19:AF19 X19:X20 E19:W21">
    <cfRule type="expression" dxfId="915" priority="756" stopIfTrue="1">
      <formula>IF(WEEKDAY(E$8)=1,TRUE,FALSE)</formula>
    </cfRule>
  </conditionalFormatting>
  <conditionalFormatting sqref="Z195:AB195">
    <cfRule type="expression" dxfId="914" priority="753" stopIfTrue="1">
      <formula>IF(WEEKDAY(Z$8)=1,TRUE,FALSE)</formula>
    </cfRule>
    <cfRule type="containsText" dxfId="913" priority="754" operator="containsText" text="P">
      <formula>NOT(ISERROR(SEARCH("P",Z195)))</formula>
    </cfRule>
    <cfRule type="containsText" dxfId="912" priority="755" operator="containsText" text="K">
      <formula>NOT(ISERROR(SEARCH("K",Z195)))</formula>
    </cfRule>
  </conditionalFormatting>
  <conditionalFormatting sqref="Z14:AC16">
    <cfRule type="containsText" dxfId="911" priority="751" operator="containsText" text="K">
      <formula>NOT(ISERROR(SEARCH("K",Z14)))</formula>
    </cfRule>
    <cfRule type="containsText" dxfId="910" priority="752" operator="containsText" text="P">
      <formula>NOT(ISERROR(SEARCH("P",Z14)))</formula>
    </cfRule>
  </conditionalFormatting>
  <conditionalFormatting sqref="Z36:AC36">
    <cfRule type="containsText" dxfId="909" priority="749" operator="containsText" text="K">
      <formula>NOT(ISERROR(SEARCH("K",Z36)))</formula>
    </cfRule>
    <cfRule type="containsText" dxfId="908" priority="750" operator="containsText" text="P">
      <formula>NOT(ISERROR(SEARCH("P",Z36)))</formula>
    </cfRule>
  </conditionalFormatting>
  <conditionalFormatting sqref="Z38:AC42">
    <cfRule type="containsText" dxfId="907" priority="747" operator="containsText" text="K">
      <formula>NOT(ISERROR(SEARCH("K",Z38)))</formula>
    </cfRule>
    <cfRule type="containsText" dxfId="906" priority="748" operator="containsText" text="P">
      <formula>NOT(ISERROR(SEARCH("P",Z38)))</formula>
    </cfRule>
  </conditionalFormatting>
  <conditionalFormatting sqref="Z141:AC142">
    <cfRule type="containsText" dxfId="905" priority="745" operator="containsText" text="K">
      <formula>NOT(ISERROR(SEARCH("K",Z141)))</formula>
    </cfRule>
    <cfRule type="containsText" dxfId="904" priority="746" operator="containsText" text="P">
      <formula>NOT(ISERROR(SEARCH("P",Z141)))</formula>
    </cfRule>
  </conditionalFormatting>
  <conditionalFormatting sqref="Z144:AC145">
    <cfRule type="containsText" dxfId="903" priority="743" operator="containsText" text="K">
      <formula>NOT(ISERROR(SEARCH("K",Z144)))</formula>
    </cfRule>
    <cfRule type="containsText" dxfId="902" priority="744" operator="containsText" text="P">
      <formula>NOT(ISERROR(SEARCH("P",Z144)))</formula>
    </cfRule>
  </conditionalFormatting>
  <conditionalFormatting sqref="Z147:AC149">
    <cfRule type="containsText" dxfId="901" priority="741" operator="containsText" text="K">
      <formula>NOT(ISERROR(SEARCH("K",Z147)))</formula>
    </cfRule>
    <cfRule type="containsText" dxfId="900" priority="742" operator="containsText" text="P">
      <formula>NOT(ISERROR(SEARCH("P",Z147)))</formula>
    </cfRule>
  </conditionalFormatting>
  <conditionalFormatting sqref="Z164:AC178 Z197:AC197 Z198 AB201:AC201 AB204:AC204 AC207 AB208:AC208 Z209:Z213 Z214:AC215 Z217:AC230">
    <cfRule type="containsText" dxfId="899" priority="740" operator="containsText" text="P">
      <formula>NOT(ISERROR(SEARCH("P",Z164)))</formula>
    </cfRule>
  </conditionalFormatting>
  <conditionalFormatting sqref="Z164:AC178 Z217:AC230 Z197:AC197 Z198 AB201:AC201 AB204:AC204 AB208:AC208 Z209:Z213 Z214:AC215 AC207">
    <cfRule type="containsText" dxfId="898" priority="739" operator="containsText" text="K">
      <formula>NOT(ISERROR(SEARCH("K",Z164)))</formula>
    </cfRule>
  </conditionalFormatting>
  <conditionalFormatting sqref="Z14:AE16">
    <cfRule type="expression" dxfId="897" priority="736" stopIfTrue="1">
      <formula>IF(WEEKDAY(Z$8)=1,TRUE,FALSE)</formula>
    </cfRule>
    <cfRule type="containsText" dxfId="896" priority="737" operator="containsText" text="K">
      <formula>NOT(ISERROR(SEARCH("K",Z14)))</formula>
    </cfRule>
    <cfRule type="containsText" dxfId="895" priority="738" operator="containsText" text="P">
      <formula>NOT(ISERROR(SEARCH("P",Z14)))</formula>
    </cfRule>
  </conditionalFormatting>
  <conditionalFormatting sqref="Z18:AE18 E18:X18 Y18:Y21 Z19:Z20 Z44:AC48 Z151:AC162 X19:X20 E19:W21">
    <cfRule type="containsText" dxfId="894" priority="734" operator="containsText" text="K">
      <formula>NOT(ISERROR(SEARCH("K",E18)))</formula>
    </cfRule>
    <cfRule type="containsText" dxfId="893" priority="735" operator="containsText" text="P">
      <formula>NOT(ISERROR(SEARCH("P",E18)))</formula>
    </cfRule>
  </conditionalFormatting>
  <conditionalFormatting sqref="Z38:AE42">
    <cfRule type="expression" dxfId="892" priority="732" stopIfTrue="1">
      <formula>IF(WEEKDAY(Z$8)=1,TRUE,FALSE)</formula>
    </cfRule>
    <cfRule type="containsText" dxfId="891" priority="733" operator="containsText" text="K">
      <formula>NOT(ISERROR(SEARCH("K",Z38)))</formula>
    </cfRule>
  </conditionalFormatting>
  <conditionalFormatting sqref="Z44:AE48 AF82:AF96">
    <cfRule type="expression" dxfId="890" priority="730" stopIfTrue="1">
      <formula>IF(WEEKDAY(Z$8)=1,TRUE,FALSE)</formula>
    </cfRule>
    <cfRule type="containsText" dxfId="889" priority="731" operator="containsText" text="K">
      <formula>NOT(ISERROR(SEARCH("K",Z44)))</formula>
    </cfRule>
  </conditionalFormatting>
  <conditionalFormatting sqref="Z141:AE141 X142:AF142">
    <cfRule type="expression" dxfId="888" priority="729" stopIfTrue="1">
      <formula>IF(WEEKDAY(X$8)=1,TRUE,FALSE)</formula>
    </cfRule>
  </conditionalFormatting>
  <conditionalFormatting sqref="Z144:AE145">
    <cfRule type="expression" dxfId="887" priority="727" stopIfTrue="1">
      <formula>IF(WEEKDAY(Z$8)=1,TRUE,FALSE)</formula>
    </cfRule>
    <cfRule type="containsText" dxfId="886" priority="728" operator="containsText" text="K">
      <formula>NOT(ISERROR(SEARCH("K",Z144)))</formula>
    </cfRule>
  </conditionalFormatting>
  <conditionalFormatting sqref="Z147:AE149">
    <cfRule type="expression" dxfId="885" priority="725" stopIfTrue="1">
      <formula>IF(WEEKDAY(Z$8)=1,TRUE,FALSE)</formula>
    </cfRule>
    <cfRule type="containsText" dxfId="884" priority="726" operator="containsText" text="P">
      <formula>NOT(ISERROR(SEARCH("P",Z147)))</formula>
    </cfRule>
  </conditionalFormatting>
  <conditionalFormatting sqref="Z151:AE153">
    <cfRule type="containsText" dxfId="883" priority="724" operator="containsText" text="P">
      <formula>NOT(ISERROR(SEARCH("P",Z151)))</formula>
    </cfRule>
  </conditionalFormatting>
  <conditionalFormatting sqref="Z36:AF36">
    <cfRule type="expression" dxfId="882" priority="721" stopIfTrue="1">
      <formula>IF(WEEKDAY(Z$8)=1,TRUE,FALSE)</formula>
    </cfRule>
    <cfRule type="containsText" dxfId="881" priority="722" operator="containsText" text="K">
      <formula>NOT(ISERROR(SEARCH("K",Z36)))</formula>
    </cfRule>
    <cfRule type="containsText" dxfId="880" priority="723" operator="containsText" text="P">
      <formula>NOT(ISERROR(SEARCH("P",Z36)))</formula>
    </cfRule>
  </conditionalFormatting>
  <conditionalFormatting sqref="Z144:AF145">
    <cfRule type="containsText" dxfId="879" priority="720" operator="containsText" text="P">
      <formula>NOT(ISERROR(SEARCH("P",Z144)))</formula>
    </cfRule>
  </conditionalFormatting>
  <conditionalFormatting sqref="Z151:AF153">
    <cfRule type="expression" dxfId="878" priority="719" stopIfTrue="1">
      <formula>IF(WEEKDAY(Z$8)=1,TRUE,FALSE)</formula>
    </cfRule>
  </conditionalFormatting>
  <conditionalFormatting sqref="Z151:AF162">
    <cfRule type="containsText" dxfId="877" priority="718" operator="containsText" text="K">
      <formula>NOT(ISERROR(SEARCH("K",Z151)))</formula>
    </cfRule>
  </conditionalFormatting>
  <conditionalFormatting sqref="Z38:AI42">
    <cfRule type="containsText" dxfId="876" priority="717" operator="containsText" text="P">
      <formula>NOT(ISERROR(SEARCH("P",Z38)))</formula>
    </cfRule>
  </conditionalFormatting>
  <conditionalFormatting sqref="Z141:AJ141 X142:AG142">
    <cfRule type="containsText" dxfId="875" priority="716" operator="containsText" text="P">
      <formula>NOT(ISERROR(SEARCH("P",X141)))</formula>
    </cfRule>
  </conditionalFormatting>
  <conditionalFormatting sqref="AA184">
    <cfRule type="containsText" dxfId="874" priority="714" operator="containsText" text="K">
      <formula>NOT(ISERROR(SEARCH("K",AA184)))</formula>
    </cfRule>
    <cfRule type="containsText" dxfId="873" priority="715" operator="containsText" text="P">
      <formula>NOT(ISERROR(SEARCH("P",AA184)))</formula>
    </cfRule>
  </conditionalFormatting>
  <conditionalFormatting sqref="AA185">
    <cfRule type="expression" dxfId="872" priority="711" stopIfTrue="1">
      <formula>IF(WEEKDAY(AA$8)=1,TRUE,FALSE)</formula>
    </cfRule>
    <cfRule type="containsText" dxfId="871" priority="712" operator="containsText" text="K">
      <formula>NOT(ISERROR(SEARCH("K",AA185)))</formula>
    </cfRule>
    <cfRule type="containsText" dxfId="870" priority="713" operator="containsText" text="P">
      <formula>NOT(ISERROR(SEARCH("P",AA185)))</formula>
    </cfRule>
  </conditionalFormatting>
  <conditionalFormatting sqref="AA20:AC21 AA19:AH19">
    <cfRule type="containsText" dxfId="869" priority="710" operator="containsText" text="K">
      <formula>NOT(ISERROR(SEARCH("K",AA19)))</formula>
    </cfRule>
  </conditionalFormatting>
  <conditionalFormatting sqref="AA20:AC21">
    <cfRule type="expression" dxfId="868" priority="709" stopIfTrue="1">
      <formula>IF(WEEKDAY(AA$8)=1,TRUE,FALSE)</formula>
    </cfRule>
  </conditionalFormatting>
  <conditionalFormatting sqref="AA25:AC25">
    <cfRule type="expression" dxfId="867" priority="706" stopIfTrue="1">
      <formula>IF(WEEKDAY(AA$8)=1,TRUE,FALSE)</formula>
    </cfRule>
    <cfRule type="containsText" dxfId="866" priority="707" operator="containsText" text="K">
      <formula>NOT(ISERROR(SEARCH("K",AA25)))</formula>
    </cfRule>
    <cfRule type="containsText" dxfId="865" priority="708" operator="containsText" text="P">
      <formula>NOT(ISERROR(SEARCH("P",AA25)))</formula>
    </cfRule>
  </conditionalFormatting>
  <conditionalFormatting sqref="AA182:AC183">
    <cfRule type="containsText" dxfId="864" priority="704" operator="containsText" text="K">
      <formula>NOT(ISERROR(SEARCH("K",AA182)))</formula>
    </cfRule>
    <cfRule type="containsText" dxfId="863" priority="705" operator="containsText" text="P">
      <formula>NOT(ISERROR(SEARCH("P",AA182)))</formula>
    </cfRule>
  </conditionalFormatting>
  <conditionalFormatting sqref="AA182:AC184">
    <cfRule type="expression" dxfId="862" priority="703" stopIfTrue="1">
      <formula>IF(WEEKDAY(AA$8)=1,TRUE,FALSE)</formula>
    </cfRule>
  </conditionalFormatting>
  <conditionalFormatting sqref="AA186:AC186">
    <cfRule type="expression" dxfId="861" priority="700" stopIfTrue="1">
      <formula>IF(WEEKDAY(AA$8)=1,TRUE,FALSE)</formula>
    </cfRule>
    <cfRule type="containsText" dxfId="860" priority="701" operator="containsText" text="K">
      <formula>NOT(ISERROR(SEARCH("K",AA186)))</formula>
    </cfRule>
    <cfRule type="containsText" dxfId="859" priority="702" operator="containsText" text="P">
      <formula>NOT(ISERROR(SEARCH("P",AA186)))</formula>
    </cfRule>
  </conditionalFormatting>
  <conditionalFormatting sqref="AA189:AC189">
    <cfRule type="expression" dxfId="858" priority="697" stopIfTrue="1">
      <formula>IF(WEEKDAY(AA$8)=1,TRUE,FALSE)</formula>
    </cfRule>
    <cfRule type="containsText" dxfId="857" priority="698" operator="containsText" text="K">
      <formula>NOT(ISERROR(SEARCH("K",AA189)))</formula>
    </cfRule>
    <cfRule type="containsText" dxfId="856" priority="699" operator="containsText" text="P">
      <formula>NOT(ISERROR(SEARCH("P",AA189)))</formula>
    </cfRule>
  </conditionalFormatting>
  <conditionalFormatting sqref="AA191:AC192">
    <cfRule type="expression" dxfId="855" priority="694" stopIfTrue="1">
      <formula>IF(WEEKDAY(AA$8)=1,TRUE,FALSE)</formula>
    </cfRule>
    <cfRule type="containsText" dxfId="854" priority="695" operator="containsText" text="K">
      <formula>NOT(ISERROR(SEARCH("K",AA191)))</formula>
    </cfRule>
    <cfRule type="containsText" dxfId="853" priority="696" operator="containsText" text="P">
      <formula>NOT(ISERROR(SEARCH("P",AA191)))</formula>
    </cfRule>
  </conditionalFormatting>
  <conditionalFormatting sqref="AA194:AC194">
    <cfRule type="expression" dxfId="852" priority="691" stopIfTrue="1">
      <formula>IF(WEEKDAY(AA$8)=1,TRUE,FALSE)</formula>
    </cfRule>
    <cfRule type="containsText" dxfId="851" priority="692" operator="containsText" text="K">
      <formula>NOT(ISERROR(SEARCH("K",AA194)))</formula>
    </cfRule>
    <cfRule type="containsText" dxfId="850" priority="693" operator="containsText" text="P">
      <formula>NOT(ISERROR(SEARCH("P",AA194)))</formula>
    </cfRule>
  </conditionalFormatting>
  <conditionalFormatting sqref="AA199:AC200">
    <cfRule type="expression" dxfId="849" priority="688" stopIfTrue="1">
      <formula>IF(WEEKDAY(AA$8)=1,TRUE,FALSE)</formula>
    </cfRule>
    <cfRule type="containsText" dxfId="848" priority="689" operator="containsText" text="K">
      <formula>NOT(ISERROR(SEARCH("K",AA199)))</formula>
    </cfRule>
    <cfRule type="containsText" dxfId="847" priority="690" operator="containsText" text="P">
      <formula>NOT(ISERROR(SEARCH("P",AA199)))</formula>
    </cfRule>
  </conditionalFormatting>
  <conditionalFormatting sqref="AA202:AC203">
    <cfRule type="expression" dxfId="846" priority="685" stopIfTrue="1">
      <formula>IF(WEEKDAY(AA$8)=1,TRUE,FALSE)</formula>
    </cfRule>
    <cfRule type="containsText" dxfId="845" priority="686" operator="containsText" text="K">
      <formula>NOT(ISERROR(SEARCH("K",AA202)))</formula>
    </cfRule>
    <cfRule type="containsText" dxfId="844" priority="687" operator="containsText" text="P">
      <formula>NOT(ISERROR(SEARCH("P",AA202)))</formula>
    </cfRule>
  </conditionalFormatting>
  <conditionalFormatting sqref="AA205:AC207">
    <cfRule type="expression" dxfId="843" priority="682" stopIfTrue="1">
      <formula>IF(WEEKDAY(AA$8)=1,TRUE,FALSE)</formula>
    </cfRule>
    <cfRule type="containsText" dxfId="842" priority="683" operator="containsText" text="K">
      <formula>NOT(ISERROR(SEARCH("K",AA205)))</formula>
    </cfRule>
    <cfRule type="containsText" dxfId="841" priority="684" operator="containsText" text="P">
      <formula>NOT(ISERROR(SEARCH("P",AA205)))</formula>
    </cfRule>
  </conditionalFormatting>
  <conditionalFormatting sqref="AA211:AC213">
    <cfRule type="expression" dxfId="840" priority="679" stopIfTrue="1">
      <formula>IF(WEEKDAY(AA$8)=1,TRUE,FALSE)</formula>
    </cfRule>
    <cfRule type="containsText" dxfId="839" priority="680" operator="containsText" text="K">
      <formula>NOT(ISERROR(SEARCH("K",AA211)))</formula>
    </cfRule>
    <cfRule type="containsText" dxfId="838" priority="681" operator="containsText" text="P">
      <formula>NOT(ISERROR(SEARCH("P",AA211)))</formula>
    </cfRule>
  </conditionalFormatting>
  <conditionalFormatting sqref="AA188:AD188">
    <cfRule type="expression" dxfId="837" priority="676" stopIfTrue="1">
      <formula>IF(WEEKDAY(AA$8)=1,TRUE,FALSE)</formula>
    </cfRule>
    <cfRule type="containsText" dxfId="836" priority="677" operator="containsText" text="K">
      <formula>NOT(ISERROR(SEARCH("K",AA188)))</formula>
    </cfRule>
    <cfRule type="containsText" dxfId="835" priority="678" operator="containsText" text="P">
      <formula>NOT(ISERROR(SEARCH("P",AA188)))</formula>
    </cfRule>
  </conditionalFormatting>
  <conditionalFormatting sqref="AA193:AF193">
    <cfRule type="expression" dxfId="834" priority="673" stopIfTrue="1">
      <formula>IF(WEEKDAY(AA$8)=1,TRUE,FALSE)</formula>
    </cfRule>
    <cfRule type="containsText" dxfId="833" priority="674" operator="containsText" text="P">
      <formula>NOT(ISERROR(SEARCH("P",AA193)))</formula>
    </cfRule>
    <cfRule type="containsText" dxfId="832" priority="675" operator="containsText" text="K">
      <formula>NOT(ISERROR(SEARCH("K",AA193)))</formula>
    </cfRule>
  </conditionalFormatting>
  <conditionalFormatting sqref="AE196">
    <cfRule type="expression" dxfId="831" priority="670" stopIfTrue="1">
      <formula>IF(WEEKDAY(AE$8)=1,TRUE,FALSE)</formula>
    </cfRule>
    <cfRule type="containsText" dxfId="830" priority="671" operator="containsText" text="P">
      <formula>NOT(ISERROR(SEARCH("P",AE196)))</formula>
    </cfRule>
    <cfRule type="containsText" dxfId="829" priority="672" operator="containsText" text="K">
      <formula>NOT(ISERROR(SEARCH("K",AE196)))</formula>
    </cfRule>
  </conditionalFormatting>
  <conditionalFormatting sqref="AA198:AF198">
    <cfRule type="expression" dxfId="828" priority="667" stopIfTrue="1">
      <formula>IF(WEEKDAY(AA$8)=1,TRUE,FALSE)</formula>
    </cfRule>
    <cfRule type="containsText" dxfId="827" priority="668" operator="containsText" text="P">
      <formula>NOT(ISERROR(SEARCH("P",AA198)))</formula>
    </cfRule>
    <cfRule type="containsText" dxfId="826" priority="669" operator="containsText" text="K">
      <formula>NOT(ISERROR(SEARCH("K",AA198)))</formula>
    </cfRule>
  </conditionalFormatting>
  <conditionalFormatting sqref="AA19:AH19 AA20:AC21">
    <cfRule type="containsText" dxfId="825" priority="666" operator="containsText" text="P">
      <formula>NOT(ISERROR(SEARCH("P",AA19)))</formula>
    </cfRule>
  </conditionalFormatting>
  <conditionalFormatting sqref="AA209:AH210">
    <cfRule type="expression" dxfId="824" priority="663" stopIfTrue="1">
      <formula>IF(WEEKDAY(AA$8)=1,TRUE,FALSE)</formula>
    </cfRule>
    <cfRule type="containsText" dxfId="823" priority="664" operator="containsText" text="P">
      <formula>NOT(ISERROR(SEARCH("P",AA209)))</formula>
    </cfRule>
    <cfRule type="containsText" dxfId="822" priority="665" operator="containsText" text="K">
      <formula>NOT(ISERROR(SEARCH("K",AA209)))</formula>
    </cfRule>
  </conditionalFormatting>
  <conditionalFormatting sqref="AB184:AB185">
    <cfRule type="containsText" dxfId="821" priority="661" operator="containsText" text="K">
      <formula>NOT(ISERROR(SEARCH("K",AB184)))</formula>
    </cfRule>
    <cfRule type="containsText" dxfId="820" priority="662" operator="containsText" text="P">
      <formula>NOT(ISERROR(SEARCH("P",AB184)))</formula>
    </cfRule>
  </conditionalFormatting>
  <conditionalFormatting sqref="AB180:AC181 AB187:AC187 AB190:AC190 Z193 AB185 AE180">
    <cfRule type="expression" dxfId="819" priority="660" stopIfTrue="1">
      <formula>IF(WEEKDAY(Z$8)=1,TRUE,FALSE)</formula>
    </cfRule>
  </conditionalFormatting>
  <conditionalFormatting sqref="AB180:AC181 AB187:AC187 AB190:AC190 Z193">
    <cfRule type="containsText" dxfId="818" priority="658" operator="containsText" text="K">
      <formula>NOT(ISERROR(SEARCH("K",Z180)))</formula>
    </cfRule>
    <cfRule type="containsText" dxfId="817" priority="659" operator="containsText" text="P">
      <formula>NOT(ISERROR(SEARCH("P",Z180)))</formula>
    </cfRule>
  </conditionalFormatting>
  <conditionalFormatting sqref="AC18 Z20 AC20:AD21 Z22:AI22 Z23:AE23">
    <cfRule type="containsText" dxfId="816" priority="656" operator="containsText" text="K">
      <formula>NOT(ISERROR(SEARCH("K",Z18)))</formula>
    </cfRule>
    <cfRule type="containsText" dxfId="815" priority="657" operator="containsText" text="P">
      <formula>NOT(ISERROR(SEARCH("P",Z18)))</formula>
    </cfRule>
  </conditionalFormatting>
  <conditionalFormatting sqref="AC27:AC35 AF103:AJ112 T109:Y112">
    <cfRule type="expression" dxfId="814" priority="655" stopIfTrue="1">
      <formula>IF(WEEKDAY(T$8)=1,TRUE,FALSE)</formula>
    </cfRule>
  </conditionalFormatting>
  <conditionalFormatting sqref="AC184">
    <cfRule type="containsText" dxfId="813" priority="653" operator="containsText" text="K">
      <formula>NOT(ISERROR(SEARCH("K",AC184)))</formula>
    </cfRule>
    <cfRule type="containsText" dxfId="812" priority="654" operator="containsText" text="P">
      <formula>NOT(ISERROR(SEARCH("P",AC184)))</formula>
    </cfRule>
  </conditionalFormatting>
  <conditionalFormatting sqref="AC185">
    <cfRule type="expression" dxfId="811" priority="650" stopIfTrue="1">
      <formula>IF(WEEKDAY(AC$8)=1,TRUE,FALSE)</formula>
    </cfRule>
    <cfRule type="containsText" dxfId="810" priority="651" operator="containsText" text="K">
      <formula>NOT(ISERROR(SEARCH("K",AC185)))</formula>
    </cfRule>
    <cfRule type="containsText" dxfId="809" priority="652" operator="containsText" text="P">
      <formula>NOT(ISERROR(SEARCH("P",AC185)))</formula>
    </cfRule>
  </conditionalFormatting>
  <conditionalFormatting sqref="AC195">
    <cfRule type="containsText" dxfId="808" priority="647" operator="containsText" text="P">
      <formula>NOT(ISERROR(SEARCH(("P"),(AC195))))</formula>
    </cfRule>
    <cfRule type="containsText" dxfId="807" priority="648" operator="containsText" text="K">
      <formula>NOT(ISERROR(SEARCH(("K"),(AC195))))</formula>
    </cfRule>
    <cfRule type="expression" dxfId="806" priority="649" stopIfTrue="1">
      <formula>IF(WEEKDAY(AC$8)=1,TRUE,FALSE)</formula>
    </cfRule>
  </conditionalFormatting>
  <conditionalFormatting sqref="AC20:AD21 AC18 Z20 Z22:AI22 Z23:AE23">
    <cfRule type="expression" dxfId="805" priority="646" stopIfTrue="1">
      <formula>IF(WEEKDAY(Z$8)=1,TRUE,FALSE)</formula>
    </cfRule>
  </conditionalFormatting>
  <conditionalFormatting sqref="AD180">
    <cfRule type="expression" dxfId="804" priority="643" stopIfTrue="1">
      <formula>IF(WEEKDAY(AD$8)=1,TRUE,FALSE)</formula>
    </cfRule>
    <cfRule type="containsText" dxfId="803" priority="644" operator="containsText" text="P">
      <formula>NOT(ISERROR(SEARCH("P",AD180)))</formula>
    </cfRule>
    <cfRule type="containsText" dxfId="802" priority="645" operator="containsText" text="K">
      <formula>NOT(ISERROR(SEARCH("K",AD180)))</formula>
    </cfRule>
  </conditionalFormatting>
  <conditionalFormatting sqref="AD197">
    <cfRule type="expression" dxfId="801" priority="640" stopIfTrue="1">
      <formula>IF(WEEKDAY(AD$8)=1,TRUE,FALSE)</formula>
    </cfRule>
    <cfRule type="containsText" dxfId="800" priority="641" operator="containsText" text="P">
      <formula>NOT(ISERROR(SEARCH("P",AD197)))</formula>
    </cfRule>
    <cfRule type="containsText" dxfId="799" priority="642" operator="containsText" text="K">
      <formula>NOT(ISERROR(SEARCH("K",AD197)))</formula>
    </cfRule>
  </conditionalFormatting>
  <conditionalFormatting sqref="AD183:AE184">
    <cfRule type="expression" dxfId="798" priority="637" stopIfTrue="1">
      <formula>IF(WEEKDAY(AD$8)=1,TRUE,FALSE)</formula>
    </cfRule>
    <cfRule type="containsText" dxfId="797" priority="638" operator="containsText" text="P">
      <formula>NOT(ISERROR(SEARCH("P",AD183)))</formula>
    </cfRule>
    <cfRule type="containsText" dxfId="796" priority="639" operator="containsText" text="K">
      <formula>NOT(ISERROR(SEARCH("K",AD183)))</formula>
    </cfRule>
  </conditionalFormatting>
  <conditionalFormatting sqref="AD202:AE202">
    <cfRule type="expression" dxfId="795" priority="634" stopIfTrue="1">
      <formula>IF(WEEKDAY(AD$8)=1,TRUE,FALSE)</formula>
    </cfRule>
    <cfRule type="containsText" dxfId="794" priority="635" operator="containsText" text="P">
      <formula>NOT(ISERROR(SEARCH("P",AD202)))</formula>
    </cfRule>
    <cfRule type="containsText" dxfId="793" priority="636" operator="containsText" text="K">
      <formula>NOT(ISERROR(SEARCH("K",AD202)))</formula>
    </cfRule>
  </conditionalFormatting>
  <conditionalFormatting sqref="AD27:AF35 AG27:AI36">
    <cfRule type="containsText" dxfId="792" priority="631" operator="containsText" text="P">
      <formula>NOT(ISERROR(SEARCH(("P"),(AD27))))</formula>
    </cfRule>
    <cfRule type="containsText" dxfId="791" priority="632" operator="containsText" text="K">
      <formula>NOT(ISERROR(SEARCH(("K"),(AD27))))</formula>
    </cfRule>
    <cfRule type="expression" dxfId="790" priority="633" stopIfTrue="1">
      <formula>IF(WEEKDAY(AD$8)=1,TRUE,FALSE)</formula>
    </cfRule>
  </conditionalFormatting>
  <conditionalFormatting sqref="AD191:AF192">
    <cfRule type="expression" dxfId="789" priority="628" stopIfTrue="1">
      <formula>IF(WEEKDAY(AD$8)=1,TRUE,FALSE)</formula>
    </cfRule>
    <cfRule type="containsText" dxfId="788" priority="629" operator="containsText" text="P">
      <formula>NOT(ISERROR(SEARCH("P",AD191)))</formula>
    </cfRule>
    <cfRule type="containsText" dxfId="787" priority="630" operator="containsText" text="K">
      <formula>NOT(ISERROR(SEARCH("K",AD191)))</formula>
    </cfRule>
  </conditionalFormatting>
  <conditionalFormatting sqref="AD25:AG25">
    <cfRule type="expression" dxfId="786" priority="625" stopIfTrue="1">
      <formula>IF(WEEKDAY(AD$8)=1,TRUE,FALSE)</formula>
    </cfRule>
    <cfRule type="containsText" dxfId="785" priority="626" operator="containsText" text="P">
      <formula>NOT(ISERROR(SEARCH("P",AD25)))</formula>
    </cfRule>
    <cfRule type="containsText" dxfId="784" priority="627" operator="containsText" text="K">
      <formula>NOT(ISERROR(SEARCH("K",AD25)))</formula>
    </cfRule>
  </conditionalFormatting>
  <conditionalFormatting sqref="AD189:AG190">
    <cfRule type="expression" dxfId="783" priority="622" stopIfTrue="1">
      <formula>IF(WEEKDAY(AD$8)=1,TRUE,FALSE)</formula>
    </cfRule>
    <cfRule type="containsText" dxfId="782" priority="623" operator="containsText" text="P">
      <formula>NOT(ISERROR(SEARCH("P",AD189)))</formula>
    </cfRule>
    <cfRule type="containsText" dxfId="781" priority="624" operator="containsText" text="K">
      <formula>NOT(ISERROR(SEARCH("K",AD189)))</formula>
    </cfRule>
  </conditionalFormatting>
  <conditionalFormatting sqref="AD18:AH18">
    <cfRule type="expression" dxfId="780" priority="621" stopIfTrue="1">
      <formula>IF(WEEKDAY(AD$8)=1,TRUE,FALSE)</formula>
    </cfRule>
  </conditionalFormatting>
  <conditionalFormatting sqref="AD181:AH182">
    <cfRule type="expression" dxfId="779" priority="618" stopIfTrue="1">
      <formula>IF(WEEKDAY(AD$8)=1,TRUE,FALSE)</formula>
    </cfRule>
    <cfRule type="containsText" dxfId="778" priority="619" operator="containsText" text="P">
      <formula>NOT(ISERROR(SEARCH("P",AD181)))</formula>
    </cfRule>
    <cfRule type="containsText" dxfId="777" priority="620" operator="containsText" text="K">
      <formula>NOT(ISERROR(SEARCH("K",AD181)))</formula>
    </cfRule>
  </conditionalFormatting>
  <conditionalFormatting sqref="AD185:AH185 AD186:AG186 AD187:AH187">
    <cfRule type="expression" dxfId="776" priority="615" stopIfTrue="1">
      <formula>IF(WEEKDAY(AD$8)=1,TRUE,FALSE)</formula>
    </cfRule>
    <cfRule type="containsText" dxfId="775" priority="616" operator="containsText" text="P">
      <formula>NOT(ISERROR(SEARCH("P",AD185)))</formula>
    </cfRule>
    <cfRule type="containsText" dxfId="774" priority="617" operator="containsText" text="K">
      <formula>NOT(ISERROR(SEARCH("K",AD185)))</formula>
    </cfRule>
  </conditionalFormatting>
  <conditionalFormatting sqref="AD194:AH194">
    <cfRule type="expression" dxfId="773" priority="612" stopIfTrue="1">
      <formula>IF(WEEKDAY(AD$8)=1,TRUE,FALSE)</formula>
    </cfRule>
    <cfRule type="containsText" dxfId="772" priority="613" operator="containsText" text="P">
      <formula>NOT(ISERROR(SEARCH("P",AD194)))</formula>
    </cfRule>
    <cfRule type="containsText" dxfId="771" priority="614" operator="containsText" text="K">
      <formula>NOT(ISERROR(SEARCH("K",AD194)))</formula>
    </cfRule>
  </conditionalFormatting>
  <conditionalFormatting sqref="AD199:AH201">
    <cfRule type="expression" dxfId="770" priority="609" stopIfTrue="1">
      <formula>IF(WEEKDAY(AD$8)=1,TRUE,FALSE)</formula>
    </cfRule>
    <cfRule type="containsText" dxfId="769" priority="610" operator="containsText" text="P">
      <formula>NOT(ISERROR(SEARCH("P",AD199)))</formula>
    </cfRule>
    <cfRule type="containsText" dxfId="768" priority="611" operator="containsText" text="K">
      <formula>NOT(ISERROR(SEARCH("K",AD199)))</formula>
    </cfRule>
  </conditionalFormatting>
  <conditionalFormatting sqref="AD203:AH203 AD204:AG206 AD207:AH208 AD211:AG213 AD214:AH215">
    <cfRule type="expression" dxfId="767" priority="606" stopIfTrue="1">
      <formula>IF(WEEKDAY(AD$8)=1,TRUE,FALSE)</formula>
    </cfRule>
    <cfRule type="containsText" dxfId="766" priority="607" operator="containsText" text="P">
      <formula>NOT(ISERROR(SEARCH("P",AD203)))</formula>
    </cfRule>
    <cfRule type="containsText" dxfId="765" priority="608" operator="containsText" text="K">
      <formula>NOT(ISERROR(SEARCH("K",AD203)))</formula>
    </cfRule>
  </conditionalFormatting>
  <conditionalFormatting sqref="AD195:AI195">
    <cfRule type="expression" dxfId="764" priority="603" stopIfTrue="1">
      <formula>IF(WEEKDAY(AD$8)=1,TRUE,FALSE)</formula>
    </cfRule>
    <cfRule type="containsText" dxfId="763" priority="604" operator="containsText" text="P">
      <formula>NOT(ISERROR(SEARCH("P",AD195)))</formula>
    </cfRule>
    <cfRule type="containsText" dxfId="762" priority="605" operator="containsText" text="K">
      <formula>NOT(ISERROR(SEARCH("K",AD195)))</formula>
    </cfRule>
  </conditionalFormatting>
  <conditionalFormatting sqref="AE180 AB180:AC181 AB185 AB187:AC187 AB190:AC190 Z193 Y180">
    <cfRule type="containsText" dxfId="761" priority="602" operator="containsText" text="P">
      <formula>NOT(ISERROR(SEARCH("P",Y180)))</formula>
    </cfRule>
  </conditionalFormatting>
  <conditionalFormatting sqref="AE180 AB180:AC181 AB185 AB187:AC187 AB190:AC190 Z193">
    <cfRule type="containsText" dxfId="760" priority="601" operator="containsText" text="K">
      <formula>NOT(ISERROR(SEARCH("K",Z180)))</formula>
    </cfRule>
  </conditionalFormatting>
  <conditionalFormatting sqref="AE188:AF188">
    <cfRule type="containsText" dxfId="759" priority="598" operator="containsText" text="P">
      <formula>NOT(ISERROR(SEARCH(("P"),(AE188))))</formula>
    </cfRule>
    <cfRule type="containsText" dxfId="758" priority="599" operator="containsText" text="K">
      <formula>NOT(ISERROR(SEARCH(("K"),(AE188))))</formula>
    </cfRule>
    <cfRule type="expression" dxfId="757" priority="600" stopIfTrue="1">
      <formula>IF(WEEKDAY(AE$8)=1,TRUE,FALSE)</formula>
    </cfRule>
  </conditionalFormatting>
  <conditionalFormatting sqref="AE20:AI21">
    <cfRule type="expression" dxfId="756" priority="595" stopIfTrue="1">
      <formula>IF(WEEKDAY(AE$8)=1,TRUE,FALSE)</formula>
    </cfRule>
    <cfRule type="containsText" dxfId="755" priority="596" operator="containsText" text="K">
      <formula>NOT(ISERROR(SEARCH("K",AE20)))</formula>
    </cfRule>
    <cfRule type="containsText" dxfId="754" priority="597" operator="containsText" text="P">
      <formula>NOT(ISERROR(SEARCH("P",AE20)))</formula>
    </cfRule>
  </conditionalFormatting>
  <conditionalFormatting sqref="AF45">
    <cfRule type="expression" dxfId="753" priority="594" stopIfTrue="1">
      <formula>IF(WEEKDAY(AF$8)=1,TRUE,FALSE)</formula>
    </cfRule>
  </conditionalFormatting>
  <conditionalFormatting sqref="AF47">
    <cfRule type="containsText" dxfId="752" priority="593" operator="containsText" text="K">
      <formula>NOT(ISERROR(SEARCH("K",AF47)))</formula>
    </cfRule>
  </conditionalFormatting>
  <conditionalFormatting sqref="AF78">
    <cfRule type="expression" dxfId="751" priority="592" stopIfTrue="1">
      <formula>IF(WEEKDAY(AF$8)=1,TRUE,FALSE)</formula>
    </cfRule>
  </conditionalFormatting>
  <conditionalFormatting sqref="AF78:AF79">
    <cfRule type="containsText" dxfId="750" priority="591" operator="containsText" text="K">
      <formula>NOT(ISERROR(SEARCH("K",AF78)))</formula>
    </cfRule>
  </conditionalFormatting>
  <conditionalFormatting sqref="AF141">
    <cfRule type="containsText" dxfId="749" priority="590" operator="containsText" text="K">
      <formula>NOT(ISERROR(SEARCH("K",AF141)))</formula>
    </cfRule>
  </conditionalFormatting>
  <conditionalFormatting sqref="AF144:AF145">
    <cfRule type="expression" dxfId="748" priority="588" stopIfTrue="1">
      <formula>IF(WEEKDAY(AF$8)=1,TRUE,FALSE)</formula>
    </cfRule>
    <cfRule type="containsText" dxfId="747" priority="589" operator="containsText" text="K">
      <formula>NOT(ISERROR(SEARCH("K",AF144)))</formula>
    </cfRule>
  </conditionalFormatting>
  <conditionalFormatting sqref="AF147:AF149">
    <cfRule type="containsText" dxfId="746" priority="586" operator="containsText" text="P">
      <formula>NOT(ISERROR(SEARCH("P",AF147)))</formula>
    </cfRule>
    <cfRule type="expression" dxfId="745" priority="587" stopIfTrue="1">
      <formula>IF(WEEKDAY(AF$8)=1,TRUE,FALSE)</formula>
    </cfRule>
  </conditionalFormatting>
  <conditionalFormatting sqref="AF151:AF153">
    <cfRule type="containsText" dxfId="744" priority="585" operator="containsText" text="P">
      <formula>NOT(ISERROR(SEARCH("P",AF151)))</formula>
    </cfRule>
  </conditionalFormatting>
  <conditionalFormatting sqref="AF183">
    <cfRule type="containsText" dxfId="743" priority="584" operator="containsText" text="P">
      <formula>NOT(ISERROR(SEARCH("P",AF183)))</formula>
    </cfRule>
  </conditionalFormatting>
  <conditionalFormatting sqref="AF202">
    <cfRule type="containsText" dxfId="742" priority="581" operator="containsText" text="P">
      <formula>NOT(ISERROR(SEARCH(("P"),(AF202))))</formula>
    </cfRule>
    <cfRule type="containsText" dxfId="741" priority="582" operator="containsText" text="K">
      <formula>NOT(ISERROR(SEARCH(("K"),(AF202))))</formula>
    </cfRule>
    <cfRule type="expression" dxfId="740" priority="583" stopIfTrue="1">
      <formula>IF(WEEKDAY(AF$8)=1,TRUE,FALSE)</formula>
    </cfRule>
  </conditionalFormatting>
  <conditionalFormatting sqref="AF141:AG141">
    <cfRule type="expression" dxfId="739" priority="580" stopIfTrue="1">
      <formula>IF(WEEKDAY(AF$8)=1,TRUE,FALSE)</formula>
    </cfRule>
  </conditionalFormatting>
  <conditionalFormatting sqref="AF184:AG184">
    <cfRule type="expression" dxfId="738" priority="577" stopIfTrue="1">
      <formula>IF(WEEKDAY(AF$8)=1,TRUE,FALSE)</formula>
    </cfRule>
    <cfRule type="containsText" dxfId="737" priority="578" operator="containsText" text="P">
      <formula>NOT(ISERROR(SEARCH("P",AF184)))</formula>
    </cfRule>
    <cfRule type="containsText" dxfId="736" priority="579" operator="containsText" text="K">
      <formula>NOT(ISERROR(SEARCH("K",AF184)))</formula>
    </cfRule>
  </conditionalFormatting>
  <conditionalFormatting sqref="AF197:AG197">
    <cfRule type="expression" dxfId="735" priority="574" stopIfTrue="1">
      <formula>IF(WEEKDAY(AF$8)=1,TRUE,FALSE)</formula>
    </cfRule>
    <cfRule type="containsText" dxfId="734" priority="575" operator="containsText" text="P">
      <formula>NOT(ISERROR(SEARCH("P",AF197)))</formula>
    </cfRule>
    <cfRule type="containsText" dxfId="733" priority="576" operator="containsText" text="K">
      <formula>NOT(ISERROR(SEARCH("K",AF197)))</formula>
    </cfRule>
  </conditionalFormatting>
  <conditionalFormatting sqref="AF14:AH14">
    <cfRule type="containsText" dxfId="732" priority="570" operator="containsText" text="P">
      <formula>NOT(ISERROR(SEARCH("P",AF14)))</formula>
    </cfRule>
    <cfRule type="expression" dxfId="731" priority="571" stopIfTrue="1">
      <formula>IF(WEEKDAY(AF$8)=1,TRUE,FALSE)</formula>
    </cfRule>
    <cfRule type="containsText" dxfId="730" priority="572" operator="containsText" text="K">
      <formula>NOT(ISERROR(SEARCH("K",AF14)))</formula>
    </cfRule>
    <cfRule type="containsText" dxfId="729" priority="573" operator="containsText" text="P">
      <formula>NOT(ISERROR(SEARCH("P",AF14)))</formula>
    </cfRule>
  </conditionalFormatting>
  <conditionalFormatting sqref="AF16:AH16">
    <cfRule type="containsText" dxfId="728" priority="565" operator="containsText" text="K">
      <formula>NOT(ISERROR(SEARCH("K",AF16)))</formula>
    </cfRule>
    <cfRule type="containsText" dxfId="727" priority="566" operator="containsText" text="P">
      <formula>NOT(ISERROR(SEARCH("P",AF16)))</formula>
    </cfRule>
    <cfRule type="expression" dxfId="726" priority="567" stopIfTrue="1">
      <formula>IF(WEEKDAY(AF$8)=1,TRUE,FALSE)</formula>
    </cfRule>
    <cfRule type="containsText" dxfId="725" priority="568" operator="containsText" text="P">
      <formula>NOT(ISERROR(SEARCH("P",AF16)))</formula>
    </cfRule>
    <cfRule type="containsText" dxfId="724" priority="569" operator="containsText" text="K">
      <formula>NOT(ISERROR(SEARCH("K",AF16)))</formula>
    </cfRule>
  </conditionalFormatting>
  <conditionalFormatting sqref="AF18:AH18">
    <cfRule type="containsText" dxfId="723" priority="563" operator="containsText" text="K">
      <formula>NOT(ISERROR(SEARCH("K",AF18)))</formula>
    </cfRule>
    <cfRule type="containsText" dxfId="722" priority="564" operator="containsText" text="P">
      <formula>NOT(ISERROR(SEARCH("P",AF18)))</formula>
    </cfRule>
  </conditionalFormatting>
  <conditionalFormatting sqref="AF45:AH45">
    <cfRule type="containsText" dxfId="721" priority="561" operator="containsText" text="P">
      <formula>NOT(ISERROR(SEARCH("P",AF45)))</formula>
    </cfRule>
    <cfRule type="containsText" dxfId="720" priority="562" operator="containsText" text="K">
      <formula>NOT(ISERROR(SEARCH("K",AF45)))</formula>
    </cfRule>
  </conditionalFormatting>
  <conditionalFormatting sqref="AF102:AH102">
    <cfRule type="containsText" dxfId="719" priority="560" operator="containsText" text="K">
      <formula>NOT(ISERROR(SEARCH("K",AF102)))</formula>
    </cfRule>
  </conditionalFormatting>
  <conditionalFormatting sqref="AF180:AH180">
    <cfRule type="expression" dxfId="718" priority="557" stopIfTrue="1">
      <formula>IF(WEEKDAY(AF$8)=1,TRUE,FALSE)</formula>
    </cfRule>
    <cfRule type="containsText" dxfId="717" priority="558" operator="containsText" text="P">
      <formula>NOT(ISERROR(SEARCH("P",AF180)))</formula>
    </cfRule>
    <cfRule type="containsText" dxfId="716" priority="559" operator="containsText" text="K">
      <formula>NOT(ISERROR(SEARCH("K",AF180)))</formula>
    </cfRule>
  </conditionalFormatting>
  <conditionalFormatting sqref="AF15:AI15">
    <cfRule type="containsText" dxfId="715" priority="554" operator="containsText" text="P">
      <formula>NOT(ISERROR(SEARCH("P",AF15)))</formula>
    </cfRule>
    <cfRule type="expression" dxfId="714" priority="555" stopIfTrue="1">
      <formula>IF(WEEKDAY(AF$8)=1,TRUE,FALSE)</formula>
    </cfRule>
    <cfRule type="containsText" dxfId="713" priority="556" operator="containsText" text="K">
      <formula>NOT(ISERROR(SEARCH("K",AF15)))</formula>
    </cfRule>
  </conditionalFormatting>
  <conditionalFormatting sqref="AF15:AI16">
    <cfRule type="containsText" dxfId="712" priority="553" operator="containsText" text="P">
      <formula>NOT(ISERROR(SEARCH("P",AF15)))</formula>
    </cfRule>
  </conditionalFormatting>
  <conditionalFormatting sqref="AF16:AI16">
    <cfRule type="expression" dxfId="711" priority="550" stopIfTrue="1">
      <formula>IF(WEEKDAY(AF$8)=1,TRUE,FALSE)</formula>
    </cfRule>
    <cfRule type="containsText" dxfId="710" priority="551" operator="containsText" text="P">
      <formula>NOT(ISERROR(SEARCH("P",AF16)))</formula>
    </cfRule>
    <cfRule type="containsText" dxfId="709" priority="552" operator="containsText" text="K">
      <formula>NOT(ISERROR(SEARCH("K",AF16)))</formula>
    </cfRule>
  </conditionalFormatting>
  <conditionalFormatting sqref="AF23:AI23 AI25">
    <cfRule type="containsText" dxfId="708" priority="547" operator="containsText" text="P">
      <formula>NOT(ISERROR(SEARCH(("P"),(AF23))))</formula>
    </cfRule>
    <cfRule type="containsText" dxfId="707" priority="548" operator="containsText" text="K">
      <formula>NOT(ISERROR(SEARCH(("K"),(AF23))))</formula>
    </cfRule>
    <cfRule type="expression" dxfId="706" priority="549" stopIfTrue="1">
      <formula>IF(WEEKDAY(AF$8)=1,TRUE,FALSE)</formula>
    </cfRule>
  </conditionalFormatting>
  <conditionalFormatting sqref="AF38:AI39">
    <cfRule type="containsText" dxfId="705" priority="546" operator="containsText" text="K">
      <formula>NOT(ISERROR(SEARCH("K",AF38)))</formula>
    </cfRule>
  </conditionalFormatting>
  <conditionalFormatting sqref="AF38:AI42">
    <cfRule type="expression" dxfId="704" priority="544" stopIfTrue="1">
      <formula>IF(WEEKDAY(AF$8)=1,TRUE,FALSE)</formula>
    </cfRule>
    <cfRule type="containsText" dxfId="703" priority="545" operator="containsText" text="P">
      <formula>NOT(ISERROR(SEARCH("P",AF38)))</formula>
    </cfRule>
  </conditionalFormatting>
  <conditionalFormatting sqref="AF44:AI44">
    <cfRule type="containsText" dxfId="702" priority="541" operator="containsText" text="K">
      <formula>NOT(ISERROR(SEARCH("K",AF44)))</formula>
    </cfRule>
    <cfRule type="expression" dxfId="701" priority="542" stopIfTrue="1">
      <formula>IF(WEEKDAY(AF$8)=1,TRUE,FALSE)</formula>
    </cfRule>
    <cfRule type="containsText" dxfId="700" priority="543" operator="containsText" text="P">
      <formula>NOT(ISERROR(SEARCH("P",AF44)))</formula>
    </cfRule>
  </conditionalFormatting>
  <conditionalFormatting sqref="AF46:AI46">
    <cfRule type="containsText" dxfId="699" priority="536" operator="containsText" text="P">
      <formula>NOT(ISERROR(SEARCH("P",AF46)))</formula>
    </cfRule>
    <cfRule type="expression" dxfId="698" priority="537" stopIfTrue="1">
      <formula>IF(WEEKDAY(AF$8)=1,TRUE,FALSE)</formula>
    </cfRule>
    <cfRule type="containsText" dxfId="697" priority="538" operator="containsText" text="P">
      <formula>NOT(ISERROR(SEARCH("P",AF46)))</formula>
    </cfRule>
    <cfRule type="containsText" dxfId="696" priority="539" operator="containsText" text="K">
      <formula>NOT(ISERROR(SEARCH("K",AF46)))</formula>
    </cfRule>
    <cfRule type="expression" dxfId="695" priority="540" stopIfTrue="1">
      <formula>IF(WEEKDAY(AF$8)=1,TRUE,FALSE)</formula>
    </cfRule>
  </conditionalFormatting>
  <conditionalFormatting sqref="AF47:AI47">
    <cfRule type="expression" dxfId="694" priority="534" stopIfTrue="1">
      <formula>IF(WEEKDAY(AF$8)=1,TRUE,FALSE)</formula>
    </cfRule>
    <cfRule type="containsText" dxfId="693" priority="535" operator="containsText" text="P">
      <formula>NOT(ISERROR(SEARCH("P",AF47)))</formula>
    </cfRule>
  </conditionalFormatting>
  <conditionalFormatting sqref="AF48:AI48 Y48">
    <cfRule type="containsText" dxfId="692" priority="533" operator="containsText" text="K">
      <formula>NOT(ISERROR(SEARCH("K",Y48)))</formula>
    </cfRule>
  </conditionalFormatting>
  <conditionalFormatting sqref="AF48:AI48">
    <cfRule type="containsText" dxfId="691" priority="530" operator="containsText" text="P">
      <formula>NOT(ISERROR(SEARCH("P",AF48)))</formula>
    </cfRule>
    <cfRule type="expression" dxfId="690" priority="531" stopIfTrue="1">
      <formula>IF(WEEKDAY(AF$8)=1,TRUE,FALSE)</formula>
    </cfRule>
    <cfRule type="containsText" dxfId="689" priority="532" operator="containsText" text="P">
      <formula>NOT(ISERROR(SEARCH("P",AF48)))</formula>
    </cfRule>
  </conditionalFormatting>
  <conditionalFormatting sqref="AF50:AI50">
    <cfRule type="containsText" dxfId="688" priority="527" operator="containsText" text="P">
      <formula>NOT(ISERROR(SEARCH("P",AF50)))</formula>
    </cfRule>
    <cfRule type="containsText" dxfId="687" priority="528" operator="containsText" text="K">
      <formula>NOT(ISERROR(SEARCH("K",AF50)))</formula>
    </cfRule>
    <cfRule type="expression" dxfId="686" priority="529" stopIfTrue="1">
      <formula>IF(WEEKDAY(AF$8)=1,TRUE,FALSE)</formula>
    </cfRule>
  </conditionalFormatting>
  <conditionalFormatting sqref="AF50:AI76">
    <cfRule type="expression" dxfId="685" priority="526" stopIfTrue="1">
      <formula>IF(WEEKDAY(AF$8)=1,TRUE,FALSE)</formula>
    </cfRule>
  </conditionalFormatting>
  <conditionalFormatting sqref="AF51:AI76">
    <cfRule type="containsText" dxfId="684" priority="524" operator="containsText" text="P">
      <formula>NOT(ISERROR(SEARCH("P",AF51)))</formula>
    </cfRule>
    <cfRule type="containsText" dxfId="683" priority="525" operator="containsText" text="K">
      <formula>NOT(ISERROR(SEARCH("K",AF51)))</formula>
    </cfRule>
  </conditionalFormatting>
  <conditionalFormatting sqref="AF51:AI77">
    <cfRule type="expression" dxfId="682" priority="523" stopIfTrue="1">
      <formula>IF(WEEKDAY(AF$8)=1,TRUE,FALSE)</formula>
    </cfRule>
  </conditionalFormatting>
  <conditionalFormatting sqref="AF75:AI77">
    <cfRule type="containsText" dxfId="681" priority="522" operator="containsText" text="P">
      <formula>NOT(ISERROR(SEARCH("P",AF75)))</formula>
    </cfRule>
  </conditionalFormatting>
  <conditionalFormatting sqref="AF77:AI77">
    <cfRule type="containsText" dxfId="680" priority="519" operator="containsText" text="P">
      <formula>NOT(ISERROR(SEARCH("P",AF77)))</formula>
    </cfRule>
    <cfRule type="expression" dxfId="679" priority="520" stopIfTrue="1">
      <formula>IF(WEEKDAY(AF$8)=1,TRUE,FALSE)</formula>
    </cfRule>
    <cfRule type="containsText" dxfId="678" priority="521" operator="containsText" text="K">
      <formula>NOT(ISERROR(SEARCH("K",AF77)))</formula>
    </cfRule>
  </conditionalFormatting>
  <conditionalFormatting sqref="AF78:AI79">
    <cfRule type="containsText" dxfId="677" priority="518" operator="containsText" text="P">
      <formula>NOT(ISERROR(SEARCH("P",AF78)))</formula>
    </cfRule>
  </conditionalFormatting>
  <conditionalFormatting sqref="AF79:AI79">
    <cfRule type="expression" dxfId="676" priority="517" stopIfTrue="1">
      <formula>IF(WEEKDAY(AF$8)=1,TRUE,FALSE)</formula>
    </cfRule>
  </conditionalFormatting>
  <conditionalFormatting sqref="AF80:AI81 AG82:AI83">
    <cfRule type="containsText" dxfId="675" priority="512" operator="containsText" text="P">
      <formula>NOT(ISERROR(SEARCH("P",AF80)))</formula>
    </cfRule>
    <cfRule type="expression" dxfId="674" priority="513" stopIfTrue="1">
      <formula>IF(WEEKDAY(AF$8)=1,TRUE,FALSE)</formula>
    </cfRule>
    <cfRule type="containsText" dxfId="673" priority="514" operator="containsText" text="P">
      <formula>NOT(ISERROR(SEARCH("P",AF80)))</formula>
    </cfRule>
    <cfRule type="containsText" dxfId="672" priority="515" operator="containsText" text="K">
      <formula>NOT(ISERROR(SEARCH("K",AF80)))</formula>
    </cfRule>
    <cfRule type="expression" dxfId="671" priority="516" stopIfTrue="1">
      <formula>IF(WEEKDAY(AF$8)=1,TRUE,FALSE)</formula>
    </cfRule>
  </conditionalFormatting>
  <conditionalFormatting sqref="AF97:AI98">
    <cfRule type="expression" dxfId="670" priority="511" stopIfTrue="1">
      <formula>IF(WEEKDAY(AF$8)=1,TRUE,FALSE)</formula>
    </cfRule>
  </conditionalFormatting>
  <conditionalFormatting sqref="AF15:AJ15 U15 G15 N15">
    <cfRule type="expression" dxfId="669" priority="510" stopIfTrue="1">
      <formula>IF(WEEKDAY(G$8)=1,TRUE,FALSE)</formula>
    </cfRule>
  </conditionalFormatting>
  <conditionalFormatting sqref="AF16:AJ16 G16:U16">
    <cfRule type="expression" dxfId="668" priority="509" stopIfTrue="1">
      <formula>IF(WEEKDAY(G$8)=1,TRUE,FALSE)</formula>
    </cfRule>
  </conditionalFormatting>
  <conditionalFormatting sqref="AF38:AJ42">
    <cfRule type="expression" dxfId="667" priority="508" stopIfTrue="1">
      <formula>IF(WEEKDAY(AF$8)=1,TRUE,FALSE)</formula>
    </cfRule>
  </conditionalFormatting>
  <conditionalFormatting sqref="AF99:AJ102">
    <cfRule type="expression" dxfId="666" priority="507" stopIfTrue="1">
      <formula>IF(WEEKDAY(AF$8)=1,TRUE,FALSE)</formula>
    </cfRule>
  </conditionalFormatting>
  <conditionalFormatting sqref="AF102:AJ102">
    <cfRule type="containsText" dxfId="665" priority="506" operator="containsText" text="P">
      <formula>NOT(ISERROR(SEARCH("P",AF102)))</formula>
    </cfRule>
  </conditionalFormatting>
  <conditionalFormatting sqref="AG142">
    <cfRule type="expression" dxfId="664" priority="498" stopIfTrue="1">
      <formula>IF(WEEKDAY(AG$8)=1,TRUE,FALSE)</formula>
    </cfRule>
    <cfRule type="containsText" dxfId="663" priority="499" operator="containsText" text="P">
      <formula>NOT(ISERROR(SEARCH("P",AG142)))</formula>
    </cfRule>
    <cfRule type="containsText" dxfId="662" priority="500" operator="containsText" text="K">
      <formula>NOT(ISERROR(SEARCH("K",AG142)))</formula>
    </cfRule>
    <cfRule type="expression" dxfId="661" priority="501" stopIfTrue="1">
      <formula>IF(WEEKDAY(AG$8)=1,TRUE,FALSE)</formula>
    </cfRule>
    <cfRule type="containsText" dxfId="660" priority="502" operator="containsText" text="P">
      <formula>NOT(ISERROR(SEARCH("P",AG142)))</formula>
    </cfRule>
    <cfRule type="expression" dxfId="659" priority="503" stopIfTrue="1">
      <formula>IF(WEEKDAY(AG$8)=1,TRUE,FALSE)</formula>
    </cfRule>
    <cfRule type="containsText" dxfId="658" priority="504" operator="containsText" text="P">
      <formula>NOT(ISERROR(SEARCH("P",AG142)))</formula>
    </cfRule>
    <cfRule type="containsText" dxfId="657" priority="505" operator="containsText" text="K">
      <formula>NOT(ISERROR(SEARCH("K",AG142)))</formula>
    </cfRule>
  </conditionalFormatting>
  <conditionalFormatting sqref="AG144">
    <cfRule type="expression" dxfId="656" priority="497" stopIfTrue="1">
      <formula>IF(WEEKDAY(AG$8)=1,TRUE,FALSE)</formula>
    </cfRule>
  </conditionalFormatting>
  <conditionalFormatting sqref="AG144:AG145">
    <cfRule type="containsText" dxfId="655" priority="495" operator="containsText" text="P">
      <formula>NOT(ISERROR(SEARCH("P",AG144)))</formula>
    </cfRule>
    <cfRule type="containsText" dxfId="654" priority="496" operator="containsText" text="K">
      <formula>NOT(ISERROR(SEARCH("K",AG144)))</formula>
    </cfRule>
  </conditionalFormatting>
  <conditionalFormatting sqref="AG147">
    <cfRule type="expression" dxfId="653" priority="489" stopIfTrue="1">
      <formula>IF(WEEKDAY(AG$8)=1,TRUE,FALSE)</formula>
    </cfRule>
    <cfRule type="containsText" dxfId="652" priority="490" operator="containsText" text="K">
      <formula>NOT(ISERROR(SEARCH("K",AG147)))</formula>
    </cfRule>
    <cfRule type="containsText" dxfId="651" priority="491" operator="containsText" text="P">
      <formula>NOT(ISERROR(SEARCH("P",AG147)))</formula>
    </cfRule>
    <cfRule type="expression" dxfId="650" priority="492" stopIfTrue="1">
      <formula>IF(WEEKDAY(AG$8)=1,TRUE,FALSE)</formula>
    </cfRule>
    <cfRule type="containsText" dxfId="649" priority="493" operator="containsText" text="P">
      <formula>NOT(ISERROR(SEARCH("P",AG147)))</formula>
    </cfRule>
    <cfRule type="containsText" dxfId="648" priority="494" operator="containsText" text="K">
      <formula>NOT(ISERROR(SEARCH("K",AG147)))</formula>
    </cfRule>
  </conditionalFormatting>
  <conditionalFormatting sqref="AG147:AG149">
    <cfRule type="containsText" dxfId="647" priority="488" operator="containsText" text="K">
      <formula>NOT(ISERROR(SEARCH("K",AG147)))</formula>
    </cfRule>
  </conditionalFormatting>
  <conditionalFormatting sqref="AG148:AG149">
    <cfRule type="expression" dxfId="646" priority="483" stopIfTrue="1">
      <formula>IF(WEEKDAY(AG$8)=1,TRUE,FALSE)</formula>
    </cfRule>
    <cfRule type="containsText" dxfId="645" priority="484" operator="containsText" text="K">
      <formula>NOT(ISERROR(SEARCH("K",AG148)))</formula>
    </cfRule>
    <cfRule type="containsText" dxfId="644" priority="485" operator="containsText" text="P">
      <formula>NOT(ISERROR(SEARCH("P",AG148)))</formula>
    </cfRule>
    <cfRule type="expression" dxfId="643" priority="486" stopIfTrue="1">
      <formula>IF(WEEKDAY(AG$8)=1,TRUE,FALSE)</formula>
    </cfRule>
    <cfRule type="containsText" dxfId="642" priority="487" operator="containsText" text="P">
      <formula>NOT(ISERROR(SEARCH("P",AG148)))</formula>
    </cfRule>
  </conditionalFormatting>
  <conditionalFormatting sqref="AG151">
    <cfRule type="containsText" dxfId="641" priority="481" operator="containsText" text="K">
      <formula>NOT(ISERROR(SEARCH("K",AG151)))</formula>
    </cfRule>
    <cfRule type="expression" dxfId="640" priority="482" stopIfTrue="1">
      <formula>IF(WEEKDAY(AG$8)=1,TRUE,FALSE)</formula>
    </cfRule>
  </conditionalFormatting>
  <conditionalFormatting sqref="AG153 AG154:AI155">
    <cfRule type="expression" dxfId="639" priority="480" stopIfTrue="1">
      <formula>IF(WEEKDAY(AG$8)=1,TRUE,FALSE)</formula>
    </cfRule>
  </conditionalFormatting>
  <conditionalFormatting sqref="AG188">
    <cfRule type="expression" dxfId="638" priority="477" stopIfTrue="1">
      <formula>IF(WEEKDAY(AG$8)=1,TRUE,FALSE)</formula>
    </cfRule>
    <cfRule type="containsText" dxfId="637" priority="478" operator="containsText" text="P">
      <formula>NOT(ISERROR(SEARCH("P",AG188)))</formula>
    </cfRule>
    <cfRule type="containsText" dxfId="636" priority="479" operator="containsText" text="K">
      <formula>NOT(ISERROR(SEARCH("K",AG188)))</formula>
    </cfRule>
  </conditionalFormatting>
  <conditionalFormatting sqref="AG198">
    <cfRule type="expression" dxfId="635" priority="474" stopIfTrue="1">
      <formula>IF(WEEKDAY(AG$8)=1,TRUE,FALSE)</formula>
    </cfRule>
    <cfRule type="containsText" dxfId="634" priority="475" operator="containsText" text="P">
      <formula>NOT(ISERROR(SEARCH("P",AG198)))</formula>
    </cfRule>
    <cfRule type="containsText" dxfId="633" priority="476" operator="containsText" text="K">
      <formula>NOT(ISERROR(SEARCH("K",AG198)))</formula>
    </cfRule>
  </conditionalFormatting>
  <conditionalFormatting sqref="AG218 AI218">
    <cfRule type="expression" dxfId="632" priority="471" stopIfTrue="1">
      <formula>IF(WEEKDAY(AG$8)=1,TRUE,FALSE)</formula>
    </cfRule>
    <cfRule type="containsText" dxfId="631" priority="472" operator="containsText" text="P">
      <formula>NOT(ISERROR(SEARCH("P",AG218)))</formula>
    </cfRule>
    <cfRule type="containsText" dxfId="630" priority="473" operator="containsText" text="K">
      <formula>NOT(ISERROR(SEARCH("K",AG218)))</formula>
    </cfRule>
  </conditionalFormatting>
  <conditionalFormatting sqref="AG226">
    <cfRule type="expression" dxfId="629" priority="470" stopIfTrue="1">
      <formula>IF(WEEKDAY(AG$8)=1,TRUE,FALSE)</formula>
    </cfRule>
  </conditionalFormatting>
  <conditionalFormatting sqref="AG227 AI227">
    <cfRule type="expression" dxfId="628" priority="469" stopIfTrue="1">
      <formula>IF(WEEKDAY(AG$8)=1,TRUE,FALSE)</formula>
    </cfRule>
  </conditionalFormatting>
  <conditionalFormatting sqref="AG19:AH19">
    <cfRule type="expression" dxfId="627" priority="468" stopIfTrue="1">
      <formula>IF(WEEKDAY(AG$8)=1,TRUE,FALSE)</formula>
    </cfRule>
  </conditionalFormatting>
  <conditionalFormatting sqref="AG45:AH45">
    <cfRule type="expression" dxfId="626" priority="467" stopIfTrue="1">
      <formula>IF(WEEKDAY(AG$8)=1,TRUE,FALSE)</formula>
    </cfRule>
  </conditionalFormatting>
  <conditionalFormatting sqref="AG92:AH92">
    <cfRule type="containsText" dxfId="625" priority="465" operator="containsText" text="K">
      <formula>NOT(ISERROR(SEARCH("K",AG92)))</formula>
    </cfRule>
    <cfRule type="containsText" dxfId="624" priority="466" operator="containsText" text="P">
      <formula>NOT(ISERROR(SEARCH("P",AG92)))</formula>
    </cfRule>
  </conditionalFormatting>
  <conditionalFormatting sqref="AG93:AH94">
    <cfRule type="containsText" dxfId="623" priority="463" operator="containsText" text="K">
      <formula>NOT(ISERROR(SEARCH("K",AG93)))</formula>
    </cfRule>
    <cfRule type="expression" dxfId="622" priority="464" stopIfTrue="1">
      <formula>IF(WEEKDAY(AG$8)=1,TRUE,FALSE)</formula>
    </cfRule>
  </conditionalFormatting>
  <conditionalFormatting sqref="AG151:AH151">
    <cfRule type="containsText" dxfId="621" priority="462" operator="containsText" text="P">
      <formula>NOT(ISERROR(SEARCH("P",AG151)))</formula>
    </cfRule>
  </conditionalFormatting>
  <conditionalFormatting sqref="AG153:AH153">
    <cfRule type="containsText" dxfId="620" priority="461" operator="containsText" text="K">
      <formula>NOT(ISERROR(SEARCH("K",AG153)))</formula>
    </cfRule>
  </conditionalFormatting>
  <conditionalFormatting sqref="AG156:AH159 AG160:AI160">
    <cfRule type="expression" dxfId="619" priority="460" stopIfTrue="1">
      <formula>IF(WEEKDAY(AG$8)=1,TRUE,FALSE)</formula>
    </cfRule>
  </conditionalFormatting>
  <conditionalFormatting sqref="AG169:AH169">
    <cfRule type="containsText" dxfId="618" priority="459" operator="containsText" text="K">
      <formula>NOT(ISERROR(SEARCH("K",AG169)))</formula>
    </cfRule>
  </conditionalFormatting>
  <conditionalFormatting sqref="AG169:AH170">
    <cfRule type="expression" dxfId="617" priority="458" stopIfTrue="1">
      <formula>IF(WEEKDAY(AG$8)=1,TRUE,FALSE)</formula>
    </cfRule>
  </conditionalFormatting>
  <conditionalFormatting sqref="AG170:AH170">
    <cfRule type="containsText" dxfId="616" priority="457" operator="containsText" text="P">
      <formula>NOT(ISERROR(SEARCH("P",AG170)))</formula>
    </cfRule>
  </conditionalFormatting>
  <conditionalFormatting sqref="AG170:AH171">
    <cfRule type="expression" dxfId="615" priority="456" stopIfTrue="1">
      <formula>IF(WEEKDAY(AG$8)=1,TRUE,FALSE)</formula>
    </cfRule>
  </conditionalFormatting>
  <conditionalFormatting sqref="AG170:AH177">
    <cfRule type="containsText" dxfId="614" priority="455" operator="containsText" text="K">
      <formula>NOT(ISERROR(SEARCH("K",AG170)))</formula>
    </cfRule>
  </conditionalFormatting>
  <conditionalFormatting sqref="AG171:AH172">
    <cfRule type="expression" dxfId="613" priority="453" stopIfTrue="1">
      <formula>IF(WEEKDAY(AG$8)=1,TRUE,FALSE)</formula>
    </cfRule>
    <cfRule type="containsText" dxfId="612" priority="454" operator="containsText" text="P">
      <formula>NOT(ISERROR(SEARCH("P",AG171)))</formula>
    </cfRule>
  </conditionalFormatting>
  <conditionalFormatting sqref="AG172:AH177">
    <cfRule type="expression" dxfId="611" priority="451" stopIfTrue="1">
      <formula>IF(WEEKDAY(AG$8)=1,TRUE,FALSE)</formula>
    </cfRule>
    <cfRule type="containsText" dxfId="610" priority="452" operator="containsText" text="P">
      <formula>NOT(ISERROR(SEARCH("P",AG172)))</formula>
    </cfRule>
  </conditionalFormatting>
  <conditionalFormatting sqref="AG173:AH177">
    <cfRule type="expression" dxfId="609" priority="449" stopIfTrue="1">
      <formula>IF(WEEKDAY(AG$8)=1,TRUE,FALSE)</formula>
    </cfRule>
    <cfRule type="containsText" dxfId="608" priority="450" operator="containsText" text="P">
      <formula>NOT(ISERROR(SEARCH("P",AG173)))</formula>
    </cfRule>
  </conditionalFormatting>
  <conditionalFormatting sqref="AG183:AH183">
    <cfRule type="expression" dxfId="607" priority="446" stopIfTrue="1">
      <formula>IF(WEEKDAY(AG$8)=1,TRUE,FALSE)</formula>
    </cfRule>
    <cfRule type="containsText" dxfId="606" priority="447" operator="containsText" text="P">
      <formula>NOT(ISERROR(SEARCH("P",AG183)))</formula>
    </cfRule>
    <cfRule type="containsText" dxfId="605" priority="448" operator="containsText" text="K">
      <formula>NOT(ISERROR(SEARCH("K",AG183)))</formula>
    </cfRule>
  </conditionalFormatting>
  <conditionalFormatting sqref="AG202:AH202">
    <cfRule type="expression" dxfId="604" priority="443" stopIfTrue="1">
      <formula>IF(WEEKDAY(AG$8)=1,TRUE,FALSE)</formula>
    </cfRule>
    <cfRule type="containsText" dxfId="603" priority="444" operator="containsText" text="P">
      <formula>NOT(ISERROR(SEARCH("P",AG202)))</formula>
    </cfRule>
    <cfRule type="containsText" dxfId="602" priority="445" operator="containsText" text="K">
      <formula>NOT(ISERROR(SEARCH("K",AG202)))</formula>
    </cfRule>
  </conditionalFormatting>
  <conditionalFormatting sqref="AG224:AH224">
    <cfRule type="containsText" dxfId="601" priority="438" operator="containsText" text="P">
      <formula>NOT(ISERROR(SEARCH("P",AG224)))</formula>
    </cfRule>
    <cfRule type="containsText" dxfId="600" priority="439" operator="containsText" text="K">
      <formula>NOT(ISERROR(SEARCH("K",AG224)))</formula>
    </cfRule>
    <cfRule type="containsText" dxfId="599" priority="440" operator="containsText" text="P">
      <formula>NOT(ISERROR(SEARCH("P",AG224)))</formula>
    </cfRule>
    <cfRule type="containsText" dxfId="598" priority="441" operator="containsText" text="K">
      <formula>NOT(ISERROR(SEARCH("K",AG224)))</formula>
    </cfRule>
    <cfRule type="expression" dxfId="597" priority="442" stopIfTrue="1">
      <formula>IF(WEEKDAY(AL$8)=1,TRUE,FALSE)</formula>
    </cfRule>
  </conditionalFormatting>
  <conditionalFormatting sqref="AG226:AH226">
    <cfRule type="containsText" dxfId="596" priority="436" operator="containsText" text="P">
      <formula>NOT(ISERROR(SEARCH("P",AG226)))</formula>
    </cfRule>
    <cfRule type="containsText" dxfId="595" priority="437" operator="containsText" text="K">
      <formula>NOT(ISERROR(SEARCH("K",AG226)))</formula>
    </cfRule>
  </conditionalFormatting>
  <conditionalFormatting sqref="AG44:AI44">
    <cfRule type="containsText" dxfId="594" priority="435" operator="containsText" text="P">
      <formula>NOT(ISERROR(SEARCH("P",AG44)))</formula>
    </cfRule>
  </conditionalFormatting>
  <conditionalFormatting sqref="AG47:AI47">
    <cfRule type="containsText" dxfId="593" priority="433" operator="containsText" text="P">
      <formula>NOT(ISERROR(SEARCH("P",AG47)))</formula>
    </cfRule>
    <cfRule type="containsText" dxfId="592" priority="434" operator="containsText" text="K">
      <formula>NOT(ISERROR(SEARCH("K",AG47)))</formula>
    </cfRule>
  </conditionalFormatting>
  <conditionalFormatting sqref="AG78:AI78">
    <cfRule type="expression" dxfId="591" priority="432" stopIfTrue="1">
      <formula>IF(WEEKDAY(AG$8)=1,TRUE,FALSE)</formula>
    </cfRule>
  </conditionalFormatting>
  <conditionalFormatting sqref="AG78:AI79">
    <cfRule type="containsText" dxfId="590" priority="431" operator="containsText" text="K">
      <formula>NOT(ISERROR(SEARCH("K",AG78)))</formula>
    </cfRule>
  </conditionalFormatting>
  <conditionalFormatting sqref="AG84:AI84">
    <cfRule type="containsText" dxfId="589" priority="428" operator="containsText" text="P">
      <formula>NOT(ISERROR(SEARCH(("P"),(AG84))))</formula>
    </cfRule>
    <cfRule type="containsText" dxfId="588" priority="429" operator="containsText" text="K">
      <formula>NOT(ISERROR(SEARCH(("K"),(AG84))))</formula>
    </cfRule>
    <cfRule type="expression" dxfId="587" priority="430" stopIfTrue="1">
      <formula>IF(WEEKDAY(AG$8)=1,TRUE,FALSE)</formula>
    </cfRule>
  </conditionalFormatting>
  <conditionalFormatting sqref="AG85:AI85">
    <cfRule type="containsText" dxfId="586" priority="426" operator="containsText" text="K">
      <formula>NOT(ISERROR(SEARCH("K",AG85)))</formula>
    </cfRule>
    <cfRule type="expression" dxfId="585" priority="427" stopIfTrue="1">
      <formula>IF(WEEKDAY(AG$8)=1,TRUE,FALSE)</formula>
    </cfRule>
  </conditionalFormatting>
  <conditionalFormatting sqref="AG86:AI87 AG89:AI89">
    <cfRule type="containsText" dxfId="584" priority="425" operator="containsText" text="P">
      <formula>NOT(ISERROR(SEARCH("P",AG86)))</formula>
    </cfRule>
  </conditionalFormatting>
  <conditionalFormatting sqref="AG86:AI87 AG95:AI96">
    <cfRule type="expression" dxfId="583" priority="424" stopIfTrue="1">
      <formula>IF(WEEKDAY(AG$8)=1,TRUE,FALSE)</formula>
    </cfRule>
  </conditionalFormatting>
  <conditionalFormatting sqref="AG86:AI87">
    <cfRule type="containsText" dxfId="582" priority="422" operator="containsText" text="P">
      <formula>NOT(ISERROR(SEARCH("P",AG86)))</formula>
    </cfRule>
    <cfRule type="containsText" dxfId="581" priority="423" operator="containsText" text="K">
      <formula>NOT(ISERROR(SEARCH("K",AG86)))</formula>
    </cfRule>
  </conditionalFormatting>
  <conditionalFormatting sqref="AG86:AI88">
    <cfRule type="expression" dxfId="580" priority="421" stopIfTrue="1">
      <formula>IF(WEEKDAY(AG$8)=1,TRUE,FALSE)</formula>
    </cfRule>
  </conditionalFormatting>
  <conditionalFormatting sqref="AG89:AI89">
    <cfRule type="expression" dxfId="579" priority="417" stopIfTrue="1">
      <formula>IF(WEEKDAY(AG$8)=1,TRUE,FALSE)</formula>
    </cfRule>
    <cfRule type="containsText" dxfId="578" priority="418" operator="containsText" text="P">
      <formula>NOT(ISERROR(SEARCH("P",AG89)))</formula>
    </cfRule>
    <cfRule type="containsText" dxfId="577" priority="419" operator="containsText" text="K">
      <formula>NOT(ISERROR(SEARCH("K",AG89)))</formula>
    </cfRule>
    <cfRule type="expression" dxfId="576" priority="420" stopIfTrue="1">
      <formula>IF(WEEKDAY(AG$8)=1,TRUE,FALSE)</formula>
    </cfRule>
  </conditionalFormatting>
  <conditionalFormatting sqref="AG90:AI90">
    <cfRule type="expression" dxfId="575" priority="415" stopIfTrue="1">
      <formula>IF(WEEKDAY(AG$8)=1,TRUE,FALSE)</formula>
    </cfRule>
    <cfRule type="containsText" dxfId="574" priority="416" operator="containsText" text="K">
      <formula>NOT(ISERROR(SEARCH("K",AG90)))</formula>
    </cfRule>
  </conditionalFormatting>
  <conditionalFormatting sqref="AG91:AI92">
    <cfRule type="expression" dxfId="573" priority="411" stopIfTrue="1">
      <formula>IF(WEEKDAY(AG$8)=1,TRUE,FALSE)</formula>
    </cfRule>
    <cfRule type="containsText" dxfId="572" priority="412" operator="containsText" text="P">
      <formula>NOT(ISERROR(SEARCH("P",AG91)))</formula>
    </cfRule>
    <cfRule type="containsText" dxfId="571" priority="413" operator="containsText" text="K">
      <formula>NOT(ISERROR(SEARCH("K",AG91)))</formula>
    </cfRule>
    <cfRule type="expression" dxfId="570" priority="414" stopIfTrue="1">
      <formula>IF(WEEKDAY(AG$8)=1,TRUE,FALSE)</formula>
    </cfRule>
  </conditionalFormatting>
  <conditionalFormatting sqref="AG91:AI96">
    <cfRule type="containsText" dxfId="569" priority="410" operator="containsText" text="P">
      <formula>NOT(ISERROR(SEARCH("P",AG91)))</formula>
    </cfRule>
  </conditionalFormatting>
  <conditionalFormatting sqref="AG93:AI96 AF97:AI98">
    <cfRule type="containsText" dxfId="568" priority="409" operator="containsText" text="P">
      <formula>NOT(ISERROR(SEARCH("P",AF93)))</formula>
    </cfRule>
  </conditionalFormatting>
  <conditionalFormatting sqref="AG95:AI96">
    <cfRule type="containsText" dxfId="567" priority="407" operator="containsText" text="K">
      <formula>NOT(ISERROR(SEARCH("K",AG95)))</formula>
    </cfRule>
    <cfRule type="expression" dxfId="566" priority="408" stopIfTrue="1">
      <formula>IF(WEEKDAY(AG$8)=1,TRUE,FALSE)</formula>
    </cfRule>
  </conditionalFormatting>
  <conditionalFormatting sqref="AG152:AI152 AG154:AI159">
    <cfRule type="containsText" dxfId="565" priority="406" operator="containsText" text="K">
      <formula>NOT(ISERROR(SEARCH("K",AG152)))</formula>
    </cfRule>
  </conditionalFormatting>
  <conditionalFormatting sqref="AG152:AI152">
    <cfRule type="containsText" dxfId="564" priority="404" operator="containsText" text="P">
      <formula>NOT(ISERROR(SEARCH("P",AG152)))</formula>
    </cfRule>
    <cfRule type="expression" dxfId="563" priority="405" stopIfTrue="1">
      <formula>IF(WEEKDAY(AG$8)=1,TRUE,FALSE)</formula>
    </cfRule>
  </conditionalFormatting>
  <conditionalFormatting sqref="AG154:AI155 AG153">
    <cfRule type="containsText" dxfId="562" priority="403" operator="containsText" text="P">
      <formula>NOT(ISERROR(SEARCH("P",AG153)))</formula>
    </cfRule>
  </conditionalFormatting>
  <conditionalFormatting sqref="AG156:AI159">
    <cfRule type="containsText" dxfId="561" priority="402" operator="containsText" text="P">
      <formula>NOT(ISERROR(SEARCH("P",AG156)))</formula>
    </cfRule>
  </conditionalFormatting>
  <conditionalFormatting sqref="AG160:AI160">
    <cfRule type="containsText" dxfId="560" priority="401" operator="containsText" text="P">
      <formula>NOT(ISERROR(SEARCH("P",AG160)))</formula>
    </cfRule>
  </conditionalFormatting>
  <conditionalFormatting sqref="AG161:AI162">
    <cfRule type="expression" dxfId="559" priority="398" stopIfTrue="1">
      <formula>IF(WEEKDAY(AG$8)=1,TRUE,FALSE)</formula>
    </cfRule>
    <cfRule type="containsText" dxfId="558" priority="399" operator="containsText" text="P">
      <formula>NOT(ISERROR(SEARCH("P",AG161)))</formula>
    </cfRule>
    <cfRule type="containsText" dxfId="557" priority="400" operator="containsText" text="K">
      <formula>NOT(ISERROR(SEARCH("K",AG161)))</formula>
    </cfRule>
  </conditionalFormatting>
  <conditionalFormatting sqref="AG162:AI162">
    <cfRule type="expression" dxfId="556" priority="363" stopIfTrue="1">
      <formula>IF(WEEKDAY(AG$8)=1,TRUE,FALSE)</formula>
    </cfRule>
    <cfRule type="containsText" dxfId="555" priority="364" operator="containsText" text="P">
      <formula>NOT(ISERROR(SEARCH("P",AG162)))</formula>
    </cfRule>
    <cfRule type="containsText" dxfId="554" priority="365" operator="containsText" text="K">
      <formula>NOT(ISERROR(SEARCH("K",AG162)))</formula>
    </cfRule>
    <cfRule type="containsText" dxfId="553" priority="366" operator="containsText" text="P">
      <formula>NOT(ISERROR(SEARCH("P",AG162)))</formula>
    </cfRule>
    <cfRule type="containsText" dxfId="552" priority="367" operator="containsText" text="K">
      <formula>NOT(ISERROR(SEARCH("K",AG162)))</formula>
    </cfRule>
    <cfRule type="expression" dxfId="551" priority="368" stopIfTrue="1">
      <formula>IF(WEEKDAY(AG$8)=1,TRUE,FALSE)</formula>
    </cfRule>
    <cfRule type="containsText" dxfId="550" priority="369" operator="containsText" text="P">
      <formula>NOT(ISERROR(SEARCH("P",AG162)))</formula>
    </cfRule>
    <cfRule type="containsText" dxfId="549" priority="370" operator="containsText" text="K">
      <formula>NOT(ISERROR(SEARCH("K",AG162)))</formula>
    </cfRule>
    <cfRule type="expression" dxfId="548" priority="371" stopIfTrue="1">
      <formula>IF(WEEKDAY(AG$8)=1,TRUE,FALSE)</formula>
    </cfRule>
    <cfRule type="containsText" dxfId="547" priority="372" operator="containsText" text="P">
      <formula>NOT(ISERROR(SEARCH("P",AG162)))</formula>
    </cfRule>
    <cfRule type="containsText" dxfId="546" priority="373" operator="containsText" text="K">
      <formula>NOT(ISERROR(SEARCH("K",AG162)))</formula>
    </cfRule>
    <cfRule type="expression" dxfId="545" priority="374" stopIfTrue="1">
      <formula>IF(WEEKDAY(AG$8)=1,TRUE,FALSE)</formula>
    </cfRule>
    <cfRule type="containsText" dxfId="544" priority="375" operator="containsText" text="P">
      <formula>NOT(ISERROR(SEARCH("P",AG162)))</formula>
    </cfRule>
    <cfRule type="containsText" dxfId="543" priority="376" operator="containsText" text="K">
      <formula>NOT(ISERROR(SEARCH("K",AG162)))</formula>
    </cfRule>
    <cfRule type="containsText" dxfId="542" priority="377" operator="containsText" text="P">
      <formula>NOT(ISERROR(SEARCH("P",AG162)))</formula>
    </cfRule>
    <cfRule type="expression" dxfId="541" priority="378" stopIfTrue="1">
      <formula>IF(WEEKDAY(AG$8)=1,TRUE,FALSE)</formula>
    </cfRule>
    <cfRule type="containsText" dxfId="540" priority="379" operator="containsText" text="P">
      <formula>NOT(ISERROR(SEARCH("P",AG162)))</formula>
    </cfRule>
    <cfRule type="containsText" dxfId="539" priority="380" operator="containsText" text="K">
      <formula>NOT(ISERROR(SEARCH("K",AG162)))</formula>
    </cfRule>
    <cfRule type="expression" dxfId="538" priority="381" stopIfTrue="1">
      <formula>IF(WEEKDAY(AG$8)=1,TRUE,FALSE)</formula>
    </cfRule>
    <cfRule type="containsText" dxfId="537" priority="382" operator="containsText" text="P">
      <formula>NOT(ISERROR(SEARCH("P",AG162)))</formula>
    </cfRule>
    <cfRule type="containsText" dxfId="536" priority="383" operator="containsText" text="K">
      <formula>NOT(ISERROR(SEARCH("K",AG162)))</formula>
    </cfRule>
    <cfRule type="expression" dxfId="535" priority="384" stopIfTrue="1">
      <formula>IF(WEEKDAY(AG$8)=1,TRUE,FALSE)</formula>
    </cfRule>
    <cfRule type="containsText" dxfId="534" priority="385" operator="containsText" text="P">
      <formula>NOT(ISERROR(SEARCH("P",AG162)))</formula>
    </cfRule>
    <cfRule type="containsText" dxfId="533" priority="386" operator="containsText" text="K">
      <formula>NOT(ISERROR(SEARCH("K",AG162)))</formula>
    </cfRule>
    <cfRule type="expression" dxfId="532" priority="387" stopIfTrue="1">
      <formula>IF(WEEKDAY(AG$8)=1,TRUE,FALSE)</formula>
    </cfRule>
    <cfRule type="containsText" dxfId="531" priority="388" operator="containsText" text="P">
      <formula>NOT(ISERROR(SEARCH("P",AG162)))</formula>
    </cfRule>
    <cfRule type="containsText" dxfId="530" priority="389" operator="containsText" text="K">
      <formula>NOT(ISERROR(SEARCH("K",AG162)))</formula>
    </cfRule>
    <cfRule type="expression" dxfId="529" priority="390" stopIfTrue="1">
      <formula>IF(WEEKDAY(AG$8)=1,TRUE,FALSE)</formula>
    </cfRule>
    <cfRule type="containsText" dxfId="528" priority="391" operator="containsText" text="P">
      <formula>NOT(ISERROR(SEARCH("P",AG162)))</formula>
    </cfRule>
    <cfRule type="containsText" dxfId="527" priority="392" operator="containsText" text="K">
      <formula>NOT(ISERROR(SEARCH("K",AG162)))</formula>
    </cfRule>
    <cfRule type="containsText" dxfId="526" priority="393" operator="containsText" text="P">
      <formula>NOT(ISERROR(SEARCH("P",AG162)))</formula>
    </cfRule>
    <cfRule type="containsText" dxfId="525" priority="394" operator="containsText" text="K">
      <formula>NOT(ISERROR(SEARCH("K",AG162)))</formula>
    </cfRule>
    <cfRule type="expression" dxfId="524" priority="395" stopIfTrue="1">
      <formula>IF(WEEKDAY(AG$8)=1,TRUE,FALSE)</formula>
    </cfRule>
    <cfRule type="containsText" dxfId="523" priority="396" operator="containsText" text="P">
      <formula>NOT(ISERROR(SEARCH("P",AG162)))</formula>
    </cfRule>
    <cfRule type="containsText" dxfId="522" priority="397" operator="containsText" text="K">
      <formula>NOT(ISERROR(SEARCH("K",AG162)))</formula>
    </cfRule>
  </conditionalFormatting>
  <conditionalFormatting sqref="AG164:AI168 AI169:AI171">
    <cfRule type="expression" dxfId="521" priority="361" stopIfTrue="1">
      <formula>IF(WEEKDAY(AG$8)=1,TRUE,FALSE)</formula>
    </cfRule>
    <cfRule type="containsText" dxfId="520" priority="362" operator="containsText" text="K">
      <formula>NOT(ISERROR(SEARCH("K",AG164)))</formula>
    </cfRule>
  </conditionalFormatting>
  <conditionalFormatting sqref="AG164:AI169">
    <cfRule type="containsText" dxfId="519" priority="360" operator="containsText" text="P">
      <formula>NOT(ISERROR(SEARCH("P",AG164)))</formula>
    </cfRule>
  </conditionalFormatting>
  <conditionalFormatting sqref="AG170:AI171">
    <cfRule type="containsText" dxfId="518" priority="359" operator="containsText" text="P">
      <formula>NOT(ISERROR(SEARCH("P",AG170)))</formula>
    </cfRule>
  </conditionalFormatting>
  <conditionalFormatting sqref="AG178:AI178">
    <cfRule type="expression" dxfId="517" priority="356" stopIfTrue="1">
      <formula>IF(WEEKDAY(AG$8)=1,TRUE,FALSE)</formula>
    </cfRule>
    <cfRule type="containsText" dxfId="516" priority="357" operator="containsText" text="P">
      <formula>NOT(ISERROR(SEARCH("P",AG178)))</formula>
    </cfRule>
    <cfRule type="containsText" dxfId="515" priority="358" operator="containsText" text="K">
      <formula>NOT(ISERROR(SEARCH("K",AG178)))</formula>
    </cfRule>
  </conditionalFormatting>
  <conditionalFormatting sqref="AG217:AI217">
    <cfRule type="expression" dxfId="514" priority="353" stopIfTrue="1">
      <formula>IF(WEEKDAY(AG$8)=1,TRUE,FALSE)</formula>
    </cfRule>
    <cfRule type="containsText" dxfId="513" priority="354" operator="containsText" text="P">
      <formula>NOT(ISERROR(SEARCH("P",AG217)))</formula>
    </cfRule>
    <cfRule type="containsText" dxfId="512" priority="355" operator="containsText" text="K">
      <formula>NOT(ISERROR(SEARCH("K",AG217)))</formula>
    </cfRule>
  </conditionalFormatting>
  <conditionalFormatting sqref="AG219:AI224 I230">
    <cfRule type="containsText" dxfId="511" priority="351" operator="containsText" text="P">
      <formula>NOT(ISERROR(SEARCH("P",I219)))</formula>
    </cfRule>
    <cfRule type="containsText" dxfId="510" priority="352" operator="containsText" text="K">
      <formula>NOT(ISERROR(SEARCH("K",I219)))</formula>
    </cfRule>
  </conditionalFormatting>
  <conditionalFormatting sqref="AG228:AI228">
    <cfRule type="expression" dxfId="509" priority="347" stopIfTrue="1">
      <formula>IF(WEEKDAY(AG$8)=1,TRUE,FALSE)</formula>
    </cfRule>
    <cfRule type="containsText" dxfId="508" priority="348" operator="containsText" text="P">
      <formula>NOT(ISERROR(SEARCH("P",AG228)))</formula>
    </cfRule>
    <cfRule type="containsText" dxfId="507" priority="349" operator="containsText" text="K">
      <formula>NOT(ISERROR(SEARCH("K",AG228)))</formula>
    </cfRule>
    <cfRule type="expression" dxfId="506" priority="350" stopIfTrue="1">
      <formula>IF(WEEKDAY(AG$8)=1,TRUE,FALSE)</formula>
    </cfRule>
  </conditionalFormatting>
  <conditionalFormatting sqref="AG229:AI229">
    <cfRule type="expression" dxfId="505" priority="344" stopIfTrue="1">
      <formula>IF(WEEKDAY(AG$8)=1,TRUE,FALSE)</formula>
    </cfRule>
    <cfRule type="containsText" dxfId="504" priority="345" operator="containsText" text="K">
      <formula>NOT(ISERROR(SEARCH("K",AG229)))</formula>
    </cfRule>
    <cfRule type="containsText" dxfId="503" priority="346" operator="containsText" text="P">
      <formula>NOT(ISERROR(SEARCH("P",AG229)))</formula>
    </cfRule>
  </conditionalFormatting>
  <conditionalFormatting sqref="AG230:AI230 L230:N230">
    <cfRule type="expression" dxfId="502" priority="343" stopIfTrue="1">
      <formula>IF(WEEKDAY(L$8)=1,TRUE,FALSE)</formula>
    </cfRule>
  </conditionalFormatting>
  <conditionalFormatting sqref="AG230:AI230">
    <cfRule type="expression" dxfId="501" priority="340" stopIfTrue="1">
      <formula>IF(WEEKDAY(AG$8)=1,TRUE,FALSE)</formula>
    </cfRule>
    <cfRule type="containsText" dxfId="500" priority="341" operator="containsText" text="P">
      <formula>NOT(ISERROR(SEARCH("P",AG230)))</formula>
    </cfRule>
    <cfRule type="containsText" dxfId="499" priority="342" operator="containsText" text="K">
      <formula>NOT(ISERROR(SEARCH("K",AG230)))</formula>
    </cfRule>
  </conditionalFormatting>
  <conditionalFormatting sqref="AG93:AJ94">
    <cfRule type="expression" dxfId="498" priority="339" stopIfTrue="1">
      <formula>IF(WEEKDAY(AG$8)=1,TRUE,FALSE)</formula>
    </cfRule>
  </conditionalFormatting>
  <conditionalFormatting sqref="AG141:AJ141">
    <cfRule type="containsText" dxfId="497" priority="338" operator="containsText" text="K">
      <formula>NOT(ISERROR(SEARCH("K",AG141)))</formula>
    </cfRule>
  </conditionalFormatting>
  <conditionalFormatting sqref="AG160:AJ160">
    <cfRule type="containsText" dxfId="496" priority="337" operator="containsText" text="K">
      <formula>NOT(ISERROR(SEARCH("K",AG160)))</formula>
    </cfRule>
  </conditionalFormatting>
  <conditionalFormatting sqref="AG225:AJ225">
    <cfRule type="expression" dxfId="495" priority="334" stopIfTrue="1">
      <formula>IF(WEEKDAY(AG$8)=1,TRUE,FALSE)</formula>
    </cfRule>
    <cfRule type="containsText" dxfId="494" priority="335" operator="containsText" text="P">
      <formula>NOT(ISERROR(SEARCH("P",AG225)))</formula>
    </cfRule>
    <cfRule type="containsText" dxfId="493" priority="336" operator="containsText" text="K">
      <formula>NOT(ISERROR(SEARCH("K",AG225)))</formula>
    </cfRule>
  </conditionalFormatting>
  <conditionalFormatting sqref="AH25">
    <cfRule type="expression" dxfId="492" priority="331" stopIfTrue="1">
      <formula>IF(WEEKDAY(AH$8)=1,TRUE,FALSE)</formula>
    </cfRule>
    <cfRule type="containsText" dxfId="491" priority="332" operator="containsText" text="K">
      <formula>NOT(ISERROR(SEARCH("K",AH25)))</formula>
    </cfRule>
    <cfRule type="containsText" dxfId="490" priority="333" operator="containsText" text="P">
      <formula>NOT(ISERROR(SEARCH("P",AH25)))</formula>
    </cfRule>
  </conditionalFormatting>
  <conditionalFormatting sqref="AH85">
    <cfRule type="expression" dxfId="489" priority="329" stopIfTrue="1">
      <formula>IF(WEEKDAY(AH$8)=1,TRUE,FALSE)</formula>
    </cfRule>
    <cfRule type="containsText" dxfId="488" priority="330" operator="containsText" text="P">
      <formula>NOT(ISERROR(SEARCH("P",AH85)))</formula>
    </cfRule>
  </conditionalFormatting>
  <conditionalFormatting sqref="AH141:AH142">
    <cfRule type="expression" dxfId="487" priority="328" stopIfTrue="1">
      <formula>IF(WEEKDAY(AH$8)=1,TRUE,FALSE)</formula>
    </cfRule>
  </conditionalFormatting>
  <conditionalFormatting sqref="AH142">
    <cfRule type="containsText" dxfId="486" priority="326" operator="containsText" text="K">
      <formula>NOT(ISERROR(SEARCH("K",AH142)))</formula>
    </cfRule>
    <cfRule type="containsText" dxfId="485" priority="327" operator="containsText" text="P">
      <formula>NOT(ISERROR(SEARCH("P",AH142)))</formula>
    </cfRule>
  </conditionalFormatting>
  <conditionalFormatting sqref="AH144:AH145">
    <cfRule type="expression" dxfId="484" priority="323" stopIfTrue="1">
      <formula>IF(WEEKDAY(AH$8)=1,TRUE,FALSE)</formula>
    </cfRule>
    <cfRule type="containsText" dxfId="483" priority="324" operator="containsText" text="P">
      <formula>NOT(ISERROR(SEARCH("P",AH144)))</formula>
    </cfRule>
    <cfRule type="containsText" dxfId="482" priority="325" operator="containsText" text="K">
      <formula>NOT(ISERROR(SEARCH("K",AH144)))</formula>
    </cfRule>
  </conditionalFormatting>
  <conditionalFormatting sqref="AH147:AH149">
    <cfRule type="expression" dxfId="481" priority="320" stopIfTrue="1">
      <formula>IF(WEEKDAY(AH$8)=1,TRUE,FALSE)</formula>
    </cfRule>
    <cfRule type="containsText" dxfId="480" priority="321" operator="containsText" text="P">
      <formula>NOT(ISERROR(SEARCH("P",AH147)))</formula>
    </cfRule>
    <cfRule type="containsText" dxfId="479" priority="322" operator="containsText" text="K">
      <formula>NOT(ISERROR(SEARCH("K",AH147)))</formula>
    </cfRule>
  </conditionalFormatting>
  <conditionalFormatting sqref="AH151">
    <cfRule type="containsText" dxfId="478" priority="318" operator="containsText" text="K">
      <formula>NOT(ISERROR(SEARCH("K",AH151)))</formula>
    </cfRule>
    <cfRule type="expression" dxfId="477" priority="319" stopIfTrue="1">
      <formula>IF(WEEKDAY(AH$8)=1,TRUE,FALSE)</formula>
    </cfRule>
  </conditionalFormatting>
  <conditionalFormatting sqref="AH153">
    <cfRule type="containsText" dxfId="476" priority="316" operator="containsText" text="P">
      <formula>NOT(ISERROR(SEARCH("P",AH153)))</formula>
    </cfRule>
    <cfRule type="expression" dxfId="475" priority="317" stopIfTrue="1">
      <formula>IF(WEEKDAY(AH$8)=1,TRUE,FALSE)</formula>
    </cfRule>
  </conditionalFormatting>
  <conditionalFormatting sqref="AH184">
    <cfRule type="expression" dxfId="474" priority="313" stopIfTrue="1">
      <formula>IF(WEEKDAY(AH$8)=1,TRUE,FALSE)</formula>
    </cfRule>
    <cfRule type="containsText" dxfId="473" priority="314" operator="containsText" text="K">
      <formula>NOT(ISERROR(SEARCH("K",AH184)))</formula>
    </cfRule>
    <cfRule type="containsText" dxfId="472" priority="315" operator="containsText" text="P">
      <formula>NOT(ISERROR(SEARCH("P",AH184)))</formula>
    </cfRule>
  </conditionalFormatting>
  <conditionalFormatting sqref="AH186">
    <cfRule type="expression" dxfId="471" priority="310" stopIfTrue="1">
      <formula>IF(WEEKDAY(AH$8)=1,TRUE,FALSE)</formula>
    </cfRule>
    <cfRule type="containsText" dxfId="470" priority="311" operator="containsText" text="K">
      <formula>NOT(ISERROR(SEARCH("K",AH186)))</formula>
    </cfRule>
    <cfRule type="containsText" dxfId="469" priority="312" operator="containsText" text="P">
      <formula>NOT(ISERROR(SEARCH("P",AH186)))</formula>
    </cfRule>
  </conditionalFormatting>
  <conditionalFormatting sqref="AH188">
    <cfRule type="expression" dxfId="468" priority="307" stopIfTrue="1">
      <formula>IF(WEEKDAY(AH$8)=1,TRUE,FALSE)</formula>
    </cfRule>
    <cfRule type="containsText" dxfId="467" priority="308" operator="containsText" text="K">
      <formula>NOT(ISERROR(SEARCH("K",AH188)))</formula>
    </cfRule>
    <cfRule type="containsText" dxfId="466" priority="309" operator="containsText" text="P">
      <formula>NOT(ISERROR(SEARCH("P",AH188)))</formula>
    </cfRule>
  </conditionalFormatting>
  <conditionalFormatting sqref="AH190">
    <cfRule type="expression" dxfId="465" priority="304" stopIfTrue="1">
      <formula>IF(WEEKDAY(AH$8)=1,TRUE,FALSE)</formula>
    </cfRule>
    <cfRule type="containsText" dxfId="464" priority="305" operator="containsText" text="P">
      <formula>NOT(ISERROR(SEARCH("P",AH190)))</formula>
    </cfRule>
    <cfRule type="containsText" dxfId="463" priority="306" operator="containsText" text="K">
      <formula>NOT(ISERROR(SEARCH("K",AH190)))</formula>
    </cfRule>
  </conditionalFormatting>
  <conditionalFormatting sqref="AH191:AH192">
    <cfRule type="expression" dxfId="462" priority="301" stopIfTrue="1">
      <formula>IF(WEEKDAY(AH$8)=1,TRUE,FALSE)</formula>
    </cfRule>
    <cfRule type="containsText" dxfId="461" priority="302" operator="containsText" text="K">
      <formula>NOT(ISERROR(SEARCH("K",AH191)))</formula>
    </cfRule>
    <cfRule type="containsText" dxfId="460" priority="303" operator="containsText" text="P">
      <formula>NOT(ISERROR(SEARCH("P",AH191)))</formula>
    </cfRule>
  </conditionalFormatting>
  <conditionalFormatting sqref="AH193">
    <cfRule type="expression" dxfId="459" priority="298" stopIfTrue="1">
      <formula>IF(WEEKDAY(AH$8)=1,TRUE,FALSE)</formula>
    </cfRule>
    <cfRule type="containsText" dxfId="458" priority="299" operator="containsText" text="P">
      <formula>NOT(ISERROR(SEARCH("P",AH193)))</formula>
    </cfRule>
    <cfRule type="containsText" dxfId="457" priority="300" operator="containsText" text="K">
      <formula>NOT(ISERROR(SEARCH("K",AH193)))</formula>
    </cfRule>
  </conditionalFormatting>
  <conditionalFormatting sqref="AH204:AH206">
    <cfRule type="expression" dxfId="456" priority="295" stopIfTrue="1">
      <formula>IF(WEEKDAY(AH$8)=1,TRUE,FALSE)</formula>
    </cfRule>
    <cfRule type="containsText" dxfId="455" priority="296" operator="containsText" text="K">
      <formula>NOT(ISERROR(SEARCH("K",AH204)))</formula>
    </cfRule>
    <cfRule type="containsText" dxfId="454" priority="297" operator="containsText" text="P">
      <formula>NOT(ISERROR(SEARCH("P",AH204)))</formula>
    </cfRule>
  </conditionalFormatting>
  <conditionalFormatting sqref="AH211:AH213">
    <cfRule type="expression" dxfId="453" priority="292" stopIfTrue="1">
      <formula>IF(WEEKDAY(AH$8)=1,TRUE,FALSE)</formula>
    </cfRule>
    <cfRule type="containsText" dxfId="452" priority="293" operator="containsText" text="K">
      <formula>NOT(ISERROR(SEARCH("K",AH211)))</formula>
    </cfRule>
    <cfRule type="containsText" dxfId="451" priority="294" operator="containsText" text="P">
      <formula>NOT(ISERROR(SEARCH("P",AH211)))</formula>
    </cfRule>
  </conditionalFormatting>
  <conditionalFormatting sqref="AH218">
    <cfRule type="expression" dxfId="450" priority="289" stopIfTrue="1">
      <formula>IF(WEEKDAY(AH$8)=1,TRUE,FALSE)</formula>
    </cfRule>
    <cfRule type="containsText" dxfId="449" priority="290" operator="containsText" text="K">
      <formula>NOT(ISERROR(SEARCH("K",AH218)))</formula>
    </cfRule>
    <cfRule type="containsText" dxfId="448" priority="291" operator="containsText" text="P">
      <formula>NOT(ISERROR(SEARCH("P",AH218)))</formula>
    </cfRule>
  </conditionalFormatting>
  <conditionalFormatting sqref="AH227">
    <cfRule type="containsText" dxfId="447" priority="286" operator="containsText" text="K">
      <formula>NOT(ISERROR(SEARCH("K",AH227)))</formula>
    </cfRule>
    <cfRule type="containsText" dxfId="446" priority="287" operator="containsText" text="P">
      <formula>NOT(ISERROR(SEARCH("P",AH227)))</formula>
    </cfRule>
    <cfRule type="expression" dxfId="445" priority="288" stopIfTrue="1">
      <formula>IF(WEEKDAY(AH$8)=1,TRUE,FALSE)</formula>
    </cfRule>
  </conditionalFormatting>
  <conditionalFormatting sqref="AH229">
    <cfRule type="expression" dxfId="444" priority="284" stopIfTrue="1">
      <formula>IF(WEEKDAY(AH$8)=1,TRUE,FALSE)</formula>
    </cfRule>
    <cfRule type="containsText" dxfId="443" priority="285" operator="containsText" text="K">
      <formula>NOT(ISERROR(SEARCH("K",AH229)))</formula>
    </cfRule>
  </conditionalFormatting>
  <conditionalFormatting sqref="AH92:AI92">
    <cfRule type="containsText" dxfId="442" priority="282" operator="containsText" text="K">
      <formula>NOT(ISERROR(SEARCH("K",AH92)))</formula>
    </cfRule>
    <cfRule type="containsText" dxfId="441" priority="283" operator="containsText" text="P">
      <formula>NOT(ISERROR(SEARCH("P",AH92)))</formula>
    </cfRule>
  </conditionalFormatting>
  <conditionalFormatting sqref="AH197:AI197 I90:P90 G92:L92 N92:Y92 R90:Y90 AG90:AJ90 BF162:BG162 AJ204:AJ215 I96 K96:S96 U96:Y96 AJ157:AJ160 AJ162">
    <cfRule type="containsText" dxfId="440" priority="281" operator="containsText" text="P">
      <formula>NOT(ISERROR(SEARCH("P",G90)))</formula>
    </cfRule>
  </conditionalFormatting>
  <conditionalFormatting sqref="AH226:AI226">
    <cfRule type="expression" dxfId="439" priority="280" stopIfTrue="1">
      <formula>IF(WEEKDAY(AH$8)=1,TRUE,FALSE)</formula>
    </cfRule>
  </conditionalFormatting>
  <conditionalFormatting sqref="AI18:AI19">
    <cfRule type="expression" dxfId="438" priority="277" stopIfTrue="1">
      <formula>IF(WEEKDAY(AI$8)=1,TRUE,FALSE)</formula>
    </cfRule>
    <cfRule type="containsText" dxfId="437" priority="278" operator="containsText" text="K">
      <formula>NOT(ISERROR(SEARCH("K",AI18)))</formula>
    </cfRule>
    <cfRule type="containsText" dxfId="436" priority="279" operator="containsText" text="P">
      <formula>NOT(ISERROR(SEARCH("P",AI18)))</formula>
    </cfRule>
  </conditionalFormatting>
  <conditionalFormatting sqref="AI45">
    <cfRule type="containsText" dxfId="435" priority="274" operator="containsText" text="K">
      <formula>NOT(ISERROR(SEARCH("K",AI45)))</formula>
    </cfRule>
    <cfRule type="expression" dxfId="434" priority="275" stopIfTrue="1">
      <formula>IF(WEEKDAY(AI$8)=1,TRUE,FALSE)</formula>
    </cfRule>
    <cfRule type="containsText" dxfId="433" priority="276" operator="containsText" text="P">
      <formula>NOT(ISERROR(SEARCH("P",AI45)))</formula>
    </cfRule>
  </conditionalFormatting>
  <conditionalFormatting sqref="AI93:AI94">
    <cfRule type="expression" dxfId="432" priority="272" stopIfTrue="1">
      <formula>IF(WEEKDAY(AI$8)=1,TRUE,FALSE)</formula>
    </cfRule>
    <cfRule type="containsText" dxfId="431" priority="273" operator="containsText" text="K">
      <formula>NOT(ISERROR(SEARCH("K",AI93)))</formula>
    </cfRule>
  </conditionalFormatting>
  <conditionalFormatting sqref="AI142">
    <cfRule type="expression" dxfId="430" priority="267" stopIfTrue="1">
      <formula>IF(WEEKDAY(AI$8)=1,TRUE,FALSE)</formula>
    </cfRule>
    <cfRule type="containsText" dxfId="429" priority="268" operator="containsText" text="P">
      <formula>NOT(ISERROR(SEARCH("P",AI142)))</formula>
    </cfRule>
    <cfRule type="containsText" dxfId="428" priority="269" operator="containsText" text="K">
      <formula>NOT(ISERROR(SEARCH("K",AI142)))</formula>
    </cfRule>
    <cfRule type="containsText" dxfId="427" priority="270" operator="containsText" text="P">
      <formula>NOT(ISERROR(SEARCH("P",AI142)))</formula>
    </cfRule>
    <cfRule type="containsText" dxfId="426" priority="271" operator="containsText" text="K">
      <formula>NOT(ISERROR(SEARCH("K",AI142)))</formula>
    </cfRule>
  </conditionalFormatting>
  <conditionalFormatting sqref="AI144">
    <cfRule type="expression" dxfId="425" priority="266" stopIfTrue="1">
      <formula>IF(WEEKDAY(AI$8)=1,TRUE,FALSE)</formula>
    </cfRule>
  </conditionalFormatting>
  <conditionalFormatting sqref="AI144:AI145">
    <cfRule type="containsText" dxfId="424" priority="264" operator="containsText" text="P">
      <formula>NOT(ISERROR(SEARCH("P",AI144)))</formula>
    </cfRule>
    <cfRule type="containsText" dxfId="423" priority="265" operator="containsText" text="K">
      <formula>NOT(ISERROR(SEARCH("K",AI144)))</formula>
    </cfRule>
  </conditionalFormatting>
  <conditionalFormatting sqref="AI145">
    <cfRule type="expression" dxfId="422" priority="258" stopIfTrue="1">
      <formula>IF(WEEKDAY(AI$8)=1,TRUE,FALSE)</formula>
    </cfRule>
    <cfRule type="containsText" dxfId="421" priority="259" operator="containsText" text="P">
      <formula>NOT(ISERROR(SEARCH("P",AI145)))</formula>
    </cfRule>
    <cfRule type="containsText" dxfId="420" priority="260" operator="containsText" text="K">
      <formula>NOT(ISERROR(SEARCH("K",AI145)))</formula>
    </cfRule>
    <cfRule type="expression" dxfId="419" priority="261" stopIfTrue="1">
      <formula>IF(WEEKDAY(AI$8)=1,TRUE,FALSE)</formula>
    </cfRule>
    <cfRule type="containsText" dxfId="418" priority="262" operator="containsText" text="P">
      <formula>NOT(ISERROR(SEARCH("P",AI145)))</formula>
    </cfRule>
    <cfRule type="containsText" dxfId="417" priority="263" operator="containsText" text="K">
      <formula>NOT(ISERROR(SEARCH("K",AI145)))</formula>
    </cfRule>
  </conditionalFormatting>
  <conditionalFormatting sqref="AI147">
    <cfRule type="expression" dxfId="416" priority="253" stopIfTrue="1">
      <formula>IF(WEEKDAY(AI$8)=1,TRUE,FALSE)</formula>
    </cfRule>
    <cfRule type="containsText" dxfId="415" priority="254" operator="containsText" text="P">
      <formula>NOT(ISERROR(SEARCH("P",AI147)))</formula>
    </cfRule>
    <cfRule type="containsText" dxfId="414" priority="255" operator="containsText" text="K">
      <formula>NOT(ISERROR(SEARCH("K",AI147)))</formula>
    </cfRule>
    <cfRule type="containsText" dxfId="413" priority="256" operator="containsText" text="P">
      <formula>NOT(ISERROR(SEARCH("P",AI147)))</formula>
    </cfRule>
    <cfRule type="containsText" dxfId="412" priority="257" operator="containsText" text="K">
      <formula>NOT(ISERROR(SEARCH("K",AI147)))</formula>
    </cfRule>
  </conditionalFormatting>
  <conditionalFormatting sqref="AI152 AI154:AI155">
    <cfRule type="containsText" dxfId="411" priority="252" operator="containsText" text="K">
      <formula>NOT(ISERROR(SEARCH("K",AI152)))</formula>
    </cfRule>
  </conditionalFormatting>
  <conditionalFormatting sqref="AI152">
    <cfRule type="containsText" dxfId="410" priority="250" operator="containsText" text="P">
      <formula>NOT(ISERROR(SEARCH("P",AI152)))</formula>
    </cfRule>
    <cfRule type="expression" dxfId="409" priority="251" stopIfTrue="1">
      <formula>IF(WEEKDAY(AI$8)=1,TRUE,FALSE)</formula>
    </cfRule>
  </conditionalFormatting>
  <conditionalFormatting sqref="AI154:AI159">
    <cfRule type="containsText" dxfId="408" priority="249" operator="containsText" text="P">
      <formula>NOT(ISERROR(SEARCH("P",AI154)))</formula>
    </cfRule>
  </conditionalFormatting>
  <conditionalFormatting sqref="AI156:AI159">
    <cfRule type="expression" dxfId="407" priority="247" stopIfTrue="1">
      <formula>IF(WEEKDAY(AI$8)=1,TRUE,FALSE)</formula>
    </cfRule>
    <cfRule type="containsText" dxfId="406" priority="248" operator="containsText" text="K">
      <formula>NOT(ISERROR(SEARCH("K",AI156)))</formula>
    </cfRule>
  </conditionalFormatting>
  <conditionalFormatting sqref="AI172">
    <cfRule type="containsText" dxfId="405" priority="211" operator="containsText" text="P">
      <formula>NOT(ISERROR(SEARCH("P",AI172)))</formula>
    </cfRule>
    <cfRule type="containsText" dxfId="404" priority="212" operator="containsText" text="K">
      <formula>NOT(ISERROR(SEARCH("K",AI172)))</formula>
    </cfRule>
    <cfRule type="containsText" dxfId="403" priority="213" operator="containsText" text="P">
      <formula>NOT(ISERROR(SEARCH("P",AI172)))</formula>
    </cfRule>
    <cfRule type="containsText" dxfId="402" priority="214" operator="containsText" text="K">
      <formula>NOT(ISERROR(SEARCH("K",AI172)))</formula>
    </cfRule>
    <cfRule type="containsText" dxfId="401" priority="215" operator="containsText" text="P">
      <formula>NOT(ISERROR(SEARCH("P",AI172)))</formula>
    </cfRule>
    <cfRule type="containsText" dxfId="400" priority="216" operator="containsText" text="K">
      <formula>NOT(ISERROR(SEARCH("K",AI172)))</formula>
    </cfRule>
    <cfRule type="expression" dxfId="399" priority="217" stopIfTrue="1">
      <formula>IF(WEEKDAY(AI$8)=1,TRUE,FALSE)</formula>
    </cfRule>
    <cfRule type="containsText" dxfId="398" priority="218" operator="containsText" text="P">
      <formula>NOT(ISERROR(SEARCH("P",AI172)))</formula>
    </cfRule>
    <cfRule type="containsText" dxfId="397" priority="219" operator="containsText" text="K">
      <formula>NOT(ISERROR(SEARCH("K",AI172)))</formula>
    </cfRule>
    <cfRule type="expression" dxfId="396" priority="220" stopIfTrue="1">
      <formula>IF(WEEKDAY(AI$8)=1,TRUE,FALSE)</formula>
    </cfRule>
    <cfRule type="containsText" dxfId="395" priority="221" operator="containsText" text="P">
      <formula>NOT(ISERROR(SEARCH("P",AI172)))</formula>
    </cfRule>
    <cfRule type="containsText" dxfId="394" priority="222" operator="containsText" text="K">
      <formula>NOT(ISERROR(SEARCH("K",AI172)))</formula>
    </cfRule>
    <cfRule type="expression" dxfId="393" priority="223" stopIfTrue="1">
      <formula>IF(WEEKDAY(AI$8)=1,TRUE,FALSE)</formula>
    </cfRule>
    <cfRule type="containsText" dxfId="392" priority="224" operator="containsText" text="P">
      <formula>NOT(ISERROR(SEARCH("P",AI172)))</formula>
    </cfRule>
    <cfRule type="containsText" dxfId="391" priority="225" operator="containsText" text="K">
      <formula>NOT(ISERROR(SEARCH("K",AI172)))</formula>
    </cfRule>
    <cfRule type="containsText" dxfId="390" priority="226" operator="containsText" text="P">
      <formula>NOT(ISERROR(SEARCH("P",AI172)))</formula>
    </cfRule>
    <cfRule type="expression" dxfId="389" priority="227" stopIfTrue="1">
      <formula>IF(WEEKDAY(AI$8)=1,TRUE,FALSE)</formula>
    </cfRule>
    <cfRule type="containsText" dxfId="388" priority="228" operator="containsText" text="P">
      <formula>NOT(ISERROR(SEARCH("P",AI172)))</formula>
    </cfRule>
    <cfRule type="containsText" dxfId="387" priority="229" operator="containsText" text="K">
      <formula>NOT(ISERROR(SEARCH("K",AI172)))</formula>
    </cfRule>
    <cfRule type="expression" dxfId="386" priority="230" stopIfTrue="1">
      <formula>IF(WEEKDAY(AI$8)=1,TRUE,FALSE)</formula>
    </cfRule>
    <cfRule type="containsText" dxfId="385" priority="231" operator="containsText" text="P">
      <formula>NOT(ISERROR(SEARCH("P",AI172)))</formula>
    </cfRule>
    <cfRule type="containsText" dxfId="384" priority="232" operator="containsText" text="K">
      <formula>NOT(ISERROR(SEARCH("K",AI172)))</formula>
    </cfRule>
    <cfRule type="expression" dxfId="383" priority="233" stopIfTrue="1">
      <formula>IF(WEEKDAY(AI$8)=1,TRUE,FALSE)</formula>
    </cfRule>
    <cfRule type="containsText" dxfId="382" priority="234" operator="containsText" text="P">
      <formula>NOT(ISERROR(SEARCH("P",AI172)))</formula>
    </cfRule>
    <cfRule type="containsText" dxfId="381" priority="235" operator="containsText" text="K">
      <formula>NOT(ISERROR(SEARCH("K",AI172)))</formula>
    </cfRule>
    <cfRule type="expression" dxfId="380" priority="236" stopIfTrue="1">
      <formula>IF(WEEKDAY(AI$8)=1,TRUE,FALSE)</formula>
    </cfRule>
    <cfRule type="containsText" dxfId="379" priority="237" operator="containsText" text="P">
      <formula>NOT(ISERROR(SEARCH("P",AI172)))</formula>
    </cfRule>
    <cfRule type="containsText" dxfId="378" priority="238" operator="containsText" text="K">
      <formula>NOT(ISERROR(SEARCH("K",AI172)))</formula>
    </cfRule>
    <cfRule type="expression" dxfId="377" priority="239" stopIfTrue="1">
      <formula>IF(WEEKDAY(AI$8)=1,TRUE,FALSE)</formula>
    </cfRule>
    <cfRule type="containsText" dxfId="376" priority="240" operator="containsText" text="P">
      <formula>NOT(ISERROR(SEARCH("P",AI172)))</formula>
    </cfRule>
    <cfRule type="containsText" dxfId="375" priority="241" operator="containsText" text="K">
      <formula>NOT(ISERROR(SEARCH("K",AI172)))</formula>
    </cfRule>
    <cfRule type="containsText" dxfId="374" priority="242" operator="containsText" text="P">
      <formula>NOT(ISERROR(SEARCH("P",AI172)))</formula>
    </cfRule>
    <cfRule type="containsText" dxfId="373" priority="243" operator="containsText" text="K">
      <formula>NOT(ISERROR(SEARCH("K",AI172)))</formula>
    </cfRule>
    <cfRule type="expression" dxfId="372" priority="244" stopIfTrue="1">
      <formula>IF(WEEKDAY(AI$8)=1,TRUE,FALSE)</formula>
    </cfRule>
    <cfRule type="containsText" dxfId="371" priority="245" operator="containsText" text="P">
      <formula>NOT(ISERROR(SEARCH("P",AI172)))</formula>
    </cfRule>
    <cfRule type="containsText" dxfId="370" priority="246" operator="containsText" text="K">
      <formula>NOT(ISERROR(SEARCH("K",AI172)))</formula>
    </cfRule>
  </conditionalFormatting>
  <conditionalFormatting sqref="AI172:AI173">
    <cfRule type="expression" dxfId="369" priority="210" stopIfTrue="1">
      <formula>IF(WEEKDAY(AI$8)=1,TRUE,FALSE)</formula>
    </cfRule>
  </conditionalFormatting>
  <conditionalFormatting sqref="AI172:AI177 K181:K199 AG191:AG193">
    <cfRule type="expression" dxfId="368" priority="209" stopIfTrue="1">
      <formula>IF(WEEKDAY(K$8)=1,TRUE,FALSE)</formula>
    </cfRule>
  </conditionalFormatting>
  <conditionalFormatting sqref="AI173">
    <cfRule type="containsText" dxfId="367" priority="207" operator="containsText" text="P">
      <formula>NOT(ISERROR(SEARCH("P",AI173)))</formula>
    </cfRule>
    <cfRule type="containsText" dxfId="366" priority="208" operator="containsText" text="K">
      <formula>NOT(ISERROR(SEARCH("K",AI173)))</formula>
    </cfRule>
  </conditionalFormatting>
  <conditionalFormatting sqref="AI173:AI174">
    <cfRule type="containsText" dxfId="365" priority="205" operator="containsText" text="P">
      <formula>NOT(ISERROR(SEARCH("P",AI173)))</formula>
    </cfRule>
    <cfRule type="containsText" dxfId="364" priority="206" operator="containsText" text="K">
      <formula>NOT(ISERROR(SEARCH("K",AI173)))</formula>
    </cfRule>
  </conditionalFormatting>
  <conditionalFormatting sqref="AI174:AI175">
    <cfRule type="containsText" dxfId="363" priority="202" operator="containsText" text="P">
      <formula>NOT(ISERROR(SEARCH("P",AI174)))</formula>
    </cfRule>
    <cfRule type="containsText" dxfId="362" priority="203" operator="containsText" text="K">
      <formula>NOT(ISERROR(SEARCH("K",AI174)))</formula>
    </cfRule>
    <cfRule type="expression" dxfId="361" priority="204" stopIfTrue="1">
      <formula>IF(WEEKDAY(AI$8)=1,TRUE,FALSE)</formula>
    </cfRule>
  </conditionalFormatting>
  <conditionalFormatting sqref="AI175:AI176">
    <cfRule type="containsText" dxfId="360" priority="200" operator="containsText" text="P">
      <formula>NOT(ISERROR(SEARCH("P",AI175)))</formula>
    </cfRule>
    <cfRule type="containsText" dxfId="359" priority="201" operator="containsText" text="K">
      <formula>NOT(ISERROR(SEARCH("K",AI175)))</formula>
    </cfRule>
  </conditionalFormatting>
  <conditionalFormatting sqref="AI176">
    <cfRule type="containsText" dxfId="358" priority="170" operator="containsText" text="P">
      <formula>NOT(ISERROR(SEARCH("P",AI176)))</formula>
    </cfRule>
    <cfRule type="containsText" dxfId="357" priority="171" operator="containsText" text="K">
      <formula>NOT(ISERROR(SEARCH("K",AI176)))</formula>
    </cfRule>
    <cfRule type="expression" dxfId="356" priority="172" stopIfTrue="1">
      <formula>IF(WEEKDAY(AI$8)=1,TRUE,FALSE)</formula>
    </cfRule>
    <cfRule type="containsText" dxfId="355" priority="173" operator="containsText" text="P">
      <formula>NOT(ISERROR(SEARCH("P",AI176)))</formula>
    </cfRule>
    <cfRule type="containsText" dxfId="354" priority="174" operator="containsText" text="K">
      <formula>NOT(ISERROR(SEARCH("K",AI176)))</formula>
    </cfRule>
    <cfRule type="expression" dxfId="353" priority="175" stopIfTrue="1">
      <formula>IF(WEEKDAY(AI$8)=1,TRUE,FALSE)</formula>
    </cfRule>
    <cfRule type="containsText" dxfId="352" priority="176" operator="containsText" text="P">
      <formula>NOT(ISERROR(SEARCH("P",AI176)))</formula>
    </cfRule>
    <cfRule type="containsText" dxfId="351" priority="177" operator="containsText" text="K">
      <formula>NOT(ISERROR(SEARCH("K",AI176)))</formula>
    </cfRule>
    <cfRule type="expression" dxfId="350" priority="178" stopIfTrue="1">
      <formula>IF(WEEKDAY(AI$8)=1,TRUE,FALSE)</formula>
    </cfRule>
    <cfRule type="containsText" dxfId="349" priority="179" operator="containsText" text="P">
      <formula>NOT(ISERROR(SEARCH("P",AI176)))</formula>
    </cfRule>
    <cfRule type="containsText" dxfId="348" priority="180" operator="containsText" text="K">
      <formula>NOT(ISERROR(SEARCH("K",AI176)))</formula>
    </cfRule>
    <cfRule type="containsText" dxfId="347" priority="181" operator="containsText" text="P">
      <formula>NOT(ISERROR(SEARCH("P",AI176)))</formula>
    </cfRule>
    <cfRule type="expression" dxfId="346" priority="182" stopIfTrue="1">
      <formula>IF(WEEKDAY(AI$8)=1,TRUE,FALSE)</formula>
    </cfRule>
    <cfRule type="containsText" dxfId="345" priority="183" operator="containsText" text="P">
      <formula>NOT(ISERROR(SEARCH("P",AI176)))</formula>
    </cfRule>
    <cfRule type="containsText" dxfId="344" priority="184" operator="containsText" text="K">
      <formula>NOT(ISERROR(SEARCH("K",AI176)))</formula>
    </cfRule>
    <cfRule type="expression" dxfId="343" priority="185" stopIfTrue="1">
      <formula>IF(WEEKDAY(AI$8)=1,TRUE,FALSE)</formula>
    </cfRule>
    <cfRule type="containsText" dxfId="342" priority="186" operator="containsText" text="P">
      <formula>NOT(ISERROR(SEARCH("P",AI176)))</formula>
    </cfRule>
    <cfRule type="containsText" dxfId="341" priority="187" operator="containsText" text="K">
      <formula>NOT(ISERROR(SEARCH("K",AI176)))</formula>
    </cfRule>
    <cfRule type="expression" dxfId="340" priority="188" stopIfTrue="1">
      <formula>IF(WEEKDAY(AI$8)=1,TRUE,FALSE)</formula>
    </cfRule>
    <cfRule type="containsText" dxfId="339" priority="189" operator="containsText" text="P">
      <formula>NOT(ISERROR(SEARCH("P",AI176)))</formula>
    </cfRule>
    <cfRule type="containsText" dxfId="338" priority="190" operator="containsText" text="K">
      <formula>NOT(ISERROR(SEARCH("K",AI176)))</formula>
    </cfRule>
    <cfRule type="expression" dxfId="337" priority="191" stopIfTrue="1">
      <formula>IF(WEEKDAY(AI$8)=1,TRUE,FALSE)</formula>
    </cfRule>
    <cfRule type="containsText" dxfId="336" priority="192" operator="containsText" text="P">
      <formula>NOT(ISERROR(SEARCH("P",AI176)))</formula>
    </cfRule>
    <cfRule type="containsText" dxfId="335" priority="193" operator="containsText" text="K">
      <formula>NOT(ISERROR(SEARCH("K",AI176)))</formula>
    </cfRule>
    <cfRule type="expression" dxfId="334" priority="194" stopIfTrue="1">
      <formula>IF(WEEKDAY(AI$8)=1,TRUE,FALSE)</formula>
    </cfRule>
    <cfRule type="containsText" dxfId="333" priority="195" operator="containsText" text="P">
      <formula>NOT(ISERROR(SEARCH("P",AI176)))</formula>
    </cfRule>
    <cfRule type="containsText" dxfId="332" priority="196" operator="containsText" text="K">
      <formula>NOT(ISERROR(SEARCH("K",AI176)))</formula>
    </cfRule>
    <cfRule type="containsText" dxfId="331" priority="197" operator="containsText" text="P">
      <formula>NOT(ISERROR(SEARCH("P",AI176)))</formula>
    </cfRule>
    <cfRule type="containsText" dxfId="330" priority="198" operator="containsText" text="K">
      <formula>NOT(ISERROR(SEARCH("K",AI176)))</formula>
    </cfRule>
    <cfRule type="expression" dxfId="329" priority="199" stopIfTrue="1">
      <formula>IF(WEEKDAY(AI$8)=1,TRUE,FALSE)</formula>
    </cfRule>
  </conditionalFormatting>
  <conditionalFormatting sqref="AI176:AI177 K181:K199 AG191:AG193">
    <cfRule type="containsText" dxfId="328" priority="168" operator="containsText" text="P">
      <formula>NOT(ISERROR(SEARCH("P",K176)))</formula>
    </cfRule>
    <cfRule type="containsText" dxfId="327" priority="169" operator="containsText" text="K">
      <formula>NOT(ISERROR(SEARCH("K",K176)))</formula>
    </cfRule>
  </conditionalFormatting>
  <conditionalFormatting sqref="AI176:AI177">
    <cfRule type="expression" dxfId="326" priority="165" stopIfTrue="1">
      <formula>IF(WEEKDAY(AI$8)=1,TRUE,FALSE)</formula>
    </cfRule>
    <cfRule type="containsText" dxfId="325" priority="166" operator="containsText" text="P">
      <formula>NOT(ISERROR(SEARCH("P",AI176)))</formula>
    </cfRule>
    <cfRule type="containsText" dxfId="324" priority="167" operator="containsText" text="K">
      <formula>NOT(ISERROR(SEARCH("K",AI176)))</formula>
    </cfRule>
  </conditionalFormatting>
  <conditionalFormatting sqref="AI177">
    <cfRule type="expression" dxfId="323" priority="132" stopIfTrue="1">
      <formula>IF(WEEKDAY(AI$8)=1,TRUE,FALSE)</formula>
    </cfRule>
    <cfRule type="containsText" dxfId="322" priority="133" operator="containsText" text="P">
      <formula>NOT(ISERROR(SEARCH("P",AI177)))</formula>
    </cfRule>
    <cfRule type="containsText" dxfId="321" priority="134" operator="containsText" text="K">
      <formula>NOT(ISERROR(SEARCH("K",AI177)))</formula>
    </cfRule>
    <cfRule type="expression" dxfId="320" priority="135" stopIfTrue="1">
      <formula>IF(WEEKDAY(AI$8)=1,TRUE,FALSE)</formula>
    </cfRule>
    <cfRule type="containsText" dxfId="319" priority="136" operator="containsText" text="P">
      <formula>NOT(ISERROR(SEARCH("P",AI177)))</formula>
    </cfRule>
    <cfRule type="containsText" dxfId="318" priority="137" operator="containsText" text="K">
      <formula>NOT(ISERROR(SEARCH("K",AI177)))</formula>
    </cfRule>
    <cfRule type="containsText" dxfId="317" priority="138" operator="containsText" text="P">
      <formula>NOT(ISERROR(SEARCH("P",AI177)))</formula>
    </cfRule>
    <cfRule type="expression" dxfId="316" priority="139" stopIfTrue="1">
      <formula>IF(WEEKDAY(AI$8)=1,TRUE,FALSE)</formula>
    </cfRule>
    <cfRule type="containsText" dxfId="315" priority="140" operator="containsText" text="P">
      <formula>NOT(ISERROR(SEARCH("P",AI177)))</formula>
    </cfRule>
    <cfRule type="containsText" dxfId="314" priority="141" operator="containsText" text="K">
      <formula>NOT(ISERROR(SEARCH("K",AI177)))</formula>
    </cfRule>
    <cfRule type="expression" dxfId="313" priority="142" stopIfTrue="1">
      <formula>IF(WEEKDAY(AI$8)=1,TRUE,FALSE)</formula>
    </cfRule>
    <cfRule type="containsText" dxfId="312" priority="143" operator="containsText" text="P">
      <formula>NOT(ISERROR(SEARCH("P",AI177)))</formula>
    </cfRule>
    <cfRule type="containsText" dxfId="311" priority="144" operator="containsText" text="K">
      <formula>NOT(ISERROR(SEARCH("K",AI177)))</formula>
    </cfRule>
    <cfRule type="containsText" dxfId="310" priority="145" operator="containsText" text="P">
      <formula>NOT(ISERROR(SEARCH("P",AI177)))</formula>
    </cfRule>
    <cfRule type="expression" dxfId="309" priority="146" stopIfTrue="1">
      <formula>IF(WEEKDAY(AI$8)=1,TRUE,FALSE)</formula>
    </cfRule>
    <cfRule type="containsText" dxfId="308" priority="147" operator="containsText" text="P">
      <formula>NOT(ISERROR(SEARCH("P",AI177)))</formula>
    </cfRule>
    <cfRule type="containsText" dxfId="307" priority="148" operator="containsText" text="K">
      <formula>NOT(ISERROR(SEARCH("K",AI177)))</formula>
    </cfRule>
    <cfRule type="expression" dxfId="306" priority="149" stopIfTrue="1">
      <formula>IF(WEEKDAY(AI$8)=1,TRUE,FALSE)</formula>
    </cfRule>
    <cfRule type="containsText" dxfId="305" priority="150" operator="containsText" text="P">
      <formula>NOT(ISERROR(SEARCH("P",AI177)))</formula>
    </cfRule>
    <cfRule type="containsText" dxfId="304" priority="151" operator="containsText" text="K">
      <formula>NOT(ISERROR(SEARCH("K",AI177)))</formula>
    </cfRule>
    <cfRule type="containsText" dxfId="303" priority="152" operator="containsText" text="P">
      <formula>NOT(ISERROR(SEARCH("P",AI177)))</formula>
    </cfRule>
    <cfRule type="containsText" dxfId="302" priority="153" operator="containsText" text="K">
      <formula>NOT(ISERROR(SEARCH("K",AI177)))</formula>
    </cfRule>
    <cfRule type="expression" dxfId="301" priority="154" stopIfTrue="1">
      <formula>IF(WEEKDAY(AI$8)=1,TRUE,FALSE)</formula>
    </cfRule>
    <cfRule type="containsText" dxfId="300" priority="155" operator="containsText" text="P">
      <formula>NOT(ISERROR(SEARCH("P",AI177)))</formula>
    </cfRule>
    <cfRule type="containsText" dxfId="299" priority="156" operator="containsText" text="K">
      <formula>NOT(ISERROR(SEARCH("K",AI177)))</formula>
    </cfRule>
    <cfRule type="expression" dxfId="298" priority="157" stopIfTrue="1">
      <formula>IF(WEEKDAY(AI$8)=1,TRUE,FALSE)</formula>
    </cfRule>
    <cfRule type="containsText" dxfId="297" priority="158" operator="containsText" text="P">
      <formula>NOT(ISERROR(SEARCH("P",AI177)))</formula>
    </cfRule>
    <cfRule type="containsText" dxfId="296" priority="159" operator="containsText" text="K">
      <formula>NOT(ISERROR(SEARCH("K",AI177)))</formula>
    </cfRule>
    <cfRule type="expression" dxfId="295" priority="160" stopIfTrue="1">
      <formula>IF(WEEKDAY(AI$8)=1,TRUE,FALSE)</formula>
    </cfRule>
    <cfRule type="containsText" dxfId="294" priority="161" operator="containsText" text="P">
      <formula>NOT(ISERROR(SEARCH("P",AI177)))</formula>
    </cfRule>
    <cfRule type="containsText" dxfId="293" priority="162" operator="containsText" text="K">
      <formula>NOT(ISERROR(SEARCH("K",AI177)))</formula>
    </cfRule>
    <cfRule type="containsText" dxfId="292" priority="163" operator="containsText" text="P">
      <formula>NOT(ISERROR(SEARCH("P",AI177)))</formula>
    </cfRule>
    <cfRule type="containsText" dxfId="291" priority="164" operator="containsText" text="K">
      <formula>NOT(ISERROR(SEARCH("K",AI177)))</formula>
    </cfRule>
  </conditionalFormatting>
  <conditionalFormatting sqref="AI180">
    <cfRule type="expression" dxfId="290" priority="131" stopIfTrue="1">
      <formula>IF(WEEKDAY(AI$8)=1,TRUE,FALSE)</formula>
    </cfRule>
  </conditionalFormatting>
  <conditionalFormatting sqref="AI180:AI188 AH189:AI189">
    <cfRule type="containsText" dxfId="289" priority="130" operator="containsText" text="P">
      <formula>NOT(ISERROR(SEARCH("P",AH180)))</formula>
    </cfRule>
  </conditionalFormatting>
  <conditionalFormatting sqref="AI181:AI188 AH189:AI189 AI190:AI194 AH197:AI197">
    <cfRule type="containsText" dxfId="288" priority="129" operator="containsText" text="K">
      <formula>NOT(ISERROR(SEARCH("K",AH181)))</formula>
    </cfRule>
  </conditionalFormatting>
  <conditionalFormatting sqref="AI181:AI188 AH189:AI189 AI190:AI194">
    <cfRule type="containsText" dxfId="287" priority="128" operator="containsText" text="P">
      <formula>NOT(ISERROR(SEARCH("P",AH181)))</formula>
    </cfRule>
  </conditionalFormatting>
  <conditionalFormatting sqref="AI190:AI194">
    <cfRule type="containsText" dxfId="286" priority="127" operator="containsText" text="P">
      <formula>NOT(ISERROR(SEARCH("P",AI190)))</formula>
    </cfRule>
  </conditionalFormatting>
  <conditionalFormatting sqref="AI194 G104:I104 AI197:AI201">
    <cfRule type="containsText" dxfId="285" priority="126" operator="containsText" text="K">
      <formula>NOT(ISERROR(SEARCH("K",G104)))</formula>
    </cfRule>
  </conditionalFormatting>
  <conditionalFormatting sqref="AI194">
    <cfRule type="containsText" dxfId="284" priority="122" operator="containsText" text="P">
      <formula>NOT(ISERROR(SEARCH("P",AI194)))</formula>
    </cfRule>
    <cfRule type="containsText" dxfId="283" priority="123" operator="containsText" text="K">
      <formula>NOT(ISERROR(SEARCH("K",AI194)))</formula>
    </cfRule>
    <cfRule type="containsText" dxfId="282" priority="124" operator="containsText" text="P">
      <formula>NOT(ISERROR(SEARCH("P",AI194)))</formula>
    </cfRule>
    <cfRule type="containsText" dxfId="281" priority="125" operator="containsText" text="K">
      <formula>NOT(ISERROR(SEARCH("K",AI194)))</formula>
    </cfRule>
  </conditionalFormatting>
  <conditionalFormatting sqref="AI197:AI201">
    <cfRule type="containsText" dxfId="280" priority="121" operator="containsText" text="P">
      <formula>NOT(ISERROR(SEARCH("P",AI197)))</formula>
    </cfRule>
  </conditionalFormatting>
  <conditionalFormatting sqref="AI198:AI200">
    <cfRule type="containsText" dxfId="279" priority="119" operator="containsText" text="P">
      <formula>NOT(ISERROR(SEARCH("P",AI198)))</formula>
    </cfRule>
    <cfRule type="containsText" dxfId="278" priority="120" operator="containsText" text="K">
      <formula>NOT(ISERROR(SEARCH("K",AI198)))</formula>
    </cfRule>
  </conditionalFormatting>
  <conditionalFormatting sqref="AI198:AI215">
    <cfRule type="expression" dxfId="277" priority="118" stopIfTrue="1">
      <formula>IF(WEEKDAY(AI$8)=1,TRUE,FALSE)</formula>
    </cfRule>
  </conditionalFormatting>
  <conditionalFormatting sqref="AI201">
    <cfRule type="containsText" dxfId="276" priority="116" operator="containsText" text="P">
      <formula>NOT(ISERROR(SEARCH("P",AI201)))</formula>
    </cfRule>
    <cfRule type="containsText" dxfId="275" priority="117" operator="containsText" text="K">
      <formula>NOT(ISERROR(SEARCH("K",AI201)))</formula>
    </cfRule>
  </conditionalFormatting>
  <conditionalFormatting sqref="AI202:AI215">
    <cfRule type="containsText" dxfId="274" priority="112" operator="containsText" text="P">
      <formula>NOT(ISERROR(SEARCH("P",AI202)))</formula>
    </cfRule>
    <cfRule type="containsText" dxfId="273" priority="113" operator="containsText" text="K">
      <formula>NOT(ISERROR(SEARCH("K",AI202)))</formula>
    </cfRule>
    <cfRule type="containsText" dxfId="272" priority="114" operator="containsText" text="P">
      <formula>NOT(ISERROR(SEARCH("P",AI202)))</formula>
    </cfRule>
    <cfRule type="containsText" dxfId="271" priority="115" operator="containsText" text="K">
      <formula>NOT(ISERROR(SEARCH("K",AI202)))</formula>
    </cfRule>
  </conditionalFormatting>
  <conditionalFormatting sqref="AI226:AI227 AG227">
    <cfRule type="containsText" dxfId="270" priority="110" operator="containsText" text="P">
      <formula>NOT(ISERROR(SEARCH("P",AG226)))</formula>
    </cfRule>
    <cfRule type="containsText" dxfId="269" priority="111" operator="containsText" text="K">
      <formula>NOT(ISERROR(SEARCH("K",AG226)))</formula>
    </cfRule>
  </conditionalFormatting>
  <conditionalFormatting sqref="AI13:AJ14 G16:U16">
    <cfRule type="containsText" dxfId="268" priority="109" operator="containsText" text="K">
      <formula>NOT(ISERROR(SEARCH("K",G13)))</formula>
    </cfRule>
  </conditionalFormatting>
  <conditionalFormatting sqref="AI13:AJ14">
    <cfRule type="expression" dxfId="267" priority="108" stopIfTrue="1">
      <formula>IF(WEEKDAY(AI$8)=1,TRUE,FALSE)</formula>
    </cfRule>
  </conditionalFormatting>
  <conditionalFormatting sqref="AI141:AJ142">
    <cfRule type="expression" dxfId="266" priority="107" stopIfTrue="1">
      <formula>IF(WEEKDAY(AI$8)=1,TRUE,FALSE)</formula>
    </cfRule>
  </conditionalFormatting>
  <conditionalFormatting sqref="AI142:AJ142">
    <cfRule type="containsText" dxfId="265" priority="105" operator="containsText" text="P">
      <formula>NOT(ISERROR(SEARCH("P",AI142)))</formula>
    </cfRule>
    <cfRule type="containsText" dxfId="264" priority="106" operator="containsText" text="K">
      <formula>NOT(ISERROR(SEARCH("K",AI142)))</formula>
    </cfRule>
  </conditionalFormatting>
  <conditionalFormatting sqref="AI147:AJ149">
    <cfRule type="expression" dxfId="263" priority="102" stopIfTrue="1">
      <formula>IF(WEEKDAY(AI$8)=1,TRUE,FALSE)</formula>
    </cfRule>
    <cfRule type="containsText" dxfId="262" priority="103" operator="containsText" text="P">
      <formula>NOT(ISERROR(SEARCH("P",AI147)))</formula>
    </cfRule>
    <cfRule type="containsText" dxfId="261" priority="104" operator="containsText" text="K">
      <formula>NOT(ISERROR(SEARCH("K",AI147)))</formula>
    </cfRule>
  </conditionalFormatting>
  <conditionalFormatting sqref="AI180:AJ180">
    <cfRule type="containsText" dxfId="260" priority="100" operator="containsText" text="P">
      <formula>NOT(ISERROR(SEARCH("P",AI180)))</formula>
    </cfRule>
    <cfRule type="containsText" dxfId="259" priority="101" operator="containsText" text="K">
      <formula>NOT(ISERROR(SEARCH("K",AI180)))</formula>
    </cfRule>
  </conditionalFormatting>
  <conditionalFormatting sqref="AI180:AJ188 AH189:AJ189 AI190:AJ193">
    <cfRule type="containsText" dxfId="258" priority="99" operator="containsText" text="K">
      <formula>NOT(ISERROR(SEARCH("K",AH180)))</formula>
    </cfRule>
  </conditionalFormatting>
  <conditionalFormatting sqref="AJ15:AJ16 BF78:BF79 BF81 BF175 BF15:BG16 BF142 BF144:BF145 BF147:BF149">
    <cfRule type="containsText" dxfId="257" priority="98" operator="containsText" text="P">
      <formula>NOT(ISERROR(SEARCH("P",AJ15)))</formula>
    </cfRule>
  </conditionalFormatting>
  <conditionalFormatting sqref="AJ15:AJ16 BG156:BG158 BF15:BG16">
    <cfRule type="containsText" dxfId="256" priority="97" operator="containsText" text="K">
      <formula>NOT(ISERROR(SEARCH("K",AJ15)))</formula>
    </cfRule>
  </conditionalFormatting>
  <conditionalFormatting sqref="AJ15:AJ16 BG156:BG158">
    <cfRule type="expression" dxfId="255" priority="96" stopIfTrue="1">
      <formula>IF(WEEKDAY(AJ$8)=1,TRUE,FALSE)</formula>
    </cfRule>
  </conditionalFormatting>
  <conditionalFormatting sqref="AJ15:AJ16">
    <cfRule type="containsText" dxfId="254" priority="95" operator="containsText" text="P">
      <formula>NOT(ISERROR(SEARCH("P",AJ15)))</formula>
    </cfRule>
  </conditionalFormatting>
  <conditionalFormatting sqref="AJ18:AJ23 G190:G192">
    <cfRule type="expression" dxfId="253" priority="93" stopIfTrue="1">
      <formula>IF(WEEKDAY(G$8)=1,TRUE,FALSE)</formula>
    </cfRule>
    <cfRule type="containsText" dxfId="252" priority="94" operator="containsText" text="K">
      <formula>NOT(ISERROR(SEARCH("K",G18)))</formula>
    </cfRule>
  </conditionalFormatting>
  <conditionalFormatting sqref="AJ38:AJ42 G57:P57 R57:S66 U57:Y66 F58:M58 P58 I59:L59 M59:P66 I60:I64 K60:L64 I65:L66 AF40:AI42">
    <cfRule type="containsText" dxfId="251" priority="92" operator="containsText" text="K">
      <formula>NOT(ISERROR(SEARCH("K",F38)))</formula>
    </cfRule>
  </conditionalFormatting>
  <conditionalFormatting sqref="AJ41:AJ42">
    <cfRule type="containsText" dxfId="250" priority="90" operator="containsText" text="P">
      <formula>NOT(ISERROR(SEARCH("P",AJ41)))</formula>
    </cfRule>
    <cfRule type="containsText" dxfId="249" priority="91" operator="containsText" text="K">
      <formula>NOT(ISERROR(SEARCH("K",AJ41)))</formula>
    </cfRule>
  </conditionalFormatting>
  <conditionalFormatting sqref="AJ50:AJ105 AF106:AJ112 T109:Y112 Q85:Q91 AJ27:AJ36 BF27:BG36 F24:AJ24 W44 J44:J45 M44:M46 Q44:Q46 L44:L47 S44:S47 AJ44:AJ48 BF44:BG48 Z50:AE112 R90:Y90 F113:Y115 Z113:AJ117 I151:I153 AJ151:AJ158 BF151:BG162">
    <cfRule type="containsText" dxfId="248" priority="89" operator="containsText" text="K">
      <formula>NOT(ISERROR(SEARCH("K",F24)))</formula>
    </cfRule>
  </conditionalFormatting>
  <conditionalFormatting sqref="AJ144:AJ145">
    <cfRule type="expression" dxfId="247" priority="86" stopIfTrue="1">
      <formula>IF(WEEKDAY(AJ$8)=1,TRUE,FALSE)</formula>
    </cfRule>
    <cfRule type="containsText" dxfId="246" priority="87" operator="containsText" text="P">
      <formula>NOT(ISERROR(SEARCH("P",AJ144)))</formula>
    </cfRule>
    <cfRule type="containsText" dxfId="245" priority="88" operator="containsText" text="K">
      <formula>NOT(ISERROR(SEARCH("K",AJ144)))</formula>
    </cfRule>
  </conditionalFormatting>
  <conditionalFormatting sqref="AJ151:AJ162">
    <cfRule type="expression" dxfId="244" priority="85" stopIfTrue="1">
      <formula>IF(WEEKDAY(AJ$8)=1,TRUE,FALSE)</formula>
    </cfRule>
  </conditionalFormatting>
  <conditionalFormatting sqref="AJ157:AJ159">
    <cfRule type="containsText" dxfId="243" priority="84" operator="containsText" text="K">
      <formula>NOT(ISERROR(SEARCH("K",AJ157)))</formula>
    </cfRule>
  </conditionalFormatting>
  <conditionalFormatting sqref="AJ161">
    <cfRule type="containsText" dxfId="242" priority="83" operator="containsText" text="P">
      <formula>NOT(ISERROR(SEARCH("P",AJ161)))</formula>
    </cfRule>
  </conditionalFormatting>
  <conditionalFormatting sqref="AJ161:AJ162">
    <cfRule type="containsText" dxfId="241" priority="82" operator="containsText" text="K">
      <formula>NOT(ISERROR(SEARCH("K",AJ161)))</formula>
    </cfRule>
  </conditionalFormatting>
  <conditionalFormatting sqref="AJ11:BG12">
    <cfRule type="expression" dxfId="240" priority="79" stopIfTrue="1">
      <formula>IF(WEEKDAY(AJ$8)=1,TRUE,FALSE)</formula>
    </cfRule>
    <cfRule type="containsText" dxfId="239" priority="80" operator="containsText" text="P">
      <formula>NOT(ISERROR(SEARCH("P",AJ11)))</formula>
    </cfRule>
    <cfRule type="containsText" dxfId="238" priority="81" operator="containsText" text="K">
      <formula>NOT(ISERROR(SEARCH("K",AJ11)))</formula>
    </cfRule>
  </conditionalFormatting>
  <conditionalFormatting sqref="BF26">
    <cfRule type="expression" dxfId="237" priority="76" stopIfTrue="1">
      <formula>IF(WEEKDAY(BF$8)=1,TRUE,FALSE)</formula>
    </cfRule>
    <cfRule type="containsText" dxfId="236" priority="77" operator="containsText" text="P">
      <formula>NOT(ISERROR(SEARCH("P",BF26)))</formula>
    </cfRule>
    <cfRule type="containsText" dxfId="235" priority="78" operator="containsText" text="K">
      <formula>NOT(ISERROR(SEARCH("K",BF26)))</formula>
    </cfRule>
  </conditionalFormatting>
  <conditionalFormatting sqref="BF141">
    <cfRule type="expression" dxfId="234" priority="74" stopIfTrue="1">
      <formula>IF(WEEKDAY(BF$8)=1,TRUE,FALSE)</formula>
    </cfRule>
    <cfRule type="containsText" dxfId="233" priority="75" operator="containsText" text="P">
      <formula>NOT(ISERROR(SEARCH("P",BF141)))</formula>
    </cfRule>
  </conditionalFormatting>
  <conditionalFormatting sqref="BF141:BF142 BF144:BF145 BF147:BF149 BF175">
    <cfRule type="containsText" dxfId="232" priority="73" operator="containsText" text="K">
      <formula>NOT(ISERROR(SEARCH("K",BF141)))</formula>
    </cfRule>
  </conditionalFormatting>
  <conditionalFormatting sqref="BF142 BF144:BG145 BF147:BG149 BF175 BF13:BG16 BF90">
    <cfRule type="containsText" dxfId="231" priority="72" operator="containsText" text="P">
      <formula>NOT(ISERROR(SEARCH("P",BF13)))</formula>
    </cfRule>
  </conditionalFormatting>
  <conditionalFormatting sqref="BF224:BF225">
    <cfRule type="expression" dxfId="230" priority="69" stopIfTrue="1">
      <formula>IF(WEEKDAY(BF$8)=1,TRUE,FALSE)</formula>
    </cfRule>
    <cfRule type="containsText" dxfId="229" priority="70" operator="containsText" text="P">
      <formula>NOT(ISERROR(SEARCH("P",BF224)))</formula>
    </cfRule>
    <cfRule type="containsText" dxfId="228" priority="71" operator="containsText" text="K">
      <formula>NOT(ISERROR(SEARCH("K",BF224)))</formula>
    </cfRule>
  </conditionalFormatting>
  <conditionalFormatting sqref="BF13:BG16 BF90 BF142 BF144:BG145 BF147:BG149 BF175 BF78:BF79 BF81">
    <cfRule type="containsText" dxfId="227" priority="68" operator="containsText" text="K">
      <formula>NOT(ISERROR(SEARCH("K",BF13)))</formula>
    </cfRule>
  </conditionalFormatting>
  <conditionalFormatting sqref="BF13:BG16 BF142 BF144:BG145 BF147:BG149 BF175">
    <cfRule type="expression" dxfId="226" priority="67" stopIfTrue="1">
      <formula>IF(WEEKDAY(BF$8)=1,TRUE,FALSE)</formula>
    </cfRule>
  </conditionalFormatting>
  <conditionalFormatting sqref="BF18:BG23 F23 H23:M23 O23:S23 E23:E24 E38:E42 E47:E48 E50:E56 BF50:BG139 E58:E61 E63:E80 E85:E89 E91 E93:E96 E98:E100 E103:E107 E113:E118 E144:E145 E151:E161 E164:E166 AJ164:AJ178 BF164:BG178 E172 E175:E176 AJ180:AJ215 BF180:BG215">
    <cfRule type="expression" dxfId="225" priority="66" stopIfTrue="1">
      <formula>IF(WEEKDAY(E$8)=1,TRUE,FALSE)</formula>
    </cfRule>
  </conditionalFormatting>
  <conditionalFormatting sqref="BF18:BG25 E38:E39 E41:E42 E47 BF50:BG139 E51:E55 E58:E61 E63:E67 E79:F79 E85:E89 E91 E96 E98:E99 E103:E105 E113:E116 E118:AJ119 E145 E152 E156:E160 E164:E165 AJ164:AJ178 BF164:BG178 E172 E176 BF180:BG215">
    <cfRule type="containsText" dxfId="224" priority="65" operator="containsText" text="K">
      <formula>NOT(ISERROR(SEARCH("K",E18)))</formula>
    </cfRule>
  </conditionalFormatting>
  <conditionalFormatting sqref="BF24:BG25">
    <cfRule type="expression" dxfId="223" priority="64" stopIfTrue="1">
      <formula>IF(WEEKDAY(BF$8)=1,TRUE,FALSE)</formula>
    </cfRule>
  </conditionalFormatting>
  <conditionalFormatting sqref="BG17 F44 H44:K44 M44 O44:R44 Q99 G103:I103 K103:S103 T44 V44">
    <cfRule type="containsText" dxfId="222" priority="63" operator="containsText" text="P">
      <formula>NOT(ISERROR(SEARCH("P",F17)))</formula>
    </cfRule>
  </conditionalFormatting>
  <conditionalFormatting sqref="BG17">
    <cfRule type="containsText" dxfId="221" priority="62" operator="containsText" text="K">
      <formula>NOT(ISERROR(SEARCH("K",BG17)))</formula>
    </cfRule>
  </conditionalFormatting>
  <conditionalFormatting sqref="BG42">
    <cfRule type="containsText" dxfId="220" priority="60" operator="containsText" text="P">
      <formula>NOT(ISERROR(SEARCH("P",BG42)))</formula>
    </cfRule>
    <cfRule type="containsText" dxfId="219" priority="61" operator="containsText" text="K">
      <formula>NOT(ISERROR(SEARCH("K",BG42)))</formula>
    </cfRule>
  </conditionalFormatting>
  <conditionalFormatting sqref="BG141:BG142">
    <cfRule type="expression" dxfId="218" priority="57" stopIfTrue="1">
      <formula>IF(WEEKDAY(BG$8)=1,TRUE,FALSE)</formula>
    </cfRule>
    <cfRule type="containsText" dxfId="217" priority="58" operator="containsText" text="P">
      <formula>NOT(ISERROR(SEARCH("P",BG141)))</formula>
    </cfRule>
    <cfRule type="containsText" dxfId="216" priority="59" operator="containsText" text="K">
      <formula>NOT(ISERROR(SEARCH("K",BG141)))</formula>
    </cfRule>
  </conditionalFormatting>
  <conditionalFormatting sqref="BG166:BG169">
    <cfRule type="expression" dxfId="215" priority="54" stopIfTrue="1">
      <formula>IF(WEEKDAY(BG$8)=1,TRUE,FALSE)</formula>
    </cfRule>
    <cfRule type="containsText" dxfId="214" priority="55" operator="containsText" text="P">
      <formula>NOT(ISERROR(SEARCH("P",BG166)))</formula>
    </cfRule>
    <cfRule type="containsText" dxfId="213" priority="56" operator="containsText" text="K">
      <formula>NOT(ISERROR(SEARCH("K",BG166)))</formula>
    </cfRule>
  </conditionalFormatting>
  <conditionalFormatting sqref="E184:F184">
    <cfRule type="expression" dxfId="212" priority="51" stopIfTrue="1">
      <formula>IF(WEEKDAY(E$8)=1,TRUE,FALSE)</formula>
    </cfRule>
    <cfRule type="containsText" dxfId="211" priority="52" operator="containsText" text="P">
      <formula>NOT(ISERROR(SEARCH("P",E184)))</formula>
    </cfRule>
    <cfRule type="containsText" dxfId="210" priority="53" operator="containsText" text="K">
      <formula>NOT(ISERROR(SEARCH("K",E184)))</formula>
    </cfRule>
  </conditionalFormatting>
  <conditionalFormatting sqref="M184:O184">
    <cfRule type="expression" dxfId="209" priority="48" stopIfTrue="1">
      <formula>IF(WEEKDAY(M$8)=1,TRUE,FALSE)</formula>
    </cfRule>
    <cfRule type="containsText" dxfId="208" priority="49" operator="containsText" text="P">
      <formula>NOT(ISERROR(SEARCH("P",M184)))</formula>
    </cfRule>
    <cfRule type="containsText" dxfId="207" priority="50" operator="containsText" text="K">
      <formula>NOT(ISERROR(SEARCH("K",M184)))</formula>
    </cfRule>
  </conditionalFormatting>
  <conditionalFormatting sqref="E186:F186">
    <cfRule type="expression" dxfId="206" priority="45" stopIfTrue="1">
      <formula>IF(WEEKDAY(E$8)=1,TRUE,FALSE)</formula>
    </cfRule>
    <cfRule type="containsText" dxfId="205" priority="46" operator="containsText" text="P">
      <formula>NOT(ISERROR(SEARCH("P",E186)))</formula>
    </cfRule>
    <cfRule type="containsText" dxfId="204" priority="47" operator="containsText" text="K">
      <formula>NOT(ISERROR(SEARCH("K",E186)))</formula>
    </cfRule>
  </conditionalFormatting>
  <conditionalFormatting sqref="M186:O186">
    <cfRule type="expression" dxfId="203" priority="42" stopIfTrue="1">
      <formula>IF(WEEKDAY(M$8)=1,TRUE,FALSE)</formula>
    </cfRule>
    <cfRule type="containsText" dxfId="202" priority="43" operator="containsText" text="P">
      <formula>NOT(ISERROR(SEARCH("P",M186)))</formula>
    </cfRule>
    <cfRule type="containsText" dxfId="201" priority="44" operator="containsText" text="K">
      <formula>NOT(ISERROR(SEARCH("K",M186)))</formula>
    </cfRule>
  </conditionalFormatting>
  <conditionalFormatting sqref="E188:F188">
    <cfRule type="expression" dxfId="200" priority="39" stopIfTrue="1">
      <formula>IF(WEEKDAY(E$8)=1,TRUE,FALSE)</formula>
    </cfRule>
    <cfRule type="containsText" dxfId="199" priority="40" operator="containsText" text="P">
      <formula>NOT(ISERROR(SEARCH("P",E188)))</formula>
    </cfRule>
    <cfRule type="containsText" dxfId="198" priority="41" operator="containsText" text="K">
      <formula>NOT(ISERROR(SEARCH("K",E188)))</formula>
    </cfRule>
  </conditionalFormatting>
  <conditionalFormatting sqref="M188:O188">
    <cfRule type="expression" dxfId="197" priority="36" stopIfTrue="1">
      <formula>IF(WEEKDAY(M$8)=1,TRUE,FALSE)</formula>
    </cfRule>
    <cfRule type="containsText" dxfId="196" priority="37" operator="containsText" text="P">
      <formula>NOT(ISERROR(SEARCH("P",M188)))</formula>
    </cfRule>
    <cfRule type="containsText" dxfId="195" priority="38" operator="containsText" text="K">
      <formula>NOT(ISERROR(SEARCH("K",M188)))</formula>
    </cfRule>
  </conditionalFormatting>
  <conditionalFormatting sqref="E191:F192">
    <cfRule type="expression" dxfId="194" priority="33" stopIfTrue="1">
      <formula>IF(WEEKDAY(E$8)=1,TRUE,FALSE)</formula>
    </cfRule>
    <cfRule type="containsText" dxfId="193" priority="34" operator="containsText" text="P">
      <formula>NOT(ISERROR(SEARCH("P",E191)))</formula>
    </cfRule>
    <cfRule type="containsText" dxfId="192" priority="35" operator="containsText" text="K">
      <formula>NOT(ISERROR(SEARCH("K",E191)))</formula>
    </cfRule>
  </conditionalFormatting>
  <conditionalFormatting sqref="M191:O192">
    <cfRule type="expression" dxfId="191" priority="30" stopIfTrue="1">
      <formula>IF(WEEKDAY(M$8)=1,TRUE,FALSE)</formula>
    </cfRule>
    <cfRule type="containsText" dxfId="190" priority="31" operator="containsText" text="P">
      <formula>NOT(ISERROR(SEARCH("P",M191)))</formula>
    </cfRule>
    <cfRule type="containsText" dxfId="189" priority="32" operator="containsText" text="K">
      <formula>NOT(ISERROR(SEARCH("K",M191)))</formula>
    </cfRule>
  </conditionalFormatting>
  <conditionalFormatting sqref="M194:O194">
    <cfRule type="expression" dxfId="188" priority="27" stopIfTrue="1">
      <formula>IF(WEEKDAY(M$8)=1,TRUE,FALSE)</formula>
    </cfRule>
    <cfRule type="containsText" dxfId="187" priority="28" operator="containsText" text="P">
      <formula>NOT(ISERROR(SEARCH("P",M194)))</formula>
    </cfRule>
    <cfRule type="containsText" dxfId="186" priority="29" operator="containsText" text="K">
      <formula>NOT(ISERROR(SEARCH("K",M194)))</formula>
    </cfRule>
  </conditionalFormatting>
  <conditionalFormatting sqref="M200:O200">
    <cfRule type="expression" dxfId="185" priority="24" stopIfTrue="1">
      <formula>IF(WEEKDAY(M$8)=1,TRUE,FALSE)</formula>
    </cfRule>
    <cfRule type="containsText" dxfId="184" priority="25" operator="containsText" text="P">
      <formula>NOT(ISERROR(SEARCH("P",M200)))</formula>
    </cfRule>
    <cfRule type="containsText" dxfId="183" priority="26" operator="containsText" text="K">
      <formula>NOT(ISERROR(SEARCH("K",M200)))</formula>
    </cfRule>
  </conditionalFormatting>
  <conditionalFormatting sqref="M202:O202">
    <cfRule type="expression" dxfId="182" priority="21" stopIfTrue="1">
      <formula>IF(WEEKDAY(M$8)=1,TRUE,FALSE)</formula>
    </cfRule>
    <cfRule type="containsText" dxfId="181" priority="22" operator="containsText" text="P">
      <formula>NOT(ISERROR(SEARCH("P",M202)))</formula>
    </cfRule>
    <cfRule type="containsText" dxfId="180" priority="23" operator="containsText" text="K">
      <formula>NOT(ISERROR(SEARCH("K",M202)))</formula>
    </cfRule>
  </conditionalFormatting>
  <conditionalFormatting sqref="M203:N203">
    <cfRule type="expression" dxfId="179" priority="18" stopIfTrue="1">
      <formula>IF(WEEKDAY(M$8)=1,TRUE,FALSE)</formula>
    </cfRule>
    <cfRule type="containsText" dxfId="178" priority="19" operator="containsText" text="P">
      <formula>NOT(ISERROR(SEARCH("P",M203)))</formula>
    </cfRule>
    <cfRule type="containsText" dxfId="177" priority="20" operator="containsText" text="K">
      <formula>NOT(ISERROR(SEARCH("K",M203)))</formula>
    </cfRule>
  </conditionalFormatting>
  <conditionalFormatting sqref="E204:F206">
    <cfRule type="expression" dxfId="176" priority="15" stopIfTrue="1">
      <formula>IF(WEEKDAY(E$8)=1,TRUE,FALSE)</formula>
    </cfRule>
    <cfRule type="containsText" dxfId="175" priority="16" operator="containsText" text="P">
      <formula>NOT(ISERROR(SEARCH("P",E204)))</formula>
    </cfRule>
    <cfRule type="containsText" dxfId="174" priority="17" operator="containsText" text="K">
      <formula>NOT(ISERROR(SEARCH("K",E204)))</formula>
    </cfRule>
  </conditionalFormatting>
  <conditionalFormatting sqref="M205:O206">
    <cfRule type="expression" dxfId="173" priority="12" stopIfTrue="1">
      <formula>IF(WEEKDAY(M$8)=1,TRUE,FALSE)</formula>
    </cfRule>
    <cfRule type="containsText" dxfId="172" priority="13" operator="containsText" text="P">
      <formula>NOT(ISERROR(SEARCH("P",M205)))</formula>
    </cfRule>
    <cfRule type="containsText" dxfId="171" priority="14" operator="containsText" text="K">
      <formula>NOT(ISERROR(SEARCH("K",M205)))</formula>
    </cfRule>
  </conditionalFormatting>
  <conditionalFormatting sqref="E211:F213">
    <cfRule type="expression" dxfId="170" priority="9" stopIfTrue="1">
      <formula>IF(WEEKDAY(E$8)=1,TRUE,FALSE)</formula>
    </cfRule>
    <cfRule type="containsText" dxfId="169" priority="10" operator="containsText" text="P">
      <formula>NOT(ISERROR(SEARCH("P",E211)))</formula>
    </cfRule>
    <cfRule type="containsText" dxfId="168" priority="11" operator="containsText" text="K">
      <formula>NOT(ISERROR(SEARCH("K",E211)))</formula>
    </cfRule>
  </conditionalFormatting>
  <conditionalFormatting sqref="M211:O213">
    <cfRule type="expression" dxfId="167" priority="6" stopIfTrue="1">
      <formula>IF(WEEKDAY(M$8)=1,TRUE,FALSE)</formula>
    </cfRule>
    <cfRule type="containsText" dxfId="166" priority="7" operator="containsText" text="P">
      <formula>NOT(ISERROR(SEARCH("P",M211)))</formula>
    </cfRule>
    <cfRule type="containsText" dxfId="165" priority="8" operator="containsText" text="K">
      <formula>NOT(ISERROR(SEARCH("K",M211)))</formula>
    </cfRule>
  </conditionalFormatting>
  <conditionalFormatting sqref="K137:P137">
    <cfRule type="expression" dxfId="164" priority="5" stopIfTrue="1">
      <formula>IF(WEEKDAY(G$8)=1,TRUE,FALSE)</formula>
    </cfRule>
  </conditionalFormatting>
  <conditionalFormatting sqref="R137:W137">
    <cfRule type="expression" dxfId="163" priority="4" stopIfTrue="1">
      <formula>IF(WEEKDAY(N$8)=1,TRUE,FALSE)</formula>
    </cfRule>
  </conditionalFormatting>
  <conditionalFormatting sqref="AF196:AI196">
    <cfRule type="expression" dxfId="162" priority="1" stopIfTrue="1">
      <formula>IF(WEEKDAY(AF$8)=1,TRUE,FALSE)</formula>
    </cfRule>
    <cfRule type="containsText" dxfId="161" priority="2" operator="containsText" text="P">
      <formula>NOT(ISERROR(SEARCH("P",AF196)))</formula>
    </cfRule>
    <cfRule type="containsText" dxfId="160" priority="3" operator="containsText" text="K">
      <formula>NOT(ISERROR(SEARCH("K",AF196)))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4C6E-9752-4740-A877-6FF3D88A32A3}">
  <dimension ref="A1:BGJ167"/>
  <sheetViews>
    <sheetView tabSelected="1" workbookViewId="0">
      <selection activeCell="I16" sqref="I16"/>
    </sheetView>
  </sheetViews>
  <sheetFormatPr defaultColWidth="9.140625" defaultRowHeight="12.75" outlineLevelRow="1" outlineLevelCol="1" x14ac:dyDescent="0.25"/>
  <cols>
    <col min="1" max="1" width="6.140625" style="152" customWidth="1"/>
    <col min="2" max="2" width="9.28515625" style="364" customWidth="1"/>
    <col min="3" max="3" width="31.7109375" style="27" customWidth="1"/>
    <col min="4" max="4" width="10.85546875" style="27" customWidth="1"/>
    <col min="5" max="5" width="4.28515625" style="146" customWidth="1"/>
    <col min="6" max="6" width="4" style="146" customWidth="1"/>
    <col min="7" max="9" width="3.85546875" style="146" customWidth="1"/>
    <col min="10" max="10" width="4.140625" style="146" customWidth="1"/>
    <col min="11" max="11" width="5.42578125" style="146" customWidth="1"/>
    <col min="12" max="12" width="3.85546875" style="146" customWidth="1"/>
    <col min="13" max="13" width="4.140625" style="146" customWidth="1"/>
    <col min="14" max="19" width="3.85546875" style="146" customWidth="1"/>
    <col min="20" max="20" width="4.28515625" style="146" customWidth="1"/>
    <col min="21" max="21" width="4.42578125" style="146" customWidth="1"/>
    <col min="22" max="23" width="3.85546875" style="146" customWidth="1"/>
    <col min="24" max="24" width="5.28515625" style="146" customWidth="1"/>
    <col min="25" max="25" width="3.85546875" style="146" customWidth="1"/>
    <col min="26" max="26" width="3.7109375" style="144" customWidth="1"/>
    <col min="27" max="27" width="4.85546875" style="144" customWidth="1"/>
    <col min="28" max="29" width="4" style="144" customWidth="1"/>
    <col min="30" max="31" width="3.85546875" style="144" customWidth="1"/>
    <col min="32" max="32" width="3.7109375" style="144" customWidth="1"/>
    <col min="33" max="33" width="5" style="144" customWidth="1"/>
    <col min="34" max="35" width="4.5703125" style="144" customWidth="1"/>
    <col min="36" max="36" width="9.140625" style="149" outlineLevel="1"/>
    <col min="37" max="37" width="13.140625" style="149" customWidth="1" outlineLevel="1"/>
    <col min="38" max="38" width="12.28515625" style="149" customWidth="1" outlineLevel="1"/>
    <col min="39" max="39" width="15.28515625" style="397" customWidth="1"/>
    <col min="40" max="40" width="18.5703125" style="397" customWidth="1"/>
    <col min="41" max="41" width="10" style="397" customWidth="1"/>
    <col min="42" max="43" width="8.28515625" style="397" customWidth="1"/>
    <col min="44" max="44" width="7.5703125" style="397" customWidth="1"/>
    <col min="45" max="45" width="10.7109375" style="397" customWidth="1"/>
    <col min="46" max="46" width="10" style="397" customWidth="1"/>
    <col min="47" max="47" width="9.42578125" style="397" customWidth="1"/>
    <col min="48" max="48" width="9.85546875" style="397" customWidth="1"/>
    <col min="49" max="49" width="9" style="397" customWidth="1"/>
    <col min="50" max="50" width="10.42578125" style="27" customWidth="1"/>
    <col min="51" max="51" width="18.42578125" style="27" customWidth="1"/>
    <col min="52" max="52" width="12.28515625" style="27" customWidth="1"/>
    <col min="53" max="53" width="33.140625" style="27" customWidth="1"/>
    <col min="54" max="54" width="9.140625" style="27" outlineLevel="1"/>
    <col min="55" max="56" width="9.140625" style="27" hidden="1" customWidth="1"/>
    <col min="57" max="57" width="27.85546875" style="27" hidden="1" customWidth="1"/>
    <col min="58" max="58" width="7.140625" style="27" hidden="1" customWidth="1"/>
    <col min="59" max="59" width="9.140625" style="27" hidden="1" customWidth="1"/>
    <col min="60" max="60" width="12.42578125" style="27" hidden="1" customWidth="1"/>
    <col min="61" max="67" width="9.140625" style="27" hidden="1" customWidth="1"/>
    <col min="68" max="16384" width="9.140625" style="27"/>
  </cols>
  <sheetData>
    <row r="1" spans="1:66 1544:1544" s="3" customFormat="1" ht="34.5" customHeight="1" x14ac:dyDescent="0.25">
      <c r="A1" s="271"/>
      <c r="B1" s="272"/>
      <c r="C1" s="273"/>
      <c r="D1" s="274" t="str">
        <f>"BẢNG CHẤM CÔNG THÁNG "&amp;MONTH(E10)&amp;"/"&amp;YEAR(E10)</f>
        <v>BẢNG CHẤM CÔNG THÁNG 6/2026</v>
      </c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275"/>
      <c r="AV1" s="275"/>
      <c r="AW1" s="275"/>
      <c r="AX1" s="275"/>
      <c r="AY1" s="275"/>
      <c r="AZ1" s="275"/>
      <c r="BA1" s="276"/>
    </row>
    <row r="2" spans="1:66 1544:1544" s="3" customFormat="1" ht="7.5" customHeight="1" x14ac:dyDescent="0.25">
      <c r="A2" s="277"/>
      <c r="B2" s="278"/>
      <c r="C2" s="279"/>
      <c r="D2" s="280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81"/>
    </row>
    <row r="3" spans="1:66 1544:1544" s="3" customFormat="1" ht="12" customHeight="1" thickBot="1" x14ac:dyDescent="0.3">
      <c r="A3" s="282"/>
      <c r="B3" s="283"/>
      <c r="C3" s="284"/>
      <c r="D3" s="285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86"/>
    </row>
    <row r="4" spans="1:66 1544:1544" s="10" customFormat="1" ht="31.5" customHeight="1" x14ac:dyDescent="0.25">
      <c r="A4" s="287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  <c r="AN4" s="288"/>
      <c r="AO4" s="288"/>
      <c r="AP4" s="288"/>
      <c r="AQ4" s="288"/>
      <c r="AR4" s="288"/>
      <c r="AS4" s="288"/>
      <c r="AT4" s="288"/>
      <c r="AU4" s="288"/>
      <c r="AV4" s="288"/>
      <c r="AW4" s="288"/>
      <c r="AX4" s="288"/>
      <c r="AY4" s="289"/>
      <c r="AZ4" s="289"/>
      <c r="BA4" s="290"/>
    </row>
    <row r="5" spans="1:66 1544:1544" s="10" customFormat="1" ht="24.75" customHeight="1" outlineLevel="1" x14ac:dyDescent="0.25">
      <c r="A5" s="291" t="s">
        <v>518</v>
      </c>
      <c r="B5" s="292"/>
      <c r="C5" s="14" t="s">
        <v>519</v>
      </c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293"/>
      <c r="V5" s="15"/>
      <c r="W5" s="15"/>
      <c r="X5" s="15"/>
      <c r="Y5" s="15"/>
      <c r="Z5" s="15"/>
      <c r="AA5" s="15"/>
      <c r="AB5" s="293"/>
      <c r="AC5" s="15"/>
      <c r="AD5" s="15"/>
      <c r="AE5" s="15"/>
      <c r="AF5" s="15"/>
      <c r="AG5" s="15"/>
      <c r="AH5" s="15"/>
      <c r="AI5" s="15"/>
      <c r="AJ5" s="16"/>
      <c r="AK5" s="16"/>
      <c r="AL5" s="16"/>
      <c r="AM5" s="16"/>
      <c r="AN5" s="294"/>
      <c r="AO5" s="294"/>
      <c r="AP5" s="294"/>
      <c r="AQ5" s="294"/>
      <c r="AR5" s="294"/>
      <c r="AS5" s="294"/>
      <c r="AT5" s="294"/>
      <c r="AU5" s="294"/>
      <c r="AV5" s="294"/>
      <c r="AW5" s="294"/>
      <c r="AX5" s="294"/>
      <c r="AY5" s="294"/>
      <c r="AZ5" s="294"/>
    </row>
    <row r="6" spans="1:66 1544:1544" s="10" customFormat="1" ht="15" customHeight="1" outlineLevel="1" x14ac:dyDescent="0.25">
      <c r="A6" s="291"/>
      <c r="B6" s="295">
        <v>46174</v>
      </c>
      <c r="C6" s="14" t="s">
        <v>520</v>
      </c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293"/>
      <c r="V6" s="15"/>
      <c r="W6" s="15"/>
      <c r="X6" s="15"/>
      <c r="Y6" s="15"/>
      <c r="Z6" s="15"/>
      <c r="AA6" s="15"/>
      <c r="AB6" s="293"/>
      <c r="AC6" s="15"/>
      <c r="AD6" s="15"/>
      <c r="AE6" s="15"/>
      <c r="AF6" s="15"/>
      <c r="AG6" s="15"/>
      <c r="AH6" s="15"/>
      <c r="AI6" s="15"/>
      <c r="AJ6" s="16"/>
      <c r="AK6" s="16"/>
      <c r="AL6" s="16"/>
      <c r="AM6" s="16"/>
      <c r="AN6" s="294"/>
      <c r="AO6" s="294"/>
      <c r="AP6" s="294"/>
      <c r="AQ6" s="294"/>
      <c r="AR6" s="294"/>
      <c r="AS6" s="294"/>
      <c r="AT6" s="294"/>
      <c r="AU6" s="294"/>
      <c r="AV6" s="294"/>
      <c r="AW6" s="294"/>
      <c r="AX6" s="294"/>
      <c r="AY6" s="294"/>
      <c r="AZ6" s="294"/>
    </row>
    <row r="7" spans="1:66 1544:1544" s="10" customFormat="1" ht="13.5" customHeight="1" outlineLevel="1" x14ac:dyDescent="0.25">
      <c r="A7" s="291"/>
      <c r="B7" s="292"/>
      <c r="C7" s="14" t="s">
        <v>521</v>
      </c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293"/>
      <c r="V7" s="15"/>
      <c r="W7" s="15"/>
      <c r="X7" s="15"/>
      <c r="Y7" s="15"/>
      <c r="Z7" s="15"/>
      <c r="AA7" s="15"/>
      <c r="AB7" s="293"/>
      <c r="AC7" s="15"/>
      <c r="AD7" s="15"/>
      <c r="AE7" s="15"/>
      <c r="AF7" s="15"/>
      <c r="AG7" s="15"/>
      <c r="AH7" s="15"/>
      <c r="AI7" s="15"/>
      <c r="AJ7" s="16"/>
      <c r="AK7" s="16"/>
      <c r="AL7" s="16"/>
      <c r="AM7" s="16"/>
      <c r="AN7" s="294"/>
      <c r="AO7" s="294"/>
      <c r="AP7" s="294"/>
      <c r="AQ7" s="294"/>
      <c r="AR7" s="294"/>
      <c r="AS7" s="294"/>
      <c r="AT7" s="294"/>
      <c r="AU7" s="294"/>
      <c r="AV7" s="294"/>
      <c r="AW7" s="294"/>
      <c r="AX7" s="294"/>
      <c r="AY7" s="294"/>
      <c r="AZ7" s="294"/>
    </row>
    <row r="8" spans="1:66 1544:1544" s="299" customFormat="1" ht="13.7" customHeight="1" outlineLevel="1" thickBot="1" x14ac:dyDescent="0.3">
      <c r="A8" s="296"/>
      <c r="B8" s="297">
        <v>1</v>
      </c>
      <c r="C8" s="298">
        <f t="shared" ref="C8:BA8" si="0">B8+1</f>
        <v>2</v>
      </c>
      <c r="D8" s="298">
        <f t="shared" si="0"/>
        <v>3</v>
      </c>
      <c r="E8" s="298">
        <f t="shared" si="0"/>
        <v>4</v>
      </c>
      <c r="F8" s="298">
        <f t="shared" si="0"/>
        <v>5</v>
      </c>
      <c r="G8" s="298">
        <f t="shared" si="0"/>
        <v>6</v>
      </c>
      <c r="H8" s="298">
        <f t="shared" si="0"/>
        <v>7</v>
      </c>
      <c r="I8" s="298">
        <f t="shared" si="0"/>
        <v>8</v>
      </c>
      <c r="J8" s="298">
        <f t="shared" si="0"/>
        <v>9</v>
      </c>
      <c r="K8" s="298">
        <f t="shared" si="0"/>
        <v>10</v>
      </c>
      <c r="L8" s="298">
        <f t="shared" si="0"/>
        <v>11</v>
      </c>
      <c r="M8" s="298">
        <f t="shared" si="0"/>
        <v>12</v>
      </c>
      <c r="N8" s="298">
        <f t="shared" si="0"/>
        <v>13</v>
      </c>
      <c r="O8" s="298">
        <f t="shared" si="0"/>
        <v>14</v>
      </c>
      <c r="P8" s="298">
        <f t="shared" si="0"/>
        <v>15</v>
      </c>
      <c r="Q8" s="298">
        <f t="shared" si="0"/>
        <v>16</v>
      </c>
      <c r="R8" s="298">
        <f t="shared" si="0"/>
        <v>17</v>
      </c>
      <c r="S8" s="298">
        <f t="shared" si="0"/>
        <v>18</v>
      </c>
      <c r="T8" s="298">
        <f t="shared" si="0"/>
        <v>19</v>
      </c>
      <c r="U8" s="298">
        <f t="shared" si="0"/>
        <v>20</v>
      </c>
      <c r="V8" s="298">
        <f t="shared" si="0"/>
        <v>21</v>
      </c>
      <c r="W8" s="298">
        <f t="shared" si="0"/>
        <v>22</v>
      </c>
      <c r="X8" s="298">
        <f t="shared" si="0"/>
        <v>23</v>
      </c>
      <c r="Y8" s="298">
        <f t="shared" si="0"/>
        <v>24</v>
      </c>
      <c r="Z8" s="298">
        <f t="shared" si="0"/>
        <v>25</v>
      </c>
      <c r="AA8" s="298">
        <f t="shared" si="0"/>
        <v>26</v>
      </c>
      <c r="AB8" s="298">
        <f t="shared" si="0"/>
        <v>27</v>
      </c>
      <c r="AC8" s="298">
        <f t="shared" si="0"/>
        <v>28</v>
      </c>
      <c r="AD8" s="298">
        <f t="shared" si="0"/>
        <v>29</v>
      </c>
      <c r="AE8" s="298">
        <f t="shared" si="0"/>
        <v>30</v>
      </c>
      <c r="AF8" s="298">
        <f t="shared" si="0"/>
        <v>31</v>
      </c>
      <c r="AG8" s="298">
        <f t="shared" si="0"/>
        <v>32</v>
      </c>
      <c r="AH8" s="298">
        <f t="shared" si="0"/>
        <v>33</v>
      </c>
      <c r="AI8" s="298">
        <f t="shared" si="0"/>
        <v>34</v>
      </c>
      <c r="AJ8" s="298">
        <f t="shared" si="0"/>
        <v>35</v>
      </c>
      <c r="AK8" s="298">
        <f t="shared" si="0"/>
        <v>36</v>
      </c>
      <c r="AL8" s="298">
        <f t="shared" si="0"/>
        <v>37</v>
      </c>
      <c r="AM8" s="298">
        <f t="shared" si="0"/>
        <v>38</v>
      </c>
      <c r="AN8" s="298">
        <f t="shared" si="0"/>
        <v>39</v>
      </c>
      <c r="AO8" s="298">
        <f t="shared" si="0"/>
        <v>40</v>
      </c>
      <c r="AP8" s="298">
        <f t="shared" si="0"/>
        <v>41</v>
      </c>
      <c r="AQ8" s="298">
        <f t="shared" si="0"/>
        <v>42</v>
      </c>
      <c r="AR8" s="298">
        <f t="shared" si="0"/>
        <v>43</v>
      </c>
      <c r="AS8" s="298">
        <f t="shared" si="0"/>
        <v>44</v>
      </c>
      <c r="AT8" s="298">
        <f t="shared" si="0"/>
        <v>45</v>
      </c>
      <c r="AU8" s="298">
        <f t="shared" si="0"/>
        <v>46</v>
      </c>
      <c r="AV8" s="298">
        <f t="shared" si="0"/>
        <v>47</v>
      </c>
      <c r="AW8" s="298">
        <f t="shared" si="0"/>
        <v>48</v>
      </c>
      <c r="AX8" s="298">
        <f t="shared" si="0"/>
        <v>49</v>
      </c>
      <c r="AY8" s="298">
        <f t="shared" si="0"/>
        <v>50</v>
      </c>
      <c r="AZ8" s="298">
        <f t="shared" si="0"/>
        <v>51</v>
      </c>
      <c r="BA8" s="298">
        <f t="shared" si="0"/>
        <v>52</v>
      </c>
    </row>
    <row r="9" spans="1:66 1544:1544" ht="25.5" customHeight="1" x14ac:dyDescent="0.25">
      <c r="A9" s="300" t="s">
        <v>1</v>
      </c>
      <c r="B9" s="300" t="s">
        <v>2</v>
      </c>
      <c r="C9" s="301" t="s">
        <v>3</v>
      </c>
      <c r="D9" s="301" t="s">
        <v>4</v>
      </c>
      <c r="E9" s="301" t="s">
        <v>522</v>
      </c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2" t="str">
        <f>"Phép tồn đến hết tháng "&amp;MONTH(E10)&amp;"-"&amp;YEAR(E10)</f>
        <v>Phép tồn đến hết tháng 6-2026</v>
      </c>
      <c r="AK9" s="226" t="s">
        <v>8</v>
      </c>
      <c r="AL9" s="226" t="s">
        <v>9</v>
      </c>
      <c r="AM9" s="302" t="s">
        <v>523</v>
      </c>
      <c r="AN9" s="303" t="s">
        <v>10</v>
      </c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2" t="s">
        <v>11</v>
      </c>
      <c r="BA9" s="304" t="s">
        <v>13</v>
      </c>
      <c r="BB9" s="305" t="s">
        <v>524</v>
      </c>
      <c r="BE9" s="27" t="s">
        <v>18</v>
      </c>
    </row>
    <row r="10" spans="1:66 1544:1544" ht="32.25" customHeight="1" x14ac:dyDescent="0.25">
      <c r="A10" s="300"/>
      <c r="B10" s="300"/>
      <c r="C10" s="301"/>
      <c r="D10" s="301"/>
      <c r="E10" s="29">
        <f>B6</f>
        <v>46174</v>
      </c>
      <c r="F10" s="29">
        <f>E10+1</f>
        <v>46175</v>
      </c>
      <c r="G10" s="29">
        <f t="shared" ref="G10:AI10" si="1">F10+1</f>
        <v>46176</v>
      </c>
      <c r="H10" s="29">
        <f t="shared" si="1"/>
        <v>46177</v>
      </c>
      <c r="I10" s="29">
        <f t="shared" si="1"/>
        <v>46178</v>
      </c>
      <c r="J10" s="29">
        <f t="shared" si="1"/>
        <v>46179</v>
      </c>
      <c r="K10" s="29">
        <f t="shared" si="1"/>
        <v>46180</v>
      </c>
      <c r="L10" s="29">
        <f t="shared" si="1"/>
        <v>46181</v>
      </c>
      <c r="M10" s="29">
        <f t="shared" si="1"/>
        <v>46182</v>
      </c>
      <c r="N10" s="29">
        <f t="shared" si="1"/>
        <v>46183</v>
      </c>
      <c r="O10" s="29">
        <f t="shared" si="1"/>
        <v>46184</v>
      </c>
      <c r="P10" s="29">
        <f t="shared" si="1"/>
        <v>46185</v>
      </c>
      <c r="Q10" s="29">
        <f t="shared" si="1"/>
        <v>46186</v>
      </c>
      <c r="R10" s="29">
        <f t="shared" si="1"/>
        <v>46187</v>
      </c>
      <c r="S10" s="29">
        <f t="shared" si="1"/>
        <v>46188</v>
      </c>
      <c r="T10" s="29">
        <f t="shared" si="1"/>
        <v>46189</v>
      </c>
      <c r="U10" s="29">
        <f t="shared" si="1"/>
        <v>46190</v>
      </c>
      <c r="V10" s="29">
        <f t="shared" si="1"/>
        <v>46191</v>
      </c>
      <c r="W10" s="29">
        <f t="shared" si="1"/>
        <v>46192</v>
      </c>
      <c r="X10" s="29">
        <f t="shared" si="1"/>
        <v>46193</v>
      </c>
      <c r="Y10" s="29">
        <f t="shared" si="1"/>
        <v>46194</v>
      </c>
      <c r="Z10" s="29">
        <f t="shared" si="1"/>
        <v>46195</v>
      </c>
      <c r="AA10" s="29">
        <f t="shared" si="1"/>
        <v>46196</v>
      </c>
      <c r="AB10" s="29">
        <f t="shared" si="1"/>
        <v>46197</v>
      </c>
      <c r="AC10" s="29">
        <f t="shared" si="1"/>
        <v>46198</v>
      </c>
      <c r="AD10" s="29">
        <f t="shared" si="1"/>
        <v>46199</v>
      </c>
      <c r="AE10" s="29">
        <f t="shared" si="1"/>
        <v>46200</v>
      </c>
      <c r="AF10" s="29">
        <f t="shared" si="1"/>
        <v>46201</v>
      </c>
      <c r="AG10" s="29">
        <f t="shared" si="1"/>
        <v>46202</v>
      </c>
      <c r="AH10" s="29">
        <f t="shared" si="1"/>
        <v>46203</v>
      </c>
      <c r="AI10" s="29">
        <f t="shared" si="1"/>
        <v>46204</v>
      </c>
      <c r="AJ10" s="302"/>
      <c r="AK10" s="227"/>
      <c r="AL10" s="227"/>
      <c r="AM10" s="302"/>
      <c r="AN10" s="303" t="s">
        <v>19</v>
      </c>
      <c r="AO10" s="303" t="s">
        <v>20</v>
      </c>
      <c r="AP10" s="303" t="s">
        <v>525</v>
      </c>
      <c r="AQ10" s="303" t="s">
        <v>22</v>
      </c>
      <c r="AR10" s="303" t="s">
        <v>23</v>
      </c>
      <c r="AS10" s="303" t="s">
        <v>24</v>
      </c>
      <c r="AT10" s="306" t="s">
        <v>526</v>
      </c>
      <c r="AU10" s="306" t="s">
        <v>526</v>
      </c>
      <c r="AV10" s="307" t="s">
        <v>527</v>
      </c>
      <c r="AW10" s="306" t="s">
        <v>528</v>
      </c>
      <c r="AX10" s="306" t="s">
        <v>529</v>
      </c>
      <c r="AY10" s="308" t="s">
        <v>529</v>
      </c>
      <c r="AZ10" s="302"/>
      <c r="BA10" s="304"/>
      <c r="BB10" s="305"/>
    </row>
    <row r="11" spans="1:66 1544:1544" ht="43.5" customHeight="1" x14ac:dyDescent="0.25">
      <c r="A11" s="300"/>
      <c r="B11" s="300"/>
      <c r="C11" s="301"/>
      <c r="D11" s="301"/>
      <c r="E11" s="309" t="str">
        <f>CHOOSE(WEEKDAY(E10),"C.Nhật","T.Hai","T.Ba","T.Tư","T.Năm","T.Sáu","T.Bảy")</f>
        <v>T.Hai</v>
      </c>
      <c r="F11" s="309" t="str">
        <f t="shared" ref="F11:AI11" si="2">CHOOSE(WEEKDAY(F10),"C.Nhật","T.Hai","T.Ba","T.Tư","T.Năm","T.Sáu","T.Bảy")</f>
        <v>T.Ba</v>
      </c>
      <c r="G11" s="309" t="str">
        <f t="shared" si="2"/>
        <v>T.Tư</v>
      </c>
      <c r="H11" s="309" t="str">
        <f t="shared" si="2"/>
        <v>T.Năm</v>
      </c>
      <c r="I11" s="309" t="str">
        <f t="shared" si="2"/>
        <v>T.Sáu</v>
      </c>
      <c r="J11" s="309" t="str">
        <f t="shared" si="2"/>
        <v>T.Bảy</v>
      </c>
      <c r="K11" s="309" t="str">
        <f t="shared" si="2"/>
        <v>C.Nhật</v>
      </c>
      <c r="L11" s="309" t="str">
        <f t="shared" si="2"/>
        <v>T.Hai</v>
      </c>
      <c r="M11" s="309" t="str">
        <f t="shared" si="2"/>
        <v>T.Ba</v>
      </c>
      <c r="N11" s="309" t="str">
        <f t="shared" si="2"/>
        <v>T.Tư</v>
      </c>
      <c r="O11" s="309" t="str">
        <f t="shared" si="2"/>
        <v>T.Năm</v>
      </c>
      <c r="P11" s="309" t="str">
        <f t="shared" si="2"/>
        <v>T.Sáu</v>
      </c>
      <c r="Q11" s="309" t="str">
        <f t="shared" si="2"/>
        <v>T.Bảy</v>
      </c>
      <c r="R11" s="309" t="str">
        <f t="shared" si="2"/>
        <v>C.Nhật</v>
      </c>
      <c r="S11" s="309" t="str">
        <f t="shared" si="2"/>
        <v>T.Hai</v>
      </c>
      <c r="T11" s="309" t="str">
        <f t="shared" si="2"/>
        <v>T.Ba</v>
      </c>
      <c r="U11" s="309" t="str">
        <f t="shared" si="2"/>
        <v>T.Tư</v>
      </c>
      <c r="V11" s="309" t="str">
        <f t="shared" si="2"/>
        <v>T.Năm</v>
      </c>
      <c r="W11" s="309" t="str">
        <f t="shared" si="2"/>
        <v>T.Sáu</v>
      </c>
      <c r="X11" s="309" t="str">
        <f t="shared" si="2"/>
        <v>T.Bảy</v>
      </c>
      <c r="Y11" s="309" t="str">
        <f t="shared" si="2"/>
        <v>C.Nhật</v>
      </c>
      <c r="Z11" s="309" t="str">
        <f t="shared" si="2"/>
        <v>T.Hai</v>
      </c>
      <c r="AA11" s="309" t="str">
        <f t="shared" si="2"/>
        <v>T.Ba</v>
      </c>
      <c r="AB11" s="309" t="str">
        <f t="shared" si="2"/>
        <v>T.Tư</v>
      </c>
      <c r="AC11" s="309" t="str">
        <f t="shared" si="2"/>
        <v>T.Năm</v>
      </c>
      <c r="AD11" s="309" t="str">
        <f t="shared" si="2"/>
        <v>T.Sáu</v>
      </c>
      <c r="AE11" s="309" t="str">
        <f t="shared" si="2"/>
        <v>T.Bảy</v>
      </c>
      <c r="AF11" s="309" t="str">
        <f t="shared" si="2"/>
        <v>C.Nhật</v>
      </c>
      <c r="AG11" s="309" t="str">
        <f t="shared" si="2"/>
        <v>T.Hai</v>
      </c>
      <c r="AH11" s="309" t="str">
        <f t="shared" si="2"/>
        <v>T.Ba</v>
      </c>
      <c r="AI11" s="309" t="str">
        <f t="shared" si="2"/>
        <v>T.Tư</v>
      </c>
      <c r="AJ11" s="302"/>
      <c r="AK11" s="227"/>
      <c r="AL11" s="227"/>
      <c r="AM11" s="302"/>
      <c r="AN11" s="303"/>
      <c r="AO11" s="303"/>
      <c r="AP11" s="303"/>
      <c r="AQ11" s="303"/>
      <c r="AR11" s="303"/>
      <c r="AS11" s="303"/>
      <c r="AT11" s="306" t="s">
        <v>530</v>
      </c>
      <c r="AU11" s="306" t="s">
        <v>531</v>
      </c>
      <c r="AV11" s="307" t="s">
        <v>530</v>
      </c>
      <c r="AW11" s="306" t="s">
        <v>531</v>
      </c>
      <c r="AX11" s="306" t="s">
        <v>530</v>
      </c>
      <c r="AY11" s="306" t="s">
        <v>531</v>
      </c>
      <c r="AZ11" s="302"/>
      <c r="BA11" s="304"/>
      <c r="BB11" s="305"/>
      <c r="BH11" s="27" t="s">
        <v>532</v>
      </c>
    </row>
    <row r="12" spans="1:66 1544:1544" ht="14.25" customHeight="1" x14ac:dyDescent="0.25">
      <c r="A12" s="310"/>
      <c r="B12" s="311"/>
      <c r="C12" s="312"/>
      <c r="D12" s="313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14"/>
      <c r="AK12" s="314"/>
      <c r="AL12" s="314"/>
      <c r="AM12" s="314"/>
      <c r="AN12" s="307"/>
      <c r="AO12" s="307"/>
      <c r="AP12" s="307"/>
      <c r="AQ12" s="307"/>
      <c r="AR12" s="307"/>
      <c r="AS12" s="307"/>
      <c r="AT12" s="306"/>
      <c r="AU12" s="306"/>
      <c r="AV12" s="315"/>
      <c r="AW12" s="306"/>
      <c r="AX12" s="306"/>
      <c r="AY12" s="306"/>
      <c r="AZ12" s="314"/>
      <c r="BA12" s="316"/>
    </row>
    <row r="13" spans="1:66 1544:1544" ht="17.25" customHeight="1" outlineLevel="1" x14ac:dyDescent="0.25">
      <c r="A13" s="317"/>
      <c r="B13" s="317"/>
      <c r="C13" s="317" t="s">
        <v>533</v>
      </c>
      <c r="D13" s="313">
        <f>COUNTA(A14:A17)</f>
        <v>4</v>
      </c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8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9"/>
    </row>
    <row r="14" spans="1:66 1544:1544" ht="15" customHeight="1" outlineLevel="1" x14ac:dyDescent="0.25">
      <c r="A14" s="88">
        <f>IF(B14="","",MAX(A12:A13)+1)</f>
        <v>1</v>
      </c>
      <c r="B14" s="320" t="s">
        <v>534</v>
      </c>
      <c r="C14" s="321" t="s">
        <v>503</v>
      </c>
      <c r="D14" s="322"/>
      <c r="E14" s="323" t="s">
        <v>38</v>
      </c>
      <c r="F14" s="323" t="s">
        <v>38</v>
      </c>
      <c r="G14" s="323" t="s">
        <v>38</v>
      </c>
      <c r="H14" s="323" t="s">
        <v>38</v>
      </c>
      <c r="I14" s="323" t="s">
        <v>38</v>
      </c>
      <c r="J14" s="323" t="s">
        <v>38</v>
      </c>
      <c r="K14" s="323"/>
      <c r="L14" s="323" t="s">
        <v>38</v>
      </c>
      <c r="M14" s="323" t="s">
        <v>38</v>
      </c>
      <c r="N14" s="323" t="s">
        <v>38</v>
      </c>
      <c r="O14" s="323" t="s">
        <v>38</v>
      </c>
      <c r="P14" s="323" t="s">
        <v>38</v>
      </c>
      <c r="Q14" s="323" t="s">
        <v>38</v>
      </c>
      <c r="R14" s="323"/>
      <c r="S14" s="323" t="s">
        <v>38</v>
      </c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4">
        <v>0</v>
      </c>
      <c r="AK14" s="325">
        <f>COUNTIF(E14:AI14,"H4")+COUNTIF(E14:AI14,"H")+COUNTIF(E14:AI14,"Bu")+COUNTIF(E14:AI14,"N")+COUNTIF(E14:AI14,"N1")*1/8+COUNTIF(E14:AI14,"N2")*2/8+COUNTIF(E14:AI14,"N3")*3/8+COUNTIF(E14:AI14,"N4")*4/8+COUNTIF(E14:AI14,"N5")*5/8+COUNTIF(E14:AI14,"N6")*6/8+COUNTIF(E14:AI14,"N7")*7/8+COUNTIF(E14:AI14,"N8")*8/8+COUNTIF(E14:AI14,"C")+COUNTIF(E14:AI14,"C1")+COUNTIF(E14:AI14,"C2")+COUNTIF(E14:AI14,"C2.9")+COUNTIF(E14:AI14,"C3")+COUNTIF(E14:AI14,"C3.8")+COUNTIF(E14:AI14,"C4")+COUNTIF(E14:AI14,"C4.0")+COUNTIF(E14:AI14,"C4.1")+COUNTIF(E14:AI14,"C4.4")+COUNTIF(E14:AI14,"C4.6")+COUNTIF(E14:AI14,"C4.9")+COUNTIF(E14:AI14,"C5")+COUNTIF(E14:AI14,"C6")+COUNTIF(E14:AI14,"C6.5")+COUNTIF(E14:AI14,"C6.0")+COUNTIF(E14:AI14,"C7")+COUNTIF(E14:AI14,"C7.6")+COUNTIF(E14:AI14,"C7.7")+COUNTIF(E14:AI14,"N6.4")*6.4/8+COUNTIF(E14:AI14,"Ro1")*1/8+COUNTIF(E14:AI14,"Ro2")*2/8+COUNTIF(E14:AI14,"Ro3")*3/8+COUNTIF(E14:AI14,"Ro4")*4/8+COUNTIF(E14:AI14,"Ro4.0")*4/8+COUNTIF(E14:AI14,"Ro5")*5/8+COUNTIF(E14:AI14,"Ro6")*6/8+COUNTIF(E14:AI14,"Ro6.5")*6.5/8+COUNTIF(E14:AI14,"Ro7")*7/8+COUNTIF(E14:AI14,"Ro7.3")*7.3/8+COUNTIF(E14:AI14,"Ro7.5")*7.5/8+COUNTIF(E14:AI14,"Ro7.8")*7.8/8+COUNTIF(E14:AI14,"Bu1")+COUNTIF(E14:AI14,"Bu2")+COUNTIF(E14:AI14,"Bu3")+COUNTIF(E14:AI14,"Bu4")+COUNTIF(E14:AI14,"Bu5")+COUNTIF(E14:AI14,"Bu6")+COUNTIF(E14:AI14,"Bu7")+COUNTIF(E14:AI14,"P2")*4/8</f>
        <v>13</v>
      </c>
      <c r="AL14" s="325">
        <f>COUNTIF(E14:AI14,"D")+COUNTIF(E14:AI14,"D1")*1/BB14+COUNTIF(E14:AI14,"D2")*2/BB14+COUNTIF(E14:AI14,"D3")*3/BB14+COUNTIF(E14:AI14,"D4")*4/BB14+COUNTIF(E14:AI14,"D5")*5/BB14+COUNTIF(E14:AI14,"D6")*6/BB14+COUNTIF(E14:AI14,"D7")*7/BB14+COUNTIF(E14:AI14,"D8")*8/BB14</f>
        <v>0</v>
      </c>
      <c r="AM14" s="326">
        <f>+$AI$10-$E$10+1-INT(($AI$10-$E$10-WEEKDAY($AI$10)+8)/7)</f>
        <v>27</v>
      </c>
      <c r="AN14" s="327">
        <f>AK14+AL14</f>
        <v>13</v>
      </c>
      <c r="AO14" s="327">
        <f>COUNTIF(E14:AI14,"p")+COUNTIF(E14:AI14,"P2")/2+COUNTIF(E14:AI14,"P1")/2</f>
        <v>0</v>
      </c>
      <c r="AP14" s="327">
        <f>COUNTIF(E14:AI14,"k")</f>
        <v>0</v>
      </c>
      <c r="AQ14" s="327">
        <f>COUNTIF(E14:AI14,"KL")+COUNTIF(E14:AI14,"O")+COUNTIF(E14:AI14,"O/")/2+COUNTIF(E14:AI14,"TN")+COUNTIF(E14:AI14,"4P4KL")/2+COUNTIF(E14:AI14,"P1")*0.5+COUNTIF(E14:AI14,"Ro")+COUNTIF(E14:AI14,"Ro1")*7/8+COUNTIF(E14:AI14,"Ro2")*6/8+COUNTIF(E14:AI14,"Ro3")*5/8+COUNTIF(E14:AI14,"Ro4")*4/8+COUNTIF(E14:AI14,"Ro4.0")*4/8+COUNTIF(E14:AI14,"Ro5")*3/8+COUNTIF(E14:AI14,"Ro6")*2/8+COUNTIF(E14:AI14,"Ro6.5")*1.5/8+COUNTIF(E14:AI14,"Ro7")*1/8+COUNTIF(E14:AI14,"Ro7.3")*0.7/8+COUNTIF(E14:AI14,"Ro7.5")*0.5/8+COUNTIF(E14:AI14,"Ro7.8")*0.2/8+COUNTIF(E14:AI14,"N7")*1/8+COUNTIF(E14:AI14,"N6")*2/8+COUNTIF(E14:AI14,"N5")*3/8+COUNTIF(E14:AI14,"N4")*4/8+COUNTIF(E14:AI14,"N3")*5/8+COUNTIF(E14:AI14,"N2")*6/8+COUNTIF(E14:AI14,"N1")*7/8</f>
        <v>0</v>
      </c>
      <c r="AR14" s="327">
        <f>COUNTIF(E14:AI14,"*R")</f>
        <v>0</v>
      </c>
      <c r="AS14" s="327">
        <f>COUNTIF(E14:AI14,"L")*1+COUNTIF(E14:AI14,"0.5L")*0.5</f>
        <v>0</v>
      </c>
      <c r="AT14" s="327"/>
      <c r="AU14" s="327"/>
      <c r="AV14" s="327"/>
      <c r="AW14" s="327"/>
      <c r="AX14" s="327"/>
      <c r="AY14" s="327"/>
      <c r="AZ14" s="327">
        <f>AN14+AO14+AS14+AR14</f>
        <v>13</v>
      </c>
      <c r="BA14" s="328"/>
      <c r="BB14" s="27">
        <v>8</v>
      </c>
      <c r="BC14" s="27" t="str">
        <f>VLOOKUP(B14,'[2]Bang luong_06'!$B$10:$C$333,2,0)</f>
        <v>Nguyễn Thị Việt Hòa</v>
      </c>
      <c r="BE14" s="151" t="str">
        <f>VLOOKUP($B14,'[2]Bang luong_06'!$B$10:$C$333,2,0)</f>
        <v>Nguyễn Thị Việt Hòa</v>
      </c>
      <c r="BF14" s="27" t="b">
        <f>BE14=C14</f>
        <v>1</v>
      </c>
      <c r="BH14" s="329">
        <v>0</v>
      </c>
      <c r="BI14" s="27" t="e">
        <v>#N/A</v>
      </c>
      <c r="BK14" s="27" t="s">
        <v>503</v>
      </c>
      <c r="BN14" s="330">
        <v>0</v>
      </c>
      <c r="BGJ14" s="27" t="s">
        <v>503</v>
      </c>
    </row>
    <row r="15" spans="1:66 1544:1544" ht="16.5" customHeight="1" outlineLevel="1" x14ac:dyDescent="0.25">
      <c r="A15" s="88">
        <f t="shared" ref="A15:A73" si="3">IF(B15="","",MAX(A13:A14)+1)</f>
        <v>2</v>
      </c>
      <c r="B15" s="320" t="s">
        <v>535</v>
      </c>
      <c r="C15" s="321" t="s">
        <v>536</v>
      </c>
      <c r="D15" s="322">
        <v>44902</v>
      </c>
      <c r="E15" s="323" t="s">
        <v>38</v>
      </c>
      <c r="F15" s="323" t="s">
        <v>38</v>
      </c>
      <c r="G15" s="323" t="s">
        <v>38</v>
      </c>
      <c r="H15" s="323" t="s">
        <v>38</v>
      </c>
      <c r="I15" s="323" t="s">
        <v>38</v>
      </c>
      <c r="J15" s="323" t="s">
        <v>38</v>
      </c>
      <c r="K15" s="323"/>
      <c r="L15" s="323" t="s">
        <v>38</v>
      </c>
      <c r="M15" s="323" t="s">
        <v>38</v>
      </c>
      <c r="N15" s="323" t="s">
        <v>38</v>
      </c>
      <c r="O15" s="323" t="s">
        <v>38</v>
      </c>
      <c r="P15" s="323" t="s">
        <v>38</v>
      </c>
      <c r="Q15" s="323" t="s">
        <v>38</v>
      </c>
      <c r="R15" s="323"/>
      <c r="S15" s="323" t="s">
        <v>38</v>
      </c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69">
        <f>VLOOKUP($B15,[1]NV!$B$9:$DL$219,114,0)</f>
        <v>2</v>
      </c>
      <c r="AK15" s="325">
        <f>COUNTIF(E15:AI15,"H4")+COUNTIF(E15:AI15,"H")+COUNTIF(E15:AI15,"Bu")+COUNTIF(E15:AI15,"N")+COUNTIF(E15:AI15,"N1")*1/8+COUNTIF(E15:AI15,"N2")*2/8+COUNTIF(E15:AI15,"N3")*3/8+COUNTIF(E15:AI15,"N4")*4/8+COUNTIF(E15:AI15,"N5")*5/8+COUNTIF(E15:AI15,"N6")*6/8+COUNTIF(E15:AI15,"N7")*7/8+COUNTIF(E15:AI15,"N8")*8/8+COUNTIF(E15:AI15,"C")+COUNTIF(E15:AI15,"C1")+COUNTIF(E15:AI15,"C2")+COUNTIF(E15:AI15,"C2.9")+COUNTIF(E15:AI15,"C3")+COUNTIF(E15:AI15,"C3.8")+COUNTIF(E15:AI15,"C4")+COUNTIF(E15:AI15,"C4.0")+COUNTIF(E15:AI15,"C4.1")+COUNTIF(E15:AI15,"C4.4")+COUNTIF(E15:AI15,"C4.6")+COUNTIF(E15:AI15,"C4.9")+COUNTIF(E15:AI15,"C5")+COUNTIF(E15:AI15,"C6")+COUNTIF(E15:AI15,"C6.5")+COUNTIF(E15:AI15,"C6.0")+COUNTIF(E15:AI15,"C7")+COUNTIF(E15:AI15,"C7.6")+COUNTIF(E15:AI15,"C7.7")+COUNTIF(E15:AI15,"N6.4")*6.4/8+COUNTIF(E15:AI15,"Ro1")*1/8+COUNTIF(E15:AI15,"Ro2")*2/8+COUNTIF(E15:AI15,"Ro3")*3/8+COUNTIF(E15:AI15,"Ro4")*4/8+COUNTIF(E15:AI15,"Ro4.0")*4/8+COUNTIF(E15:AI15,"Ro5")*5/8+COUNTIF(E15:AI15,"Ro6")*6/8+COUNTIF(E15:AI15,"Ro6.5")*6.5/8+COUNTIF(E15:AI15,"Ro7")*7/8+COUNTIF(E15:AI15,"Ro7.3")*7.3/8+COUNTIF(E15:AI15,"Ro7.5")*7.5/8+COUNTIF(E15:AI15,"Ro7.8")*7.8/8+COUNTIF(E15:AI15,"Bu1")+COUNTIF(E15:AI15,"Bu2")+COUNTIF(E15:AI15,"Bu3")+COUNTIF(E15:AI15,"Bu4")+COUNTIF(E15:AI15,"Bu5")+COUNTIF(E15:AI15,"Bu6")+COUNTIF(E15:AI15,"Bu7")+COUNTIF(E15:AI15,"P2")*4/8</f>
        <v>13</v>
      </c>
      <c r="AL15" s="325">
        <f>COUNTIF(E15:AI15,"D")+COUNTIF(E15:AI15,"D1")*1/BB15+COUNTIF(E15:AI15,"D2")*2/BB15+COUNTIF(E15:AI15,"D3")*3/BB15+COUNTIF(E15:AI15,"D4")*4/BB15+COUNTIF(E15:AI15,"D5")*5/BB15+COUNTIF(E15:AI15,"D6")*6/BB15+COUNTIF(E15:AI15,"D7")*7/BB15+COUNTIF(E15:AI15,"D8")*8/BB15</f>
        <v>0</v>
      </c>
      <c r="AM15" s="326">
        <f t="shared" ref="AM15:AM17" si="4">+$AH$10-$E$10+1-INT(($AH$10-$E$10-WEEKDAY($AH$10)+8)/7)</f>
        <v>26</v>
      </c>
      <c r="AN15" s="327">
        <f>AK15+AL15</f>
        <v>13</v>
      </c>
      <c r="AO15" s="327">
        <f>COUNTIF(E15:AI15,"p")+COUNTIF(E15:AI15,"P2")/2+COUNTIF(E15:AI15,"P1")/2</f>
        <v>0</v>
      </c>
      <c r="AP15" s="327">
        <f>COUNTIF(E15:AI15,"k")</f>
        <v>0</v>
      </c>
      <c r="AQ15" s="327">
        <f>COUNTIF(E15:AI15,"KL")+COUNTIF(E15:AI15,"O")+COUNTIF(E15:AI15,"O/")/2+COUNTIF(E15:AI15,"TN")+COUNTIF(E15:AI15,"4P4KL")/2+COUNTIF(E15:AI15,"P1")*0.5+COUNTIF(E15:AI15,"Ro")+COUNTIF(E15:AI15,"Ro1")*7/8+COUNTIF(E15:AI15,"Ro2")*6/8+COUNTIF(E15:AI15,"Ro3")*5/8+COUNTIF(E15:AI15,"Ro4")*4/8+COUNTIF(E15:AI15,"Ro4.0")*4/8+COUNTIF(E15:AI15,"Ro5")*3/8+COUNTIF(E15:AI15,"Ro6")*2/8+COUNTIF(E15:AI15,"Ro6.5")*1.5/8+COUNTIF(E15:AI15,"Ro7")*1/8+COUNTIF(E15:AI15,"Ro7.3")*0.7/8+COUNTIF(E15:AI15,"Ro7.5")*0.5/8+COUNTIF(E15:AI15,"Ro7.8")*0.2/8+COUNTIF(E15:AI15,"N7")*1/8+COUNTIF(E15:AI15,"N6")*2/8+COUNTIF(E15:AI15,"N5")*3/8+COUNTIF(E15:AI15,"N4")*4/8+COUNTIF(E15:AI15,"N3")*5/8+COUNTIF(E15:AI15,"N2")*6/8+COUNTIF(E15:AI15,"N1")*7/8</f>
        <v>0</v>
      </c>
      <c r="AR15" s="327">
        <f>COUNTIF(E15:AI15,"*R")</f>
        <v>0</v>
      </c>
      <c r="AS15" s="327">
        <f>COUNTIF(E15:AI15,"L")*1+COUNTIF(E15:AI15,"0.5L")*0.5</f>
        <v>0</v>
      </c>
      <c r="AT15" s="327"/>
      <c r="AU15" s="327"/>
      <c r="AV15" s="327"/>
      <c r="AW15" s="327"/>
      <c r="AX15" s="327"/>
      <c r="AY15" s="327"/>
      <c r="AZ15" s="327">
        <f>AN15+AO15+AS15+AR15</f>
        <v>13</v>
      </c>
      <c r="BA15" s="331"/>
      <c r="BB15" s="27">
        <v>8</v>
      </c>
      <c r="BC15" s="27" t="str">
        <f>VLOOKUP(B15,'[2]Bang luong_06'!$B$10:$C$333,2,0)</f>
        <v>Nguyễn Trung Kiên</v>
      </c>
      <c r="BE15" s="151" t="str">
        <f>VLOOKUP($B15,'[2]Bang luong_06'!$B$10:$C$333,2,0)</f>
        <v>Nguyễn Trung Kiên</v>
      </c>
      <c r="BF15" s="27" t="b">
        <f>BE15=C15</f>
        <v>1</v>
      </c>
      <c r="BH15" s="332">
        <f>+VLOOKUP(B15,'[2]Thưởng Lễ 2-9'!$B$5:$G$294,6,0)</f>
        <v>0</v>
      </c>
      <c r="BI15" s="27" t="s">
        <v>536</v>
      </c>
      <c r="BK15" s="27" t="s">
        <v>536</v>
      </c>
      <c r="BN15" s="330">
        <v>6.5</v>
      </c>
      <c r="BGJ15" s="27" t="e">
        <v>#N/A</v>
      </c>
    </row>
    <row r="16" spans="1:66 1544:1544" ht="16.5" customHeight="1" outlineLevel="1" x14ac:dyDescent="0.25">
      <c r="A16" s="88">
        <f t="shared" si="3"/>
        <v>3</v>
      </c>
      <c r="B16" s="333" t="s">
        <v>537</v>
      </c>
      <c r="C16" s="333" t="s">
        <v>538</v>
      </c>
      <c r="D16" s="334">
        <v>45254</v>
      </c>
      <c r="E16" s="323" t="s">
        <v>38</v>
      </c>
      <c r="F16" s="323" t="s">
        <v>38</v>
      </c>
      <c r="G16" s="323" t="s">
        <v>38</v>
      </c>
      <c r="H16" s="323" t="s">
        <v>38</v>
      </c>
      <c r="I16" s="323" t="s">
        <v>38</v>
      </c>
      <c r="J16" s="323" t="s">
        <v>38</v>
      </c>
      <c r="K16" s="323"/>
      <c r="L16" s="323" t="s">
        <v>38</v>
      </c>
      <c r="M16" s="323" t="s">
        <v>38</v>
      </c>
      <c r="N16" s="323" t="s">
        <v>38</v>
      </c>
      <c r="O16" s="323" t="s">
        <v>38</v>
      </c>
      <c r="P16" s="323" t="s">
        <v>38</v>
      </c>
      <c r="Q16" s="323" t="s">
        <v>38</v>
      </c>
      <c r="R16" s="323"/>
      <c r="S16" s="323" t="s">
        <v>38</v>
      </c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69">
        <f>VLOOKUP($B16,[1]NV!$B$9:$DL$219,114,0)</f>
        <v>2</v>
      </c>
      <c r="AK16" s="325">
        <f>COUNTIF(E16:AI16,"H4")+COUNTIF(E16:AI16,"H")+COUNTIF(E16:AI16,"Bu")+COUNTIF(E16:AI16,"N")+COUNTIF(E16:AI16,"N1")*1/8+COUNTIF(E16:AI16,"N2")*2/8+COUNTIF(E16:AI16,"N3")*3/8+COUNTIF(E16:AI16,"N4")*4/8+COUNTIF(E16:AI16,"N5")*5/8+COUNTIF(E16:AI16,"N6")*6/8+COUNTIF(E16:AI16,"N7")*7/8+COUNTIF(E16:AI16,"N8")*8/8+COUNTIF(E16:AI16,"C")+COUNTIF(E16:AI16,"C1")+COUNTIF(E16:AI16,"C2")+COUNTIF(E16:AI16,"C2.9")+COUNTIF(E16:AI16,"C3")+COUNTIF(E16:AI16,"C3.8")+COUNTIF(E16:AI16,"C4")+COUNTIF(E16:AI16,"C4.0")+COUNTIF(E16:AI16,"C4.1")+COUNTIF(E16:AI16,"C4.4")+COUNTIF(E16:AI16,"C4.6")+COUNTIF(E16:AI16,"C4.9")+COUNTIF(E16:AI16,"C5")+COUNTIF(E16:AI16,"C6")+COUNTIF(E16:AI16,"C6.5")+COUNTIF(E16:AI16,"C6.0")+COUNTIF(E16:AI16,"C7")+COUNTIF(E16:AI16,"C7.6")+COUNTIF(E16:AI16,"C7.7")+COUNTIF(E16:AI16,"N6.4")*6.4/8+COUNTIF(E16:AI16,"Ro1")*1/8+COUNTIF(E16:AI16,"Ro2")*2/8+COUNTIF(E16:AI16,"Ro3")*3/8+COUNTIF(E16:AI16,"Ro4")*4/8+COUNTIF(E16:AI16,"Ro4.0")*4/8+COUNTIF(E16:AI16,"Ro5")*5/8+COUNTIF(E16:AI16,"Ro6")*6/8+COUNTIF(E16:AI16,"Ro6.5")*6.5/8+COUNTIF(E16:AI16,"Ro7")*7/8+COUNTIF(E16:AI16,"Ro7.3")*7.3/8+COUNTIF(E16:AI16,"Ro7.5")*7.5/8+COUNTIF(E16:AI16,"Ro7.8")*7.8/8+COUNTIF(E16:AI16,"Bu1")+COUNTIF(E16:AI16,"Bu2")+COUNTIF(E16:AI16,"Bu3")+COUNTIF(E16:AI16,"Bu4")+COUNTIF(E16:AI16,"Bu5")+COUNTIF(E16:AI16,"Bu6")+COUNTIF(E16:AI16,"Bu7")+COUNTIF(E16:AI16,"P2")*4/8</f>
        <v>13</v>
      </c>
      <c r="AL16" s="325">
        <f>COUNTIF(E16:AI16,"D")+COUNTIF(E16:AI16,"D1")*1/BB16+COUNTIF(E16:AI16,"D2")*2/BB16+COUNTIF(E16:AI16,"D3")*3/BB16+COUNTIF(E16:AI16,"D4")*4/BB16+COUNTIF(E16:AI16,"D5")*5/BB16+COUNTIF(E16:AI16,"D6")*6/BB16+COUNTIF(E16:AI16,"D7")*7/BB16+COUNTIF(E16:AI16,"D8")*8/BB16</f>
        <v>0</v>
      </c>
      <c r="AM16" s="326">
        <f t="shared" si="4"/>
        <v>26</v>
      </c>
      <c r="AN16" s="327">
        <f>AK16+AL16</f>
        <v>13</v>
      </c>
      <c r="AO16" s="327">
        <f>COUNTIF(E16:AI16,"p")+COUNTIF(E16:AI16,"P2")/2+COUNTIF(E16:AI16,"P1")/2</f>
        <v>0</v>
      </c>
      <c r="AP16" s="327">
        <f>COUNTIF(E16:AI16,"k")</f>
        <v>0</v>
      </c>
      <c r="AQ16" s="327">
        <f>COUNTIF(E16:AI16,"KL")+COUNTIF(E16:AI16,"O")+COUNTIF(E16:AI16,"O/")/2+COUNTIF(E16:AI16,"TN")+COUNTIF(E16:AI16,"4P4KL")/2+COUNTIF(E16:AI16,"P1")*0.5+COUNTIF(E16:AI16,"Ro")+COUNTIF(E16:AI16,"Ro1")*7/8+COUNTIF(E16:AI16,"Ro2")*6/8+COUNTIF(E16:AI16,"Ro3")*5/8+COUNTIF(E16:AI16,"Ro4")*4/8+COUNTIF(E16:AI16,"Ro4.0")*4/8+COUNTIF(E16:AI16,"Ro5")*3/8+COUNTIF(E16:AI16,"Ro6")*2/8+COUNTIF(E16:AI16,"Ro6.5")*1.5/8+COUNTIF(E16:AI16,"Ro7")*1/8+COUNTIF(E16:AI16,"Ro7.3")*0.7/8+COUNTIF(E16:AI16,"Ro7.5")*0.5/8+COUNTIF(E16:AI16,"Ro7.8")*0.2/8+COUNTIF(E16:AI16,"N7")*1/8+COUNTIF(E16:AI16,"N6")*2/8+COUNTIF(E16:AI16,"N5")*3/8+COUNTIF(E16:AI16,"N4")*4/8+COUNTIF(E16:AI16,"N3")*5/8+COUNTIF(E16:AI16,"N2")*6/8+COUNTIF(E16:AI16,"N1")*7/8</f>
        <v>0</v>
      </c>
      <c r="AR16" s="327">
        <f>COUNTIF(E16:AI16,"*R")</f>
        <v>0</v>
      </c>
      <c r="AS16" s="327">
        <f>COUNTIF(E16:AI16,"L")*1+COUNTIF(E16:AI16,"0.5L")*0.5</f>
        <v>0</v>
      </c>
      <c r="AT16" s="327"/>
      <c r="AU16" s="327"/>
      <c r="AV16" s="327"/>
      <c r="AW16" s="327"/>
      <c r="AX16" s="327"/>
      <c r="AY16" s="327"/>
      <c r="AZ16" s="327">
        <f>AN16+AO16+AS16+AR16</f>
        <v>13</v>
      </c>
      <c r="BA16" s="335" t="s">
        <v>539</v>
      </c>
      <c r="BB16" s="27">
        <v>8</v>
      </c>
      <c r="BC16" s="27" t="str">
        <f>VLOOKUP(B16,'[2]Bang luong_06'!$B$10:$C$333,2,0)</f>
        <v>Lê Thành Nhân</v>
      </c>
      <c r="BE16" s="151" t="str">
        <f>VLOOKUP($B16,'[2]Bang luong_06'!$B$10:$C$333,2,0)</f>
        <v>Lê Thành Nhân</v>
      </c>
      <c r="BF16" s="27" t="b">
        <f>BE16=C16</f>
        <v>1</v>
      </c>
      <c r="BH16" s="332">
        <f>+VLOOKUP(B16,'[2]Thưởng Lễ 2-9'!$B$5:$G$294,6,0)</f>
        <v>0</v>
      </c>
      <c r="BI16" s="27" t="s">
        <v>538</v>
      </c>
      <c r="BK16" s="27" t="s">
        <v>538</v>
      </c>
      <c r="BN16" s="330">
        <v>2</v>
      </c>
      <c r="BGJ16" s="27" t="s">
        <v>540</v>
      </c>
    </row>
    <row r="17" spans="1:66 1544:1544" ht="16.5" customHeight="1" outlineLevel="1" x14ac:dyDescent="0.25">
      <c r="A17" s="88">
        <f t="shared" si="3"/>
        <v>4</v>
      </c>
      <c r="B17" s="333" t="s">
        <v>541</v>
      </c>
      <c r="C17" s="333" t="s">
        <v>542</v>
      </c>
      <c r="D17" s="334">
        <v>45962</v>
      </c>
      <c r="E17" s="323" t="s">
        <v>38</v>
      </c>
      <c r="F17" s="323" t="s">
        <v>38</v>
      </c>
      <c r="G17" s="323" t="s">
        <v>38</v>
      </c>
      <c r="H17" s="323" t="s">
        <v>38</v>
      </c>
      <c r="I17" s="323" t="s">
        <v>38</v>
      </c>
      <c r="J17" s="323" t="s">
        <v>38</v>
      </c>
      <c r="K17" s="323"/>
      <c r="L17" s="323" t="s">
        <v>38</v>
      </c>
      <c r="M17" s="323" t="s">
        <v>38</v>
      </c>
      <c r="N17" s="323" t="s">
        <v>38</v>
      </c>
      <c r="O17" s="323" t="s">
        <v>38</v>
      </c>
      <c r="P17" s="323" t="s">
        <v>38</v>
      </c>
      <c r="Q17" s="323" t="s">
        <v>38</v>
      </c>
      <c r="R17" s="323"/>
      <c r="S17" s="323" t="s">
        <v>38</v>
      </c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69">
        <f>VLOOKUP($B17,[1]NV!$B$9:$DL$219,114,0)</f>
        <v>5</v>
      </c>
      <c r="AK17" s="325">
        <f>COUNTIF(E17:AI17,"H4")+COUNTIF(E17:AI17,"H")+COUNTIF(E17:AI17,"Bu")+COUNTIF(E17:AI17,"N")+COUNTIF(E17:AI17,"N1")*1/8+COUNTIF(E17:AI17,"N2")*2/8+COUNTIF(E17:AI17,"N3")*3/8+COUNTIF(E17:AI17,"N4")*4/8+COUNTIF(E17:AI17,"N5")*5/8+COUNTIF(E17:AI17,"N6")*6/8+COUNTIF(E17:AI17,"N7")*7/8+COUNTIF(E17:AI17,"N8")*8/8+COUNTIF(E17:AI17,"C")+COUNTIF(E17:AI17,"C1")+COUNTIF(E17:AI17,"C2")+COUNTIF(E17:AI17,"C2.9")+COUNTIF(E17:AI17,"C3")+COUNTIF(E17:AI17,"C3.8")+COUNTIF(E17:AI17,"C4")+COUNTIF(E17:AI17,"C4.0")+COUNTIF(E17:AI17,"C4.1")+COUNTIF(E17:AI17,"C4.4")+COUNTIF(E17:AI17,"C4.6")+COUNTIF(E17:AI17,"C4.9")+COUNTIF(E17:AI17,"C5")+COUNTIF(E17:AI17,"C6")+COUNTIF(E17:AI17,"C6.5")+COUNTIF(E17:AI17,"C6.0")+COUNTIF(E17:AI17,"C7")+COUNTIF(E17:AI17,"C7.6")+COUNTIF(E17:AI17,"C7.7")+COUNTIF(E17:AI17,"N6.4")*6.4/8+COUNTIF(E17:AI17,"Ro1")*1/8+COUNTIF(E17:AI17,"Ro2")*2/8+COUNTIF(E17:AI17,"Ro3")*3/8+COUNTIF(E17:AI17,"Ro4")*4/8+COUNTIF(E17:AI17,"Ro4.0")*4/8+COUNTIF(E17:AI17,"Ro5")*5/8+COUNTIF(E17:AI17,"Ro6")*6/8+COUNTIF(E17:AI17,"Ro6.5")*6.5/8+COUNTIF(E17:AI17,"Ro7")*7/8+COUNTIF(E17:AI17,"Ro7.3")*7.3/8+COUNTIF(E17:AI17,"Ro7.5")*7.5/8+COUNTIF(E17:AI17,"Ro7.8")*7.8/8+COUNTIF(E17:AI17,"Bu1")+COUNTIF(E17:AI17,"Bu2")+COUNTIF(E17:AI17,"Bu3")+COUNTIF(E17:AI17,"Bu4")+COUNTIF(E17:AI17,"Bu5")+COUNTIF(E17:AI17,"Bu6")+COUNTIF(E17:AI17,"Bu7")+COUNTIF(E17:AI17,"P2")*4/8</f>
        <v>13</v>
      </c>
      <c r="AL17" s="325">
        <f>COUNTIF(E17:AI17,"D")+COUNTIF(E17:AI17,"D1")*1/BB17+COUNTIF(E17:AI17,"D2")*2/BB17+COUNTIF(E17:AI17,"D3")*3/BB17+COUNTIF(E17:AI17,"D4")*4/BB17+COUNTIF(E17:AI17,"D5")*5/BB17+COUNTIF(E17:AI17,"D6")*6/BB17+COUNTIF(E17:AI17,"D7")*7/BB17+COUNTIF(E17:AI17,"D8")*8/BB17</f>
        <v>0</v>
      </c>
      <c r="AM17" s="326">
        <f t="shared" si="4"/>
        <v>26</v>
      </c>
      <c r="AN17" s="327">
        <f>AK17+AL17</f>
        <v>13</v>
      </c>
      <c r="AO17" s="327">
        <f>COUNTIF(E17:AI17,"p")+COUNTIF(E17:AI17,"P2")/2+COUNTIF(E17:AI17,"P1")/2</f>
        <v>0</v>
      </c>
      <c r="AP17" s="327">
        <f>COUNTIF(E17:AI17,"k")</f>
        <v>0</v>
      </c>
      <c r="AQ17" s="327">
        <f>COUNTIF(E17:AI17,"KL")+COUNTIF(E17:AI17,"O")+COUNTIF(E17:AI17,"O/")/2+COUNTIF(E17:AI17,"TN")+COUNTIF(E17:AI17,"4P4KL")/2+COUNTIF(E17:AI17,"P1")*0.5+COUNTIF(E17:AI17,"Ro")+COUNTIF(E17:AI17,"Ro1")*7/8+COUNTIF(E17:AI17,"Ro2")*6/8+COUNTIF(E17:AI17,"Ro3")*5/8+COUNTIF(E17:AI17,"Ro4")*4/8+COUNTIF(E17:AI17,"Ro4.0")*4/8+COUNTIF(E17:AI17,"Ro5")*3/8+COUNTIF(E17:AI17,"Ro6")*2/8+COUNTIF(E17:AI17,"Ro6.5")*1.5/8+COUNTIF(E17:AI17,"Ro7")*1/8+COUNTIF(E17:AI17,"Ro7.3")*0.7/8+COUNTIF(E17:AI17,"Ro7.5")*0.5/8+COUNTIF(E17:AI17,"Ro7.8")*0.2/8+COUNTIF(E17:AI17,"N7")*1/8+COUNTIF(E17:AI17,"N6")*2/8+COUNTIF(E17:AI17,"N5")*3/8+COUNTIF(E17:AI17,"N4")*4/8+COUNTIF(E17:AI17,"N3")*5/8+COUNTIF(E17:AI17,"N2")*6/8+COUNTIF(E17:AI17,"N1")*7/8</f>
        <v>0</v>
      </c>
      <c r="AR17" s="327">
        <f>COUNTIF(E17:AI17,"*R")</f>
        <v>0</v>
      </c>
      <c r="AS17" s="327">
        <f>COUNTIF(E17:AI17,"L")*1+COUNTIF(E17:AI17,"0.5L")*0.5</f>
        <v>0</v>
      </c>
      <c r="AT17" s="327"/>
      <c r="AU17" s="327"/>
      <c r="AV17" s="327"/>
      <c r="AW17" s="327"/>
      <c r="AX17" s="327"/>
      <c r="AY17" s="327"/>
      <c r="AZ17" s="327">
        <f>AN17+AO17+AS17+AR17</f>
        <v>13</v>
      </c>
      <c r="BA17" s="335" t="s">
        <v>539</v>
      </c>
      <c r="BB17" s="27">
        <v>8</v>
      </c>
      <c r="BC17" s="27" t="str">
        <f>VLOOKUP(B17,'[2]Bang luong_06'!$B$10:$C$333,2,0)</f>
        <v>Nguyễn Thị Châu Linh</v>
      </c>
      <c r="BE17" s="151" t="str">
        <f>VLOOKUP($B17,'[2]Bang luong_06'!$B$10:$C$333,2,0)</f>
        <v>Nguyễn Thị Châu Linh</v>
      </c>
      <c r="BF17" s="27" t="b">
        <f>BE17=C17</f>
        <v>1</v>
      </c>
      <c r="BH17" s="332" t="e">
        <f>+VLOOKUP(B17,'[2]Thưởng Lễ 2-9'!$B$5:$G$294,6,0)</f>
        <v>#N/A</v>
      </c>
      <c r="BI17" s="27" t="s">
        <v>538</v>
      </c>
      <c r="BK17" s="27" t="s">
        <v>538</v>
      </c>
      <c r="BN17" s="330">
        <v>2</v>
      </c>
      <c r="BGJ17" s="27" t="s">
        <v>540</v>
      </c>
    </row>
    <row r="18" spans="1:66 1544:1544" ht="16.5" customHeight="1" x14ac:dyDescent="0.25">
      <c r="A18" s="88" t="str">
        <f t="shared" si="3"/>
        <v/>
      </c>
      <c r="B18" s="317"/>
      <c r="C18" s="336" t="s">
        <v>543</v>
      </c>
      <c r="D18" s="313">
        <f>COUNTA(A19:A27)</f>
        <v>9</v>
      </c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8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  <c r="AW18" s="317"/>
      <c r="AX18" s="317"/>
      <c r="AY18" s="317"/>
      <c r="AZ18" s="317"/>
      <c r="BA18" s="317"/>
      <c r="BE18" s="151"/>
      <c r="BI18" s="27" t="e">
        <v>#N/A</v>
      </c>
      <c r="BN18" s="337">
        <v>0</v>
      </c>
      <c r="BGJ18" s="27" t="s">
        <v>544</v>
      </c>
    </row>
    <row r="19" spans="1:66 1544:1544" s="145" customFormat="1" ht="17.25" customHeight="1" outlineLevel="1" x14ac:dyDescent="0.25">
      <c r="A19" s="88">
        <f t="shared" si="3"/>
        <v>5</v>
      </c>
      <c r="B19" s="333" t="s">
        <v>545</v>
      </c>
      <c r="C19" s="333" t="s">
        <v>546</v>
      </c>
      <c r="D19" s="127">
        <v>39609</v>
      </c>
      <c r="E19" s="323" t="s">
        <v>38</v>
      </c>
      <c r="F19" s="323" t="s">
        <v>38</v>
      </c>
      <c r="G19" s="323" t="s">
        <v>38</v>
      </c>
      <c r="H19" s="323" t="s">
        <v>38</v>
      </c>
      <c r="I19" s="323" t="s">
        <v>38</v>
      </c>
      <c r="J19" s="323" t="s">
        <v>38</v>
      </c>
      <c r="K19" s="323"/>
      <c r="L19" s="323" t="s">
        <v>38</v>
      </c>
      <c r="M19" s="323" t="s">
        <v>38</v>
      </c>
      <c r="N19" s="323" t="s">
        <v>38</v>
      </c>
      <c r="O19" s="323" t="s">
        <v>38</v>
      </c>
      <c r="P19" s="323" t="s">
        <v>38</v>
      </c>
      <c r="Q19" s="323" t="s">
        <v>38</v>
      </c>
      <c r="R19" s="323"/>
      <c r="S19" s="323" t="s">
        <v>38</v>
      </c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323"/>
      <c r="AJ19" s="69">
        <f>VLOOKUP($B19,[1]NV!$B$9:$DL$219,114,0)</f>
        <v>5</v>
      </c>
      <c r="AK19" s="325">
        <f t="shared" ref="AK19:AK24" si="5">COUNTIF(E19:AI19,"H4")+COUNTIF(E19:AI19,"H")+COUNTIF(E19:AI19,"Bu")+COUNTIF(E19:AI19,"N")+COUNTIF(E19:AI19,"N1")*1/8+COUNTIF(E19:AI19,"N2")*2/8+COUNTIF(E19:AI19,"N3")*3/8+COUNTIF(E19:AI19,"N4")*4/8+COUNTIF(E19:AI19,"N5")*5/8+COUNTIF(E19:AI19,"N6")*6/8+COUNTIF(E19:AI19,"N7")*7/8+COUNTIF(E19:AI19,"N8")*8/8+COUNTIF(E19:AI19,"C")+COUNTIF(E19:AI19,"C1")+COUNTIF(E19:AI19,"C2")+COUNTIF(E19:AI19,"C2.9")+COUNTIF(E19:AI19,"C3")+COUNTIF(E19:AI19,"C3.8")+COUNTIF(E19:AI19,"C4")+COUNTIF(E19:AI19,"C4.0")+COUNTIF(E19:AI19,"C4.1")+COUNTIF(E19:AI19,"C4.4")+COUNTIF(E19:AI19,"C4.6")+COUNTIF(E19:AI19,"C4.9")+COUNTIF(E19:AI19,"C5")+COUNTIF(E19:AI19,"C6")+COUNTIF(E19:AI19,"C6.5")+COUNTIF(E19:AI19,"C6.0")+COUNTIF(E19:AI19,"C7")+COUNTIF(E19:AI19,"C7.6")+COUNTIF(E19:AI19,"C7.7")+COUNTIF(E19:AI19,"N6.4")*6.4/8+COUNTIF(E19:AI19,"Ro1")*1/8+COUNTIF(E19:AI19,"Ro2")*2/8+COUNTIF(E19:AI19,"Ro3")*3/8+COUNTIF(E19:AI19,"Ro4")*4/8+COUNTIF(E19:AI19,"Ro4.0")*4/8+COUNTIF(E19:AI19,"Ro5")*5/8+COUNTIF(E19:AI19,"Ro6")*6/8+COUNTIF(E19:AI19,"Ro6.5")*6.5/8+COUNTIF(E19:AI19,"Ro7")*7/8+COUNTIF(E19:AI19,"Ro7.3")*7.3/8+COUNTIF(E19:AI19,"Ro7.5")*7.5/8+COUNTIF(E19:AI19,"Ro7.8")*7.8/8+COUNTIF(E19:AI19,"Bu1")+COUNTIF(E19:AI19,"Bu2")+COUNTIF(E19:AI19,"Bu3")+COUNTIF(E19:AI19,"Bu4")+COUNTIF(E19:AI19,"Bu5")+COUNTIF(E19:AI19,"Bu6")+COUNTIF(E19:AI19,"Bu7")+COUNTIF(E19:AI19,"P2")*4/8</f>
        <v>13</v>
      </c>
      <c r="AL19" s="325">
        <f t="shared" ref="AL19:AL23" si="6">COUNTIF(E19:AI19,"D")+COUNTIF(E19:AI19,"D1")*1/BB19+COUNTIF(E19:AI19,"D2")*2/BB19+COUNTIF(E19:AI19,"D3")*3/BB19+COUNTIF(E19:AI19,"D4")*4/BB19+COUNTIF(E19:AI19,"D5")*5/BB19+COUNTIF(E19:AI19,"D6")*6/BB19+COUNTIF(E19:AI19,"D7")*7/BB19+COUNTIF(E19:AI19,"D8")*8/BB19</f>
        <v>0</v>
      </c>
      <c r="AM19" s="326">
        <f t="shared" ref="AM19:AM27" si="7">+$AH$10-$E$10+1-INT(($AH$10-$E$10-WEEKDAY($AH$10)+8)/7)</f>
        <v>26</v>
      </c>
      <c r="AN19" s="327">
        <f t="shared" ref="AN19:AN25" si="8">AK19+AL19</f>
        <v>13</v>
      </c>
      <c r="AO19" s="327">
        <f t="shared" ref="AO19:AO24" si="9">COUNTIF(E19:AI19,"p")+COUNTIF(E19:AI19,"P2")/2+COUNTIF(E19:AI19,"P1")/2</f>
        <v>0</v>
      </c>
      <c r="AP19" s="327">
        <f t="shared" ref="AP19:AP25" si="10">COUNTIF(E19:AI19,"k")</f>
        <v>0</v>
      </c>
      <c r="AQ19" s="327">
        <f t="shared" ref="AQ19:AQ25" si="11">COUNTIF(E19:AI19,"KL")+COUNTIF(E19:AI19,"O")+COUNTIF(E19:AI19,"O/")/2+COUNTIF(E19:AI19,"TN")+COUNTIF(E19:AI19,"4P4KL")/2+COUNTIF(E19:AI19,"P1")*0.5+COUNTIF(E19:AI19,"Ro")+COUNTIF(E19:AI19,"Ro1")*7/8+COUNTIF(E19:AI19,"Ro2")*6/8+COUNTIF(E19:AI19,"Ro3")*5/8+COUNTIF(E19:AI19,"Ro4")*4/8+COUNTIF(E19:AI19,"Ro4.0")*4/8+COUNTIF(E19:AI19,"Ro5")*3/8+COUNTIF(E19:AI19,"Ro6")*2/8+COUNTIF(E19:AI19,"Ro6.5")*1.5/8+COUNTIF(E19:AI19,"Ro7")*1/8+COUNTIF(E19:AI19,"Ro7.3")*0.7/8+COUNTIF(E19:AI19,"Ro7.5")*0.5/8+COUNTIF(E19:AI19,"Ro7.8")*0.2/8+COUNTIF(E19:AI19,"N7")*1/8+COUNTIF(E19:AI19,"N6")*2/8+COUNTIF(E19:AI19,"N5")*3/8+COUNTIF(E19:AI19,"N4")*4/8+COUNTIF(E19:AI19,"N3")*5/8+COUNTIF(E19:AI19,"N2")*6/8+COUNTIF(E19:AI19,"N1")*7/8</f>
        <v>0</v>
      </c>
      <c r="AR19" s="327">
        <f t="shared" ref="AR19:AR25" si="12">COUNTIF(E19:AI19,"*R")</f>
        <v>0</v>
      </c>
      <c r="AS19" s="327">
        <f t="shared" ref="AS19:AS25" si="13">COUNTIF(E19:AI19,"L")*1+COUNTIF(E19:AI19,"0.5L")*0.5</f>
        <v>0</v>
      </c>
      <c r="AT19" s="327"/>
      <c r="AU19" s="327"/>
      <c r="AV19" s="327"/>
      <c r="AW19" s="327"/>
      <c r="AX19" s="327"/>
      <c r="AY19" s="338"/>
      <c r="AZ19" s="327">
        <f t="shared" ref="AZ19:AZ25" si="14">AN19+AO19+AS19+AR19</f>
        <v>13</v>
      </c>
      <c r="BA19" s="339"/>
      <c r="BB19" s="27">
        <v>11</v>
      </c>
      <c r="BC19" s="27" t="str">
        <f>VLOOKUP(B19,'[2]Bang luong_06'!$B$10:$C$333,2,0)</f>
        <v>Lê Thành Danh</v>
      </c>
      <c r="BE19" s="151" t="str">
        <f>VLOOKUP($B19,'[2]Bang luong_06'!$B$10:$C$333,2,0)</f>
        <v>Lê Thành Danh</v>
      </c>
      <c r="BF19" s="27" t="b">
        <f t="shared" ref="BF19:BF23" si="15">BE19=C19</f>
        <v>1</v>
      </c>
      <c r="BH19" s="332">
        <f>+VLOOKUP(B19,'[2]Thưởng Lễ 2-9'!$B$5:$G$294,6,0)</f>
        <v>0</v>
      </c>
      <c r="BI19" s="27" t="s">
        <v>546</v>
      </c>
      <c r="BK19" s="27" t="s">
        <v>546</v>
      </c>
      <c r="BN19" s="330">
        <v>9</v>
      </c>
      <c r="BGJ19" s="145" t="s">
        <v>546</v>
      </c>
    </row>
    <row r="20" spans="1:66 1544:1544" s="145" customFormat="1" ht="31.5" customHeight="1" outlineLevel="1" x14ac:dyDescent="0.25">
      <c r="A20" s="88">
        <f t="shared" si="3"/>
        <v>6</v>
      </c>
      <c r="B20" s="333" t="s">
        <v>547</v>
      </c>
      <c r="C20" s="333" t="s">
        <v>548</v>
      </c>
      <c r="D20" s="127">
        <v>45609</v>
      </c>
      <c r="E20" s="323" t="s">
        <v>38</v>
      </c>
      <c r="F20" s="323" t="s">
        <v>38</v>
      </c>
      <c r="G20" s="323" t="s">
        <v>38</v>
      </c>
      <c r="H20" s="323" t="s">
        <v>38</v>
      </c>
      <c r="I20" s="323" t="s">
        <v>38</v>
      </c>
      <c r="J20" s="323" t="s">
        <v>38</v>
      </c>
      <c r="K20" s="323"/>
      <c r="L20" s="323" t="s">
        <v>38</v>
      </c>
      <c r="M20" s="323" t="s">
        <v>38</v>
      </c>
      <c r="N20" s="323" t="s">
        <v>38</v>
      </c>
      <c r="O20" s="323" t="s">
        <v>38</v>
      </c>
      <c r="P20" s="323" t="s">
        <v>38</v>
      </c>
      <c r="Q20" s="323" t="s">
        <v>38</v>
      </c>
      <c r="R20" s="323"/>
      <c r="S20" s="323" t="s">
        <v>38</v>
      </c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3"/>
      <c r="AI20" s="323"/>
      <c r="AJ20" s="69">
        <f>VLOOKUP($B20,[1]NV!$B$9:$DL$219,114,0)</f>
        <v>2</v>
      </c>
      <c r="AK20" s="325">
        <f t="shared" si="5"/>
        <v>13</v>
      </c>
      <c r="AL20" s="325">
        <f t="shared" si="6"/>
        <v>0</v>
      </c>
      <c r="AM20" s="326">
        <f t="shared" si="7"/>
        <v>26</v>
      </c>
      <c r="AN20" s="327">
        <f t="shared" si="8"/>
        <v>13</v>
      </c>
      <c r="AO20" s="327">
        <f t="shared" si="9"/>
        <v>0</v>
      </c>
      <c r="AP20" s="327">
        <f t="shared" si="10"/>
        <v>0</v>
      </c>
      <c r="AQ20" s="327">
        <f t="shared" si="11"/>
        <v>0</v>
      </c>
      <c r="AR20" s="327">
        <f t="shared" si="12"/>
        <v>0</v>
      </c>
      <c r="AS20" s="327">
        <f t="shared" si="13"/>
        <v>0</v>
      </c>
      <c r="AT20" s="327"/>
      <c r="AU20" s="327"/>
      <c r="AV20" s="327"/>
      <c r="AW20" s="327"/>
      <c r="AX20" s="327"/>
      <c r="AY20" s="338"/>
      <c r="AZ20" s="327">
        <f t="shared" si="14"/>
        <v>13</v>
      </c>
      <c r="BA20" s="340"/>
      <c r="BB20" s="27">
        <v>11</v>
      </c>
      <c r="BC20" s="27" t="str">
        <f>VLOOKUP(B20,'[2]Bang luong_06'!$B$10:$C$333,2,0)</f>
        <v>Kim Thanh Tuấn</v>
      </c>
      <c r="BE20" s="151" t="str">
        <f>VLOOKUP($B20,'[2]Bang luong_06'!$B$10:$C$333,2,0)</f>
        <v>Kim Thanh Tuấn</v>
      </c>
      <c r="BF20" s="27" t="b">
        <f t="shared" si="15"/>
        <v>1</v>
      </c>
      <c r="BH20" s="332" t="e">
        <f>+VLOOKUP(B20,'[2]Thưởng Lễ 2-9'!$B$5:$G$294,6,0)</f>
        <v>#N/A</v>
      </c>
      <c r="BI20" s="27" t="s">
        <v>546</v>
      </c>
      <c r="BK20" s="27" t="s">
        <v>546</v>
      </c>
      <c r="BN20" s="330">
        <v>0</v>
      </c>
      <c r="BGJ20" s="145" t="s">
        <v>546</v>
      </c>
    </row>
    <row r="21" spans="1:66 1544:1544" ht="16.5" customHeight="1" x14ac:dyDescent="0.25">
      <c r="A21" s="88">
        <f t="shared" si="3"/>
        <v>7</v>
      </c>
      <c r="B21" s="333" t="s">
        <v>549</v>
      </c>
      <c r="C21" s="333" t="s">
        <v>550</v>
      </c>
      <c r="D21" s="322">
        <v>40817</v>
      </c>
      <c r="E21" s="323" t="s">
        <v>38</v>
      </c>
      <c r="F21" s="323" t="s">
        <v>38</v>
      </c>
      <c r="G21" s="323" t="s">
        <v>38</v>
      </c>
      <c r="H21" s="323" t="s">
        <v>38</v>
      </c>
      <c r="I21" s="323" t="s">
        <v>38</v>
      </c>
      <c r="J21" s="323" t="s">
        <v>38</v>
      </c>
      <c r="K21" s="323"/>
      <c r="L21" s="323" t="s">
        <v>38</v>
      </c>
      <c r="M21" s="323" t="s">
        <v>38</v>
      </c>
      <c r="N21" s="323" t="s">
        <v>38</v>
      </c>
      <c r="O21" s="323" t="s">
        <v>38</v>
      </c>
      <c r="P21" s="323" t="s">
        <v>38</v>
      </c>
      <c r="Q21" s="323" t="s">
        <v>38</v>
      </c>
      <c r="R21" s="323"/>
      <c r="S21" s="323" t="s">
        <v>107</v>
      </c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69">
        <f>VLOOKUP($B21,[1]NV!$B$9:$DL$219,114,0)</f>
        <v>5</v>
      </c>
      <c r="AK21" s="325">
        <f t="shared" si="5"/>
        <v>12</v>
      </c>
      <c r="AL21" s="325">
        <f>COUNTIF(E21:AI21,"D")+COUNTIF(E21:AI21,"D1")*1/BB21+COUNTIF(E21:AI21,"D2")*2/BB21+COUNTIF(E21:AI21,"D3")*3/BB21+COUNTIF(E21:AI21,"D4")*4/BB21+COUNTIF(E21:AI21,"D5")*5/BB21+COUNTIF(E21:AI21,"D6")*6/BB21+COUNTIF(E21:AI21,"D7")*7/BB21+COUNTIF(E21:AI21,"D8")*8/BB21</f>
        <v>0</v>
      </c>
      <c r="AM21" s="326">
        <f t="shared" si="7"/>
        <v>26</v>
      </c>
      <c r="AN21" s="327">
        <f t="shared" si="8"/>
        <v>12</v>
      </c>
      <c r="AO21" s="327">
        <f t="shared" si="9"/>
        <v>1</v>
      </c>
      <c r="AP21" s="327">
        <f t="shared" si="10"/>
        <v>0</v>
      </c>
      <c r="AQ21" s="327">
        <f t="shared" si="11"/>
        <v>0</v>
      </c>
      <c r="AR21" s="327">
        <f t="shared" si="12"/>
        <v>0</v>
      </c>
      <c r="AS21" s="327">
        <f t="shared" si="13"/>
        <v>0</v>
      </c>
      <c r="AT21" s="327"/>
      <c r="AU21" s="327"/>
      <c r="AV21" s="327"/>
      <c r="AW21" s="327"/>
      <c r="AX21" s="327"/>
      <c r="AY21" s="327"/>
      <c r="AZ21" s="327">
        <f t="shared" si="14"/>
        <v>13</v>
      </c>
      <c r="BA21" s="341"/>
      <c r="BB21" s="27">
        <v>8</v>
      </c>
      <c r="BC21" s="27" t="str">
        <f>VLOOKUP(B21,'[2]Bang luong_06'!$B$10:$C$333,2,0)</f>
        <v>Nguyễn Thị Liên</v>
      </c>
      <c r="BE21" s="151" t="str">
        <f>VLOOKUP($B21,'[2]Bang luong_06'!$B$10:$C$333,2,0)</f>
        <v>Nguyễn Thị Liên</v>
      </c>
      <c r="BF21" s="27" t="b">
        <f t="shared" si="15"/>
        <v>1</v>
      </c>
      <c r="BH21" s="332">
        <f>+VLOOKUP(B21,'[2]Thưởng Lễ 2-9'!$B$5:$G$294,6,0)</f>
        <v>0</v>
      </c>
      <c r="BI21" s="27" t="s">
        <v>550</v>
      </c>
      <c r="BK21" s="27" t="s">
        <v>550</v>
      </c>
      <c r="BN21" s="330">
        <v>3.5</v>
      </c>
      <c r="BGJ21" s="27" t="s">
        <v>550</v>
      </c>
    </row>
    <row r="22" spans="1:66 1544:1544" ht="16.5" customHeight="1" outlineLevel="1" x14ac:dyDescent="0.25">
      <c r="A22" s="88">
        <f t="shared" si="3"/>
        <v>8</v>
      </c>
      <c r="B22" s="333" t="s">
        <v>551</v>
      </c>
      <c r="C22" s="333" t="s">
        <v>552</v>
      </c>
      <c r="D22" s="322">
        <v>45017</v>
      </c>
      <c r="E22" s="323" t="s">
        <v>38</v>
      </c>
      <c r="F22" s="323" t="s">
        <v>38</v>
      </c>
      <c r="G22" s="323" t="s">
        <v>38</v>
      </c>
      <c r="H22" s="323" t="s">
        <v>38</v>
      </c>
      <c r="I22" s="323" t="s">
        <v>38</v>
      </c>
      <c r="J22" s="323" t="s">
        <v>38</v>
      </c>
      <c r="K22" s="323"/>
      <c r="L22" s="323" t="s">
        <v>38</v>
      </c>
      <c r="M22" s="323" t="s">
        <v>38</v>
      </c>
      <c r="N22" s="323" t="s">
        <v>38</v>
      </c>
      <c r="O22" s="323" t="s">
        <v>38</v>
      </c>
      <c r="P22" s="323" t="s">
        <v>38</v>
      </c>
      <c r="Q22" s="323" t="s">
        <v>38</v>
      </c>
      <c r="R22" s="323"/>
      <c r="S22" s="323" t="s">
        <v>38</v>
      </c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69">
        <f>VLOOKUP($B22,[1]NV!$B$9:$DL$219,114,0)</f>
        <v>5</v>
      </c>
      <c r="AK22" s="325">
        <f t="shared" si="5"/>
        <v>13</v>
      </c>
      <c r="AL22" s="325">
        <f t="shared" si="6"/>
        <v>0</v>
      </c>
      <c r="AM22" s="326">
        <f t="shared" si="7"/>
        <v>26</v>
      </c>
      <c r="AN22" s="327">
        <f t="shared" si="8"/>
        <v>13</v>
      </c>
      <c r="AO22" s="327">
        <f t="shared" si="9"/>
        <v>0</v>
      </c>
      <c r="AP22" s="327">
        <f t="shared" si="10"/>
        <v>0</v>
      </c>
      <c r="AQ22" s="327">
        <f t="shared" si="11"/>
        <v>0</v>
      </c>
      <c r="AR22" s="327">
        <f t="shared" si="12"/>
        <v>0</v>
      </c>
      <c r="AS22" s="327">
        <f t="shared" si="13"/>
        <v>0</v>
      </c>
      <c r="AT22" s="327"/>
      <c r="AU22" s="327"/>
      <c r="AV22" s="327"/>
      <c r="AW22" s="327"/>
      <c r="AX22" s="327"/>
      <c r="AY22" s="327"/>
      <c r="AZ22" s="327">
        <f t="shared" si="14"/>
        <v>13</v>
      </c>
      <c r="BA22" s="331"/>
      <c r="BB22" s="27">
        <v>8</v>
      </c>
      <c r="BC22" s="27" t="str">
        <f>VLOOKUP(B22,'[2]Bang luong_06'!$B$10:$C$333,2,0)</f>
        <v>Nguyễn Thị Hà</v>
      </c>
      <c r="BE22" s="151" t="str">
        <f>VLOOKUP($B22,'[2]Bang luong_06'!$B$10:$C$333,2,0)</f>
        <v>Nguyễn Thị Hà</v>
      </c>
      <c r="BF22" s="27" t="b">
        <f t="shared" si="15"/>
        <v>1</v>
      </c>
      <c r="BH22" s="329">
        <v>0</v>
      </c>
      <c r="BI22" s="27" t="s">
        <v>552</v>
      </c>
      <c r="BK22" s="27" t="s">
        <v>552</v>
      </c>
      <c r="BN22" s="330">
        <v>6</v>
      </c>
    </row>
    <row r="23" spans="1:66 1544:1544" ht="16.5" customHeight="1" outlineLevel="1" x14ac:dyDescent="0.25">
      <c r="A23" s="88">
        <f t="shared" si="3"/>
        <v>9</v>
      </c>
      <c r="B23" s="333" t="s">
        <v>553</v>
      </c>
      <c r="C23" s="333" t="s">
        <v>554</v>
      </c>
      <c r="D23" s="322">
        <v>45839</v>
      </c>
      <c r="E23" s="323" t="s">
        <v>38</v>
      </c>
      <c r="F23" s="323" t="s">
        <v>38</v>
      </c>
      <c r="G23" s="323" t="s">
        <v>38</v>
      </c>
      <c r="H23" s="323" t="s">
        <v>38</v>
      </c>
      <c r="I23" s="323" t="s">
        <v>38</v>
      </c>
      <c r="J23" s="323" t="s">
        <v>38</v>
      </c>
      <c r="K23" s="323"/>
      <c r="L23" s="323" t="s">
        <v>38</v>
      </c>
      <c r="M23" s="323" t="s">
        <v>38</v>
      </c>
      <c r="N23" s="323" t="s">
        <v>38</v>
      </c>
      <c r="O23" s="323" t="s">
        <v>38</v>
      </c>
      <c r="P23" s="323" t="s">
        <v>38</v>
      </c>
      <c r="Q23" s="323" t="s">
        <v>38</v>
      </c>
      <c r="R23" s="323"/>
      <c r="S23" s="323" t="s">
        <v>38</v>
      </c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69">
        <f>VLOOKUP($B23,[1]NV!$B$9:$DL$219,114,0)</f>
        <v>-0.5</v>
      </c>
      <c r="AK23" s="325">
        <f t="shared" si="5"/>
        <v>13</v>
      </c>
      <c r="AL23" s="325">
        <f t="shared" si="6"/>
        <v>0</v>
      </c>
      <c r="AM23" s="326">
        <f t="shared" si="7"/>
        <v>26</v>
      </c>
      <c r="AN23" s="327">
        <f t="shared" si="8"/>
        <v>13</v>
      </c>
      <c r="AO23" s="327">
        <f t="shared" si="9"/>
        <v>0</v>
      </c>
      <c r="AP23" s="327">
        <f t="shared" si="10"/>
        <v>0</v>
      </c>
      <c r="AQ23" s="327">
        <f t="shared" si="11"/>
        <v>0</v>
      </c>
      <c r="AR23" s="327">
        <f t="shared" si="12"/>
        <v>0</v>
      </c>
      <c r="AS23" s="327">
        <f t="shared" si="13"/>
        <v>0</v>
      </c>
      <c r="AT23" s="327"/>
      <c r="AU23" s="327"/>
      <c r="AV23" s="327"/>
      <c r="AW23" s="327"/>
      <c r="AX23" s="327"/>
      <c r="AY23" s="327"/>
      <c r="AZ23" s="327">
        <f t="shared" si="14"/>
        <v>13</v>
      </c>
      <c r="BA23" s="331"/>
      <c r="BB23" s="27">
        <v>8</v>
      </c>
      <c r="BC23" s="27" t="str">
        <f>VLOOKUP(B23,'[2]Bang luong_06'!$B$10:$C$333,2,0)</f>
        <v>Nguyễn Công Hậu</v>
      </c>
      <c r="BE23" s="151" t="str">
        <f>VLOOKUP($B23,'[2]Bang luong_06'!$B$10:$C$333,2,0)</f>
        <v>Nguyễn Công Hậu</v>
      </c>
      <c r="BF23" s="27" t="b">
        <f t="shared" si="15"/>
        <v>1</v>
      </c>
      <c r="BH23" s="329">
        <v>0</v>
      </c>
      <c r="BI23" s="27" t="s">
        <v>504</v>
      </c>
      <c r="BK23" s="27" t="e">
        <v>#N/A</v>
      </c>
      <c r="BN23" s="330">
        <v>1.5</v>
      </c>
    </row>
    <row r="24" spans="1:66 1544:1544" ht="16.5" customHeight="1" outlineLevel="1" x14ac:dyDescent="0.25">
      <c r="A24" s="88">
        <f>IF(B24="","",MAX(A23:A23)+1)</f>
        <v>10</v>
      </c>
      <c r="B24" s="333" t="s">
        <v>555</v>
      </c>
      <c r="C24" s="333" t="s">
        <v>556</v>
      </c>
      <c r="D24" s="322">
        <v>45793</v>
      </c>
      <c r="E24" s="323" t="s">
        <v>38</v>
      </c>
      <c r="F24" s="323" t="s">
        <v>38</v>
      </c>
      <c r="G24" s="323" t="s">
        <v>38</v>
      </c>
      <c r="H24" s="323" t="s">
        <v>38</v>
      </c>
      <c r="I24" s="323" t="s">
        <v>38</v>
      </c>
      <c r="J24" s="323" t="s">
        <v>38</v>
      </c>
      <c r="K24" s="323"/>
      <c r="L24" s="323" t="s">
        <v>38</v>
      </c>
      <c r="M24" s="323" t="s">
        <v>38</v>
      </c>
      <c r="N24" s="323" t="s">
        <v>38</v>
      </c>
      <c r="O24" s="323" t="s">
        <v>38</v>
      </c>
      <c r="P24" s="323" t="s">
        <v>38</v>
      </c>
      <c r="Q24" s="323" t="s">
        <v>38</v>
      </c>
      <c r="R24" s="323"/>
      <c r="S24" s="323" t="s">
        <v>38</v>
      </c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69">
        <f>VLOOKUP($B24,[1]NV!$B$9:$DL$219,114,0)</f>
        <v>2</v>
      </c>
      <c r="AK24" s="325">
        <f t="shared" si="5"/>
        <v>13</v>
      </c>
      <c r="AL24" s="325">
        <f>COUNTIF(E24:AI24,"D")+COUNTIF(E24:AI24,"D1")*1/BB24+COUNTIF(E24:AI24,"D2")*2/BB24+COUNTIF(E24:AI24,"D3")*3/BB24+COUNTIF(E24:AI24,"D4")*4/BB24+COUNTIF(E24:AI24,"D5")*5/BB24+COUNTIF(E24:AI24,"D6")*6/BB24+COUNTIF(E24:AI24,"D7")*7/BB24+COUNTIF(E24:AI24,"D8")*8/BB24</f>
        <v>0</v>
      </c>
      <c r="AM24" s="326">
        <f t="shared" si="7"/>
        <v>26</v>
      </c>
      <c r="AN24" s="327">
        <f t="shared" si="8"/>
        <v>13</v>
      </c>
      <c r="AO24" s="327">
        <f t="shared" si="9"/>
        <v>0</v>
      </c>
      <c r="AP24" s="327">
        <f t="shared" si="10"/>
        <v>0</v>
      </c>
      <c r="AQ24" s="327">
        <f t="shared" si="11"/>
        <v>0</v>
      </c>
      <c r="AR24" s="327">
        <f t="shared" si="12"/>
        <v>0</v>
      </c>
      <c r="AS24" s="327">
        <f t="shared" si="13"/>
        <v>0</v>
      </c>
      <c r="AT24" s="327"/>
      <c r="AU24" s="327"/>
      <c r="AV24" s="327"/>
      <c r="AW24" s="327"/>
      <c r="AX24" s="327"/>
      <c r="AY24" s="327"/>
      <c r="AZ24" s="327">
        <f t="shared" si="14"/>
        <v>13</v>
      </c>
      <c r="BA24" s="331"/>
      <c r="BB24" s="27">
        <v>8</v>
      </c>
      <c r="BC24" s="27" t="str">
        <f>VLOOKUP(B24,'[2]Bang luong_06'!$B$10:$C$333,2,0)</f>
        <v>Bùi Minh Vương</v>
      </c>
      <c r="BE24" s="151" t="str">
        <f>VLOOKUP($B24,'[2]Bang luong_06'!$B$10:$C$333,2,0)</f>
        <v>Bùi Minh Vương</v>
      </c>
      <c r="BF24" s="27" t="b">
        <f>BE24=C24</f>
        <v>1</v>
      </c>
      <c r="BH24" s="329">
        <v>0</v>
      </c>
      <c r="BI24" s="27" t="s">
        <v>557</v>
      </c>
      <c r="BK24" s="27" t="e">
        <v>#N/A</v>
      </c>
      <c r="BN24" s="330" t="e">
        <v>#N/A</v>
      </c>
    </row>
    <row r="25" spans="1:66 1544:1544" ht="16.5" customHeight="1" outlineLevel="1" x14ac:dyDescent="0.25">
      <c r="A25" s="88">
        <f>IF(B25="","",MAX(A24:A24)+1)</f>
        <v>11</v>
      </c>
      <c r="B25" s="333" t="s">
        <v>558</v>
      </c>
      <c r="C25" s="333" t="s">
        <v>559</v>
      </c>
      <c r="D25" s="322">
        <v>45831</v>
      </c>
      <c r="E25" s="323" t="s">
        <v>38</v>
      </c>
      <c r="F25" s="323" t="s">
        <v>38</v>
      </c>
      <c r="G25" s="323" t="s">
        <v>38</v>
      </c>
      <c r="H25" s="323" t="s">
        <v>38</v>
      </c>
      <c r="I25" s="323" t="s">
        <v>38</v>
      </c>
      <c r="J25" s="323" t="s">
        <v>38</v>
      </c>
      <c r="K25" s="323"/>
      <c r="L25" s="323" t="s">
        <v>38</v>
      </c>
      <c r="M25" s="323" t="s">
        <v>38</v>
      </c>
      <c r="N25" s="323" t="s">
        <v>38</v>
      </c>
      <c r="O25" s="323" t="s">
        <v>38</v>
      </c>
      <c r="P25" s="323" t="s">
        <v>38</v>
      </c>
      <c r="Q25" s="323" t="s">
        <v>38</v>
      </c>
      <c r="R25" s="323"/>
      <c r="S25" s="323" t="s">
        <v>38</v>
      </c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323"/>
      <c r="AJ25" s="69">
        <v>5</v>
      </c>
      <c r="AK25" s="325">
        <f>COUNTIF(E25:AI25,"H4")+COUNTIF(E25:AI25,"H")+COUNTIF(E25:AI25,"Bu")+COUNTIF(E25:AI25,"N")+COUNTIF(E25:AI25,"N1")*1/8+COUNTIF(E25:AI25,"N2")*2/8+COUNTIF(E25:AI25,"N3")*3/8+COUNTIF(E25:AI25,"N4")*4/8+COUNTIF(E25:AI25,"N5")*5/8+COUNTIF(E25:AI25,"N6")*6/8+COUNTIF(E25:AI25,"N7")*7/8+COUNTIF(E25:AI25,"N8")*8/8+COUNTIF(E25:AI25,"C")+COUNTIF(E25:AI25,"C1")+COUNTIF(E25:AI25,"C2")+COUNTIF(E25:AI25,"C2.9")+COUNTIF(E25:AI25,"C3")+COUNTIF(E25:AI25,"C3.8")+COUNTIF(E25:AI25,"C4")+COUNTIF(E25:AI25,"C4.0")+COUNTIF(E25:AI25,"C4.1")+COUNTIF(E25:AI25,"C4.4")+COUNTIF(E25:AI25,"C4.6")+COUNTIF(E25:AI25,"C4.9")+COUNTIF(E25:AI25,"C5")+COUNTIF(E25:AI25,"C6")+COUNTIF(E25:AI25,"C6.5")+COUNTIF(E25:AI25,"C6.0")+COUNTIF(E25:AI25,"C7")+COUNTIF(E25:AI25,"C7.6")+COUNTIF(E25:AI25,"C7.7")+COUNTIF(E25:AI25,"N6.4")*6.4/8+COUNTIF(E25:AI25,"Ro1")*1/8+COUNTIF(E25:AI25,"Ro2")*2/8+COUNTIF(E25:AI25,"Ro3")*3/8+COUNTIF(E25:AI25,"Ro4")*4/8+COUNTIF(E25:AI25,"Ro4.0")*4/8+COUNTIF(E25:AI25,"Ro5")*5/8+COUNTIF(E25:AI25,"Ro6")*6/8+COUNTIF(E25:AI25,"Ro6.5")*6.5/8+COUNTIF(E25:AI25,"Ro7")*7/8+COUNTIF(E25:AI25,"Ro7.3")*7.3/8+COUNTIF(E25:AI25,"Ro7.5")*7.5/8+COUNTIF(E25:AI25,"Ro7.8")*7.8/8+COUNTIF(E25:AI25,"Bu1")+COUNTIF(E25:AI25,"Bu2")+COUNTIF(E25:AI25,"Bu3")+COUNTIF(E25:AI25,"Bu4")+COUNTIF(E25:AI25,"Bu5")+COUNTIF(E25:AI25,"Bu6")+COUNTIF(E25:AI25,"Bu7")+COUNTIF(E25:AI25,"P2")*4/8</f>
        <v>13</v>
      </c>
      <c r="AL25" s="325">
        <f>COUNTIF(E25:AI25,"D")+COUNTIF(E25:AI25,"D1")*1/BB25+COUNTIF(E25:AI25,"D2")*2/BB25+COUNTIF(E25:AI25,"D3")*3/BB25+COUNTIF(E25:AI25,"D4")*4/BB25+COUNTIF(E25:AI25,"D5")*5/BB25+COUNTIF(E25:AI25,"D6")*6/BB25+COUNTIF(E25:AI25,"D7")*7/BB25+COUNTIF(E25:AI25,"D8")*8/BB25</f>
        <v>0</v>
      </c>
      <c r="AM25" s="326">
        <f t="shared" si="7"/>
        <v>26</v>
      </c>
      <c r="AN25" s="327">
        <f t="shared" si="8"/>
        <v>13</v>
      </c>
      <c r="AO25" s="327">
        <f>COUNTIF(E25:AI25,"p")+COUNTIF(E25:AI25,"P2")/2+COUNTIF(E25:AI25,"P1")/2</f>
        <v>0</v>
      </c>
      <c r="AP25" s="327">
        <f t="shared" si="10"/>
        <v>0</v>
      </c>
      <c r="AQ25" s="327">
        <f t="shared" si="11"/>
        <v>0</v>
      </c>
      <c r="AR25" s="327">
        <f t="shared" si="12"/>
        <v>0</v>
      </c>
      <c r="AS25" s="327">
        <f t="shared" si="13"/>
        <v>0</v>
      </c>
      <c r="AT25" s="327"/>
      <c r="AU25" s="327"/>
      <c r="AV25" s="327"/>
      <c r="AW25" s="327"/>
      <c r="AX25" s="327"/>
      <c r="AY25" s="327"/>
      <c r="AZ25" s="327">
        <f t="shared" si="14"/>
        <v>13</v>
      </c>
      <c r="BA25" s="331"/>
      <c r="BB25" s="27">
        <v>8</v>
      </c>
      <c r="BC25" s="27" t="str">
        <f>VLOOKUP(B25,'[2]Bang luong_06'!$B$10:$C$333,2,0)</f>
        <v>Nguyễn Thị Thanh Lam</v>
      </c>
      <c r="BE25" s="151" t="str">
        <f>VLOOKUP($B25,'[2]Bang luong_06'!$B$10:$C$333,2,0)</f>
        <v>Nguyễn Thị Thanh Lam</v>
      </c>
      <c r="BF25" s="27" t="b">
        <f>BE25=C25</f>
        <v>1</v>
      </c>
      <c r="BH25" s="329">
        <v>0</v>
      </c>
      <c r="BI25" s="27" t="s">
        <v>557</v>
      </c>
      <c r="BK25" s="27" t="e">
        <v>#N/A</v>
      </c>
      <c r="BN25" s="330" t="e">
        <v>#N/A</v>
      </c>
    </row>
    <row r="26" spans="1:66 1544:1544" ht="16.5" customHeight="1" outlineLevel="1" x14ac:dyDescent="0.25">
      <c r="A26" s="88">
        <f t="shared" si="3"/>
        <v>12</v>
      </c>
      <c r="B26" s="333" t="s">
        <v>560</v>
      </c>
      <c r="C26" s="333" t="s">
        <v>561</v>
      </c>
      <c r="D26" s="322">
        <v>46006</v>
      </c>
      <c r="E26" s="323" t="s">
        <v>38</v>
      </c>
      <c r="F26" s="323" t="s">
        <v>38</v>
      </c>
      <c r="G26" s="323" t="s">
        <v>38</v>
      </c>
      <c r="H26" s="323" t="s">
        <v>38</v>
      </c>
      <c r="I26" s="323" t="s">
        <v>38</v>
      </c>
      <c r="J26" s="323" t="s">
        <v>38</v>
      </c>
      <c r="K26" s="323"/>
      <c r="L26" s="323" t="s">
        <v>38</v>
      </c>
      <c r="M26" s="323" t="s">
        <v>38</v>
      </c>
      <c r="N26" s="323" t="s">
        <v>38</v>
      </c>
      <c r="O26" s="323" t="s">
        <v>38</v>
      </c>
      <c r="P26" s="323" t="s">
        <v>38</v>
      </c>
      <c r="Q26" s="323" t="s">
        <v>38</v>
      </c>
      <c r="R26" s="323"/>
      <c r="S26" s="323" t="s">
        <v>38</v>
      </c>
      <c r="T26" s="323"/>
      <c r="U26" s="323"/>
      <c r="V26" s="323"/>
      <c r="W26" s="323"/>
      <c r="X26" s="323"/>
      <c r="Y26" s="323"/>
      <c r="Z26" s="323"/>
      <c r="AA26" s="323"/>
      <c r="AB26" s="323"/>
      <c r="AC26" s="323"/>
      <c r="AD26" s="323"/>
      <c r="AE26" s="323"/>
      <c r="AF26" s="323"/>
      <c r="AG26" s="323"/>
      <c r="AH26" s="323"/>
      <c r="AI26" s="323"/>
      <c r="AJ26" s="69">
        <f>VLOOKUP($B26,[1]NV!$B$9:$DL$219,114,0)</f>
        <v>2</v>
      </c>
      <c r="AK26" s="325">
        <f>COUNTIF(E26:AI26,"H4")+COUNTIF(E26:AI26,"H")+COUNTIF(E26:AI26,"Bu")+COUNTIF(E26:AI26,"N")+COUNTIF(E26:AI26,"N1")*1/8+COUNTIF(E26:AI26,"N2")*2/8+COUNTIF(E26:AI26,"N3")*3/8+COUNTIF(E26:AI26,"N4")*4/8+COUNTIF(E26:AI26,"N5")*5/8+COUNTIF(E26:AI26,"N6")*6/8+COUNTIF(E26:AI26,"N7")*7/8+COUNTIF(E26:AI26,"N8")*8/8+COUNTIF(E26:AI26,"C")+COUNTIF(E26:AI26,"C1")+COUNTIF(E26:AI26,"C2")+COUNTIF(E26:AI26,"C2.9")+COUNTIF(E26:AI26,"C3")+COUNTIF(E26:AI26,"C3.8")+COUNTIF(E26:AI26,"C4")+COUNTIF(E26:AI26,"C4.0")+COUNTIF(E26:AI26,"C4.1")+COUNTIF(E26:AI26,"C4.4")+COUNTIF(E26:AI26,"C4.6")+COUNTIF(E26:AI26,"C4.9")+COUNTIF(E26:AI26,"C5")+COUNTIF(E26:AI26,"C6")+COUNTIF(E26:AI26,"C6.5")+COUNTIF(E26:AI26,"C6.0")+COUNTIF(E26:AI26,"C7")+COUNTIF(E26:AI26,"C7.6")+COUNTIF(E26:AI26,"C7.7")+COUNTIF(E26:AI26,"N6.4")*6.4/8+COUNTIF(E26:AI26,"Ro1")*1/8+COUNTIF(E26:AI26,"Ro2")*2/8+COUNTIF(E26:AI26,"Ro3")*3/8+COUNTIF(E26:AI26,"Ro4")*4/8+COUNTIF(E26:AI26,"Ro4.0")*4/8+COUNTIF(E26:AI26,"Ro5")*5/8+COUNTIF(E26:AI26,"Ro6")*6/8+COUNTIF(E26:AI26,"Ro6.5")*6.5/8+COUNTIF(E26:AI26,"Ro7")*7/8+COUNTIF(E26:AI26,"Ro7.3")*7.3/8+COUNTIF(E26:AI26,"Ro7.5")*7.5/8+COUNTIF(E26:AI26,"Ro7.8")*7.8/8+COUNTIF(E26:AI26,"Bu1")+COUNTIF(E26:AI26,"Bu2")+COUNTIF(E26:AI26,"Bu3")+COUNTIF(E26:AI26,"Bu4")+COUNTIF(E26:AI26,"Bu5")+COUNTIF(E26:AI26,"Bu6")+COUNTIF(E26:AI26,"Bu7")+COUNTIF(E26:AI26,"P2")*4/8</f>
        <v>13</v>
      </c>
      <c r="AL26" s="325">
        <f>COUNTIF(E26:AI26,"D")+COUNTIF(E26:AI26,"D1")*1/BB26+COUNTIF(E26:AI26,"D2")*2/BB26+COUNTIF(E26:AI26,"D3")*3/BB26+COUNTIF(E26:AI26,"D4")*4/BB26+COUNTIF(E26:AI26,"D5")*5/BB26+COUNTIF(E26:AI26,"D6")*6/BB26+COUNTIF(E26:AI26,"D7")*7/BB26+COUNTIF(E26:AI26,"D8")*8/BB26</f>
        <v>0</v>
      </c>
      <c r="AM26" s="326">
        <f t="shared" si="7"/>
        <v>26</v>
      </c>
      <c r="AN26" s="327">
        <f>AK26+AL26</f>
        <v>13</v>
      </c>
      <c r="AO26" s="327">
        <f>COUNTIF(E26:AI26,"p")+COUNTIF(E26:AI26,"P2")/2+COUNTIF(E26:AI26,"P1")/2</f>
        <v>0</v>
      </c>
      <c r="AP26" s="327">
        <f>COUNTIF(E26:AI26,"k")</f>
        <v>0</v>
      </c>
      <c r="AQ26" s="327">
        <f>COUNTIF(E26:AI26,"KL")+COUNTIF(E26:AI26,"O")+COUNTIF(E26:AI26,"O/")/2+COUNTIF(E26:AI26,"TN")+COUNTIF(E26:AI26,"4P4KL")/2+COUNTIF(E26:AI26,"P1")*0.5+COUNTIF(E26:AI26,"Ro")+COUNTIF(E26:AI26,"Ro1")*7/8+COUNTIF(E26:AI26,"Ro2")*6/8+COUNTIF(E26:AI26,"Ro3")*5/8+COUNTIF(E26:AI26,"Ro4")*4/8+COUNTIF(E26:AI26,"Ro4.0")*4/8+COUNTIF(E26:AI26,"Ro5")*3/8+COUNTIF(E26:AI26,"Ro6")*2/8+COUNTIF(E26:AI26,"Ro6.5")*1.5/8+COUNTIF(E26:AI26,"Ro7")*1/8+COUNTIF(E26:AI26,"Ro7.3")*0.7/8+COUNTIF(E26:AI26,"Ro7.5")*0.5/8+COUNTIF(E26:AI26,"Ro7.8")*0.2/8+COUNTIF(E26:AI26,"N7")*1/8+COUNTIF(E26:AI26,"N6")*2/8+COUNTIF(E26:AI26,"N5")*3/8+COUNTIF(E26:AI26,"N4")*4/8+COUNTIF(E26:AI26,"N3")*5/8+COUNTIF(E26:AI26,"N2")*6/8+COUNTIF(E26:AI26,"N1")*7/8</f>
        <v>0</v>
      </c>
      <c r="AR26" s="327">
        <f>COUNTIF(E26:AI26,"*R")</f>
        <v>0</v>
      </c>
      <c r="AS26" s="327">
        <f>COUNTIF(E26:AI26,"L")*1+COUNTIF(E26:AI26,"0.5L")*0.5</f>
        <v>0</v>
      </c>
      <c r="AT26" s="327"/>
      <c r="AU26" s="327"/>
      <c r="AV26" s="327"/>
      <c r="AW26" s="327"/>
      <c r="AX26" s="327"/>
      <c r="AY26" s="327"/>
      <c r="AZ26" s="327">
        <f>AN26+AO26+AS26+AR26</f>
        <v>13</v>
      </c>
      <c r="BA26" s="331"/>
      <c r="BB26" s="27">
        <v>11</v>
      </c>
      <c r="BC26" s="27" t="str">
        <f>VLOOKUP(B26,'[2]Bang luong_06'!$B$10:$C$333,2,0)</f>
        <v>Nguyễn Khánh Hưng</v>
      </c>
      <c r="BE26" s="151" t="str">
        <f>VLOOKUP($B26,'[2]Bang luong_06'!$B$10:$C$333,2,0)</f>
        <v>Nguyễn Khánh Hưng</v>
      </c>
      <c r="BF26" s="27" t="b">
        <f>BE26=C26</f>
        <v>1</v>
      </c>
      <c r="BH26" s="329">
        <v>0</v>
      </c>
      <c r="BI26" s="27" t="s">
        <v>557</v>
      </c>
      <c r="BK26" s="27" t="e">
        <v>#N/A</v>
      </c>
      <c r="BN26" s="330" t="e">
        <v>#N/A</v>
      </c>
    </row>
    <row r="27" spans="1:66 1544:1544" ht="16.5" customHeight="1" outlineLevel="1" x14ac:dyDescent="0.25">
      <c r="A27" s="88">
        <f t="shared" si="3"/>
        <v>13</v>
      </c>
      <c r="B27" s="333" t="s">
        <v>562</v>
      </c>
      <c r="C27" s="333" t="s">
        <v>563</v>
      </c>
      <c r="D27" s="322">
        <v>46132</v>
      </c>
      <c r="E27" s="323" t="s">
        <v>38</v>
      </c>
      <c r="F27" s="323" t="s">
        <v>38</v>
      </c>
      <c r="G27" s="323" t="s">
        <v>38</v>
      </c>
      <c r="H27" s="323" t="s">
        <v>38</v>
      </c>
      <c r="I27" s="323" t="s">
        <v>38</v>
      </c>
      <c r="J27" s="323" t="s">
        <v>38</v>
      </c>
      <c r="K27" s="323"/>
      <c r="L27" s="323" t="s">
        <v>38</v>
      </c>
      <c r="M27" s="323" t="s">
        <v>38</v>
      </c>
      <c r="N27" s="323" t="s">
        <v>38</v>
      </c>
      <c r="O27" s="323" t="s">
        <v>38</v>
      </c>
      <c r="P27" s="323" t="s">
        <v>38</v>
      </c>
      <c r="Q27" s="323" t="s">
        <v>38</v>
      </c>
      <c r="R27" s="323"/>
      <c r="S27" s="323" t="s">
        <v>38</v>
      </c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69"/>
      <c r="AK27" s="325">
        <f>COUNTIF(E27:AI27,"H4")+COUNTIF(E27:AI27,"H")+COUNTIF(E27:AI27,"Bu")+COUNTIF(E27:AI27,"N")+COUNTIF(E27:AI27,"N1")*1/8+COUNTIF(E27:AI27,"N2")*2/8+COUNTIF(E27:AI27,"N3")*3/8+COUNTIF(E27:AI27,"N4")*4/8+COUNTIF(E27:AI27,"N5")*5/8+COUNTIF(E27:AI27,"N6")*6/8+COUNTIF(E27:AI27,"N7")*7/8+COUNTIF(E27:AI27,"N8")*8/8+COUNTIF(E27:AI27,"C")+COUNTIF(E27:AI27,"C1")+COUNTIF(E27:AI27,"C2")+COUNTIF(E27:AI27,"C2.9")+COUNTIF(E27:AI27,"C3")+COUNTIF(E27:AI27,"C3.8")+COUNTIF(E27:AI27,"C4")+COUNTIF(E27:AI27,"C4.0")+COUNTIF(E27:AI27,"C4.1")+COUNTIF(E27:AI27,"C4.4")+COUNTIF(E27:AI27,"C4.6")+COUNTIF(E27:AI27,"C4.9")+COUNTIF(E27:AI27,"C5")+COUNTIF(E27:AI27,"C6")+COUNTIF(E27:AI27,"C6.5")+COUNTIF(E27:AI27,"C6.0")+COUNTIF(E27:AI27,"C7")+COUNTIF(E27:AI27,"C7.6")+COUNTIF(E27:AI27,"C7.7")+COUNTIF(E27:AI27,"N6.4")*6.4/8+COUNTIF(E27:AI27,"Ro1")*1/8+COUNTIF(E27:AI27,"Ro2")*2/8+COUNTIF(E27:AI27,"Ro3")*3/8+COUNTIF(E27:AI27,"Ro4")*4/8+COUNTIF(E27:AI27,"Ro4.0")*4/8+COUNTIF(E27:AI27,"Ro5")*5/8+COUNTIF(E27:AI27,"Ro6")*6/8+COUNTIF(E27:AI27,"Ro6.5")*6.5/8+COUNTIF(E27:AI27,"Ro7")*7/8+COUNTIF(E27:AI27,"Ro7.3")*7.3/8+COUNTIF(E27:AI27,"Ro7.5")*7.5/8+COUNTIF(E27:AI27,"Ro7.8")*7.8/8+COUNTIF(E27:AI27,"Bu1")+COUNTIF(E27:AI27,"Bu2")+COUNTIF(E27:AI27,"Bu3")+COUNTIF(E27:AI27,"Bu4")+COUNTIF(E27:AI27,"Bu5")+COUNTIF(E27:AI27,"Bu6")+COUNTIF(E27:AI27,"Bu7")+COUNTIF(E27:AI27,"P2")*4/8</f>
        <v>13</v>
      </c>
      <c r="AL27" s="325">
        <f>COUNTIF(E27:AI27,"D")+COUNTIF(E27:AI27,"D1")*1/BB27+COUNTIF(E27:AI27,"D2")*2/BB27+COUNTIF(E27:AI27,"D3")*3/BB27+COUNTIF(E27:AI27,"D4")*4/BB27+COUNTIF(E27:AI27,"D5")*5/BB27+COUNTIF(E27:AI27,"D6")*6/BB27+COUNTIF(E27:AI27,"D7")*7/BB27+COUNTIF(E27:AI27,"D8")*8/BB27</f>
        <v>0</v>
      </c>
      <c r="AM27" s="326">
        <f t="shared" si="7"/>
        <v>26</v>
      </c>
      <c r="AN27" s="327">
        <f>AK27+AL27</f>
        <v>13</v>
      </c>
      <c r="AO27" s="327">
        <f>COUNTIF(E27:AI27,"p")+COUNTIF(E27:AI27,"P2")/2+COUNTIF(E27:AI27,"P1")/2</f>
        <v>0</v>
      </c>
      <c r="AP27" s="327">
        <f>COUNTIF(E27:AI27,"k")</f>
        <v>0</v>
      </c>
      <c r="AQ27" s="327">
        <f>COUNTIF(E27:AI27,"KL")+COUNTIF(E27:AI27,"O")+COUNTIF(E27:AI27,"O/")/2+COUNTIF(E27:AI27,"TN")+COUNTIF(E27:AI27,"4P4KL")/2+COUNTIF(E27:AI27,"P1")*0.5+COUNTIF(E27:AI27,"Ro")+COUNTIF(E27:AI27,"Ro1")*7/8+COUNTIF(E27:AI27,"Ro2")*6/8+COUNTIF(E27:AI27,"Ro3")*5/8+COUNTIF(E27:AI27,"Ro4")*4/8+COUNTIF(E27:AI27,"Ro4.0")*4/8+COUNTIF(E27:AI27,"Ro5")*3/8+COUNTIF(E27:AI27,"Ro6")*2/8+COUNTIF(E27:AI27,"Ro6.5")*1.5/8+COUNTIF(E27:AI27,"Ro7")*1/8+COUNTIF(E27:AI27,"Ro7.3")*0.7/8+COUNTIF(E27:AI27,"Ro7.5")*0.5/8+COUNTIF(E27:AI27,"Ro7.8")*0.2/8+COUNTIF(E27:AI27,"N7")*1/8+COUNTIF(E27:AI27,"N6")*2/8+COUNTIF(E27:AI27,"N5")*3/8+COUNTIF(E27:AI27,"N4")*4/8+COUNTIF(E27:AI27,"N3")*5/8+COUNTIF(E27:AI27,"N2")*6/8+COUNTIF(E27:AI27,"N1")*7/8</f>
        <v>0</v>
      </c>
      <c r="AR27" s="327">
        <f>COUNTIF(E27:AI27,"*R")</f>
        <v>0</v>
      </c>
      <c r="AS27" s="327">
        <f>COUNTIF(E27:AI27,"L")*1+COUNTIF(E27:AI27,"0.5L")*0.5</f>
        <v>0</v>
      </c>
      <c r="AT27" s="327"/>
      <c r="AU27" s="327"/>
      <c r="AV27" s="327"/>
      <c r="AW27" s="327"/>
      <c r="AX27" s="327"/>
      <c r="AY27" s="327"/>
      <c r="AZ27" s="327">
        <f>AN27+AO27+AS27+AR27</f>
        <v>13</v>
      </c>
      <c r="BA27" s="331"/>
      <c r="BB27" s="27">
        <v>11</v>
      </c>
      <c r="BC27" s="27" t="str">
        <f>VLOOKUP(B27,'[2]Bang luong_06'!$B$10:$C$333,2,0)</f>
        <v>Liêu Bảo Thông</v>
      </c>
      <c r="BE27" s="151" t="str">
        <f>VLOOKUP($B27,'[2]Bang luong_06'!$B$10:$C$333,2,0)</f>
        <v>Liêu Bảo Thông</v>
      </c>
      <c r="BF27" s="27" t="b">
        <f>BE27=C27</f>
        <v>1</v>
      </c>
      <c r="BH27" s="329">
        <v>0</v>
      </c>
      <c r="BI27" s="27" t="s">
        <v>557</v>
      </c>
      <c r="BK27" s="27" t="e">
        <v>#N/A</v>
      </c>
      <c r="BN27" s="330" t="e">
        <v>#N/A</v>
      </c>
    </row>
    <row r="28" spans="1:66 1544:1544" ht="27" customHeight="1" outlineLevel="1" x14ac:dyDescent="0.25">
      <c r="A28" s="88" t="str">
        <f>IF(B28="","",MAX(A25:A27)+1)</f>
        <v/>
      </c>
      <c r="B28" s="317"/>
      <c r="C28" s="317" t="s">
        <v>564</v>
      </c>
      <c r="D28" s="313">
        <f>COUNTA(A29:A34)</f>
        <v>6</v>
      </c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8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E28" s="151"/>
      <c r="BI28" s="27" t="e">
        <v>#N/A</v>
      </c>
      <c r="BN28" s="337">
        <v>0</v>
      </c>
      <c r="BGJ28" s="27" t="s">
        <v>544</v>
      </c>
    </row>
    <row r="29" spans="1:66 1544:1544" ht="16.5" customHeight="1" outlineLevel="1" x14ac:dyDescent="0.25">
      <c r="A29" s="88">
        <f t="shared" si="3"/>
        <v>14</v>
      </c>
      <c r="B29" s="333" t="s">
        <v>565</v>
      </c>
      <c r="C29" s="333" t="s">
        <v>566</v>
      </c>
      <c r="D29" s="322">
        <v>45719</v>
      </c>
      <c r="E29" s="323" t="s">
        <v>38</v>
      </c>
      <c r="F29" s="323" t="s">
        <v>38</v>
      </c>
      <c r="G29" s="323" t="s">
        <v>38</v>
      </c>
      <c r="H29" s="323" t="s">
        <v>38</v>
      </c>
      <c r="I29" s="323" t="s">
        <v>38</v>
      </c>
      <c r="J29" s="323" t="s">
        <v>38</v>
      </c>
      <c r="K29" s="323"/>
      <c r="L29" s="323" t="s">
        <v>38</v>
      </c>
      <c r="M29" s="323" t="s">
        <v>38</v>
      </c>
      <c r="N29" s="323" t="s">
        <v>38</v>
      </c>
      <c r="O29" s="323" t="s">
        <v>38</v>
      </c>
      <c r="P29" s="323" t="s">
        <v>38</v>
      </c>
      <c r="Q29" s="323" t="s">
        <v>38</v>
      </c>
      <c r="R29" s="323"/>
      <c r="S29" s="323" t="s">
        <v>38</v>
      </c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69">
        <f>VLOOKUP($B29,[1]NV!$B$9:$DL$219,114,0)</f>
        <v>1</v>
      </c>
      <c r="AK29" s="325">
        <f t="shared" ref="AK29:AK34" si="16">COUNTIF(E29:AI29,"H4")+COUNTIF(E29:AI29,"H")+COUNTIF(E29:AI29,"Bu")+COUNTIF(E29:AI29,"N")+COUNTIF(E29:AI29,"N1")*1/8+COUNTIF(E29:AI29,"N2")*2/8+COUNTIF(E29:AI29,"N3")*3/8+COUNTIF(E29:AI29,"N4")*4/8+COUNTIF(E29:AI29,"N5")*5/8+COUNTIF(E29:AI29,"N6")*6/8+COUNTIF(E29:AI29,"N7")*7/8+COUNTIF(E29:AI29,"N8")*8/8+COUNTIF(E29:AI29,"C")+COUNTIF(E29:AI29,"C1")+COUNTIF(E29:AI29,"C2")+COUNTIF(E29:AI29,"C2.9")+COUNTIF(E29:AI29,"C3")+COUNTIF(E29:AI29,"C3.8")+COUNTIF(E29:AI29,"C4")+COUNTIF(E29:AI29,"C4.0")+COUNTIF(E29:AI29,"C4.1")+COUNTIF(E29:AI29,"C4.4")+COUNTIF(E29:AI29,"C4.6")+COUNTIF(E29:AI29,"C4.9")+COUNTIF(E29:AI29,"C5")+COUNTIF(E29:AI29,"C6")+COUNTIF(E29:AI29,"C6.5")+COUNTIF(E29:AI29,"C6.0")+COUNTIF(E29:AI29,"C7")+COUNTIF(E29:AI29,"C7.6")+COUNTIF(E29:AI29,"C7.7")+COUNTIF(E29:AI29,"N6.4")*6.4/8+COUNTIF(E29:AI29,"Ro1")*1/8+COUNTIF(E29:AI29,"Ro2")*2/8+COUNTIF(E29:AI29,"Ro3")*3/8+COUNTIF(E29:AI29,"Ro4")*4/8+COUNTIF(E29:AI29,"Ro4.0")*4/8+COUNTIF(E29:AI29,"Ro5")*5/8+COUNTIF(E29:AI29,"Ro6")*6/8+COUNTIF(E29:AI29,"Ro6.5")*6.5/8+COUNTIF(E29:AI29,"Ro7")*7/8+COUNTIF(E29:AI29,"Ro7.3")*7.3/8+COUNTIF(E29:AI29,"Ro7.5")*7.5/8+COUNTIF(E29:AI29,"Ro7.8")*7.8/8+COUNTIF(E29:AI29,"Bu1")+COUNTIF(E29:AI29,"Bu2")+COUNTIF(E29:AI29,"Bu3")+COUNTIF(E29:AI29,"Bu4")+COUNTIF(E29:AI29,"Bu5")+COUNTIF(E29:AI29,"Bu6")+COUNTIF(E29:AI29,"Bu7")+COUNTIF(E29:AI29,"P2")*4/8</f>
        <v>13</v>
      </c>
      <c r="AL29" s="325">
        <f t="shared" ref="AL29:AL34" si="17">COUNTIF(E29:AI29,"D")+COUNTIF(E29:AI29,"D1")*1/BB29+COUNTIF(E29:AI29,"D2")*2/BB29+COUNTIF(E29:AI29,"D3")*3/BB29+COUNTIF(E29:AI29,"D4")*4/BB29+COUNTIF(E29:AI29,"D5")*5/BB29+COUNTIF(E29:AI29,"D6")*6/BB29+COUNTIF(E29:AI29,"D7")*7/BB29+COUNTIF(E29:AI29,"D8")*8/BB29</f>
        <v>0</v>
      </c>
      <c r="AM29" s="326">
        <f t="shared" ref="AM29:AM34" si="18">+$AH$10-$E$10+1-INT(($AH$10-$E$10-WEEKDAY($AH$10)+8)/7)</f>
        <v>26</v>
      </c>
      <c r="AN29" s="327">
        <f t="shared" ref="AN29:AN34" si="19">AK29+AL29</f>
        <v>13</v>
      </c>
      <c r="AO29" s="327">
        <f t="shared" ref="AO29:AO34" si="20">COUNTIF(E29:AI29,"p")+COUNTIF(E29:AI29,"P2")/2+COUNTIF(E29:AI29,"P1")/2</f>
        <v>0</v>
      </c>
      <c r="AP29" s="327">
        <f t="shared" ref="AP29:AP34" si="21">COUNTIF(E29:AI29,"k")</f>
        <v>0</v>
      </c>
      <c r="AQ29" s="327">
        <f t="shared" ref="AQ29:AQ34" si="22">COUNTIF(E29:AI29,"KL")+COUNTIF(E29:AI29,"O")+COUNTIF(E29:AI29,"O/")/2+COUNTIF(E29:AI29,"TN")+COUNTIF(E29:AI29,"4P4KL")/2+COUNTIF(E29:AI29,"P1")*0.5+COUNTIF(E29:AI29,"Ro")+COUNTIF(E29:AI29,"Ro1")*7/8+COUNTIF(E29:AI29,"Ro2")*6/8+COUNTIF(E29:AI29,"Ro3")*5/8+COUNTIF(E29:AI29,"Ro4")*4/8+COUNTIF(E29:AI29,"Ro4.0")*4/8+COUNTIF(E29:AI29,"Ro5")*3/8+COUNTIF(E29:AI29,"Ro6")*2/8+COUNTIF(E29:AI29,"Ro6.5")*1.5/8+COUNTIF(E29:AI29,"Ro7")*1/8+COUNTIF(E29:AI29,"Ro7.3")*0.7/8+COUNTIF(E29:AI29,"Ro7.5")*0.5/8+COUNTIF(E29:AI29,"Ro7.8")*0.2/8+COUNTIF(E29:AI29,"N7")*1/8+COUNTIF(E29:AI29,"N6")*2/8+COUNTIF(E29:AI29,"N5")*3/8+COUNTIF(E29:AI29,"N4")*4/8+COUNTIF(E29:AI29,"N3")*5/8+COUNTIF(E29:AI29,"N2")*6/8+COUNTIF(E29:AI29,"N1")*7/8</f>
        <v>0</v>
      </c>
      <c r="AR29" s="327">
        <f t="shared" ref="AR29:AR34" si="23">COUNTIF(E29:AI29,"*R")</f>
        <v>0</v>
      </c>
      <c r="AS29" s="327">
        <f t="shared" ref="AS29:AS34" si="24">COUNTIF(E29:AI29,"L")*1+COUNTIF(E29:AI29,"0.5L")*0.5</f>
        <v>0</v>
      </c>
      <c r="AT29" s="327"/>
      <c r="AU29" s="327"/>
      <c r="AV29" s="327"/>
      <c r="AW29" s="327"/>
      <c r="AX29" s="327"/>
      <c r="AY29" s="327"/>
      <c r="AZ29" s="327">
        <f t="shared" ref="AZ29:AZ34" si="25">AN29+AO29+AS29+AR29</f>
        <v>13</v>
      </c>
      <c r="BA29" s="331"/>
      <c r="BB29" s="27">
        <v>8</v>
      </c>
      <c r="BC29" s="27" t="str">
        <f>VLOOKUP(B29,'[2]Bang luong_06'!$B$10:$C$333,2,0)</f>
        <v>Ngô Vương Tuấn Kiệt</v>
      </c>
      <c r="BE29" s="151" t="str">
        <f>VLOOKUP($B29,'[2]Bang luong_06'!$B$10:$C$333,2,0)</f>
        <v>Ngô Vương Tuấn Kiệt</v>
      </c>
      <c r="BF29" s="27" t="b">
        <f t="shared" ref="BF29:BF34" si="26">BE29=C29</f>
        <v>1</v>
      </c>
      <c r="BH29" s="332" t="e">
        <f>+VLOOKUP(B29,'[2]Thưởng Lễ 2-9'!$B$5:$G$294,6,0)</f>
        <v>#N/A</v>
      </c>
      <c r="BI29" s="27" t="s">
        <v>567</v>
      </c>
      <c r="BK29" s="27" t="s">
        <v>567</v>
      </c>
      <c r="BN29" s="330">
        <v>0</v>
      </c>
      <c r="BGJ29" s="27" t="e">
        <v>#N/A</v>
      </c>
    </row>
    <row r="30" spans="1:66 1544:1544" ht="16.5" customHeight="1" outlineLevel="1" x14ac:dyDescent="0.25">
      <c r="A30" s="88">
        <f t="shared" si="3"/>
        <v>15</v>
      </c>
      <c r="B30" s="333" t="s">
        <v>568</v>
      </c>
      <c r="C30" s="333" t="s">
        <v>569</v>
      </c>
      <c r="D30" s="127">
        <v>41932</v>
      </c>
      <c r="E30" s="323" t="s">
        <v>38</v>
      </c>
      <c r="F30" s="323" t="s">
        <v>38</v>
      </c>
      <c r="G30" s="323" t="s">
        <v>38</v>
      </c>
      <c r="H30" s="323" t="s">
        <v>38</v>
      </c>
      <c r="I30" s="323" t="s">
        <v>38</v>
      </c>
      <c r="J30" s="323" t="s">
        <v>38</v>
      </c>
      <c r="K30" s="323"/>
      <c r="L30" s="323" t="s">
        <v>38</v>
      </c>
      <c r="M30" s="323" t="s">
        <v>38</v>
      </c>
      <c r="N30" s="323" t="s">
        <v>38</v>
      </c>
      <c r="O30" s="323" t="s">
        <v>38</v>
      </c>
      <c r="P30" s="323" t="s">
        <v>38</v>
      </c>
      <c r="Q30" s="323" t="s">
        <v>38</v>
      </c>
      <c r="R30" s="323"/>
      <c r="S30" s="323" t="s">
        <v>38</v>
      </c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69">
        <f>VLOOKUP($B30,[1]NV!$B$9:$DL$219,114,0)</f>
        <v>2</v>
      </c>
      <c r="AK30" s="325">
        <f t="shared" si="16"/>
        <v>13</v>
      </c>
      <c r="AL30" s="325">
        <f t="shared" si="17"/>
        <v>0</v>
      </c>
      <c r="AM30" s="326">
        <f t="shared" si="18"/>
        <v>26</v>
      </c>
      <c r="AN30" s="327">
        <f t="shared" si="19"/>
        <v>13</v>
      </c>
      <c r="AO30" s="327">
        <f t="shared" si="20"/>
        <v>0</v>
      </c>
      <c r="AP30" s="327">
        <f t="shared" si="21"/>
        <v>0</v>
      </c>
      <c r="AQ30" s="327">
        <f t="shared" si="22"/>
        <v>0</v>
      </c>
      <c r="AR30" s="327">
        <f t="shared" si="23"/>
        <v>0</v>
      </c>
      <c r="AS30" s="327">
        <f t="shared" si="24"/>
        <v>0</v>
      </c>
      <c r="AT30" s="327"/>
      <c r="AU30" s="327"/>
      <c r="AV30" s="327"/>
      <c r="AW30" s="327"/>
      <c r="AX30" s="327"/>
      <c r="AY30" s="327"/>
      <c r="AZ30" s="327">
        <f t="shared" si="25"/>
        <v>13</v>
      </c>
      <c r="BA30" s="331"/>
      <c r="BB30" s="27">
        <v>8</v>
      </c>
      <c r="BC30" s="27" t="str">
        <f>VLOOKUP(B30,'[2]Bang luong_06'!$B$10:$C$333,2,0)</f>
        <v>Nguyễn Trường Trung</v>
      </c>
      <c r="BE30" s="151" t="str">
        <f>VLOOKUP($B30,'[2]Bang luong_06'!$B$10:$C$333,2,0)</f>
        <v>Nguyễn Trường Trung</v>
      </c>
      <c r="BF30" s="27" t="b">
        <f t="shared" si="26"/>
        <v>1</v>
      </c>
      <c r="BH30" s="332">
        <f>+VLOOKUP(B30,'[2]Thưởng Lễ 2-9'!$B$5:$G$294,6,0)</f>
        <v>0</v>
      </c>
      <c r="BI30" s="27" t="s">
        <v>569</v>
      </c>
      <c r="BK30" s="27" t="s">
        <v>569</v>
      </c>
      <c r="BN30" s="330">
        <v>6</v>
      </c>
      <c r="BGJ30" s="27" t="s">
        <v>569</v>
      </c>
    </row>
    <row r="31" spans="1:66 1544:1544" ht="16.5" customHeight="1" outlineLevel="1" x14ac:dyDescent="0.25">
      <c r="A31" s="88">
        <f t="shared" si="3"/>
        <v>16</v>
      </c>
      <c r="B31" s="333" t="s">
        <v>570</v>
      </c>
      <c r="C31" s="333" t="s">
        <v>571</v>
      </c>
      <c r="D31" s="127">
        <v>45607</v>
      </c>
      <c r="E31" s="323" t="s">
        <v>38</v>
      </c>
      <c r="F31" s="323" t="s">
        <v>38</v>
      </c>
      <c r="G31" s="323" t="s">
        <v>38</v>
      </c>
      <c r="H31" s="323" t="s">
        <v>38</v>
      </c>
      <c r="I31" s="323" t="s">
        <v>38</v>
      </c>
      <c r="J31" s="323" t="s">
        <v>38</v>
      </c>
      <c r="K31" s="323"/>
      <c r="L31" s="323" t="s">
        <v>38</v>
      </c>
      <c r="M31" s="323" t="s">
        <v>38</v>
      </c>
      <c r="N31" s="323" t="s">
        <v>38</v>
      </c>
      <c r="O31" s="323" t="s">
        <v>38</v>
      </c>
      <c r="P31" s="323" t="s">
        <v>38</v>
      </c>
      <c r="Q31" s="323" t="s">
        <v>38</v>
      </c>
      <c r="R31" s="323"/>
      <c r="S31" s="323" t="s">
        <v>38</v>
      </c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42"/>
      <c r="AJ31" s="69">
        <f>VLOOKUP($B31,[1]NV!$B$9:$DL$219,114,0)</f>
        <v>-1</v>
      </c>
      <c r="AK31" s="325">
        <f t="shared" si="16"/>
        <v>13</v>
      </c>
      <c r="AL31" s="325">
        <f t="shared" si="17"/>
        <v>0</v>
      </c>
      <c r="AM31" s="326">
        <f t="shared" si="18"/>
        <v>26</v>
      </c>
      <c r="AN31" s="327">
        <f t="shared" si="19"/>
        <v>13</v>
      </c>
      <c r="AO31" s="327">
        <f t="shared" si="20"/>
        <v>0</v>
      </c>
      <c r="AP31" s="327">
        <f t="shared" si="21"/>
        <v>0</v>
      </c>
      <c r="AQ31" s="327">
        <f t="shared" si="22"/>
        <v>0</v>
      </c>
      <c r="AR31" s="327">
        <f t="shared" si="23"/>
        <v>0</v>
      </c>
      <c r="AS31" s="327">
        <f t="shared" si="24"/>
        <v>0</v>
      </c>
      <c r="AT31" s="327"/>
      <c r="AU31" s="327"/>
      <c r="AV31" s="327"/>
      <c r="AW31" s="327"/>
      <c r="AX31" s="327"/>
      <c r="AY31" s="327"/>
      <c r="AZ31" s="327">
        <f t="shared" si="25"/>
        <v>13</v>
      </c>
      <c r="BA31" s="331"/>
      <c r="BB31" s="27">
        <v>8</v>
      </c>
      <c r="BC31" s="27" t="str">
        <f>VLOOKUP(B31,'[2]Bang luong_06'!$B$10:$C$333,2,0)</f>
        <v>Trần Duy Luân</v>
      </c>
      <c r="BE31" s="151" t="str">
        <f>VLOOKUP($B31,'[2]Bang luong_06'!$B$10:$C$333,2,0)</f>
        <v>Trần Duy Luân</v>
      </c>
      <c r="BF31" s="27" t="b">
        <f t="shared" si="26"/>
        <v>1</v>
      </c>
      <c r="BH31" s="332" t="e">
        <f>+VLOOKUP(B31,'[2]Thưởng Lễ 2-9'!$B$5:$G$294,6,0)</f>
        <v>#N/A</v>
      </c>
      <c r="BI31" s="27" t="s">
        <v>569</v>
      </c>
      <c r="BK31" s="27" t="s">
        <v>569</v>
      </c>
      <c r="BN31" s="330">
        <v>0</v>
      </c>
      <c r="BGJ31" s="27" t="s">
        <v>569</v>
      </c>
    </row>
    <row r="32" spans="1:66 1544:1544" ht="16.5" customHeight="1" outlineLevel="1" x14ac:dyDescent="0.25">
      <c r="A32" s="88">
        <f>IF(B32="","",MAX(A31:A31)+1)</f>
        <v>17</v>
      </c>
      <c r="B32" s="333" t="s">
        <v>572</v>
      </c>
      <c r="C32" s="333" t="s">
        <v>573</v>
      </c>
      <c r="D32" s="127">
        <v>45761</v>
      </c>
      <c r="E32" s="323" t="s">
        <v>38</v>
      </c>
      <c r="F32" s="323" t="s">
        <v>38</v>
      </c>
      <c r="G32" s="323" t="s">
        <v>38</v>
      </c>
      <c r="H32" s="323" t="s">
        <v>38</v>
      </c>
      <c r="I32" s="323" t="s">
        <v>38</v>
      </c>
      <c r="J32" s="323" t="s">
        <v>38</v>
      </c>
      <c r="K32" s="323"/>
      <c r="L32" s="323" t="s">
        <v>38</v>
      </c>
      <c r="M32" s="323" t="s">
        <v>38</v>
      </c>
      <c r="N32" s="323" t="s">
        <v>38</v>
      </c>
      <c r="O32" s="323" t="s">
        <v>38</v>
      </c>
      <c r="P32" s="323" t="s">
        <v>38</v>
      </c>
      <c r="Q32" s="323" t="s">
        <v>107</v>
      </c>
      <c r="R32" s="323"/>
      <c r="S32" s="323" t="s">
        <v>38</v>
      </c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69">
        <f>VLOOKUP($B32,[1]NV!$B$9:$DL$219,114,0)</f>
        <v>1</v>
      </c>
      <c r="AK32" s="325">
        <f t="shared" si="16"/>
        <v>12</v>
      </c>
      <c r="AL32" s="325">
        <f t="shared" si="17"/>
        <v>0</v>
      </c>
      <c r="AM32" s="326">
        <f t="shared" si="18"/>
        <v>26</v>
      </c>
      <c r="AN32" s="327">
        <f t="shared" si="19"/>
        <v>12</v>
      </c>
      <c r="AO32" s="327">
        <f t="shared" si="20"/>
        <v>1</v>
      </c>
      <c r="AP32" s="327">
        <f t="shared" si="21"/>
        <v>0</v>
      </c>
      <c r="AQ32" s="327">
        <f t="shared" si="22"/>
        <v>0</v>
      </c>
      <c r="AR32" s="327">
        <f t="shared" si="23"/>
        <v>0</v>
      </c>
      <c r="AS32" s="327">
        <f t="shared" si="24"/>
        <v>0</v>
      </c>
      <c r="AT32" s="327"/>
      <c r="AU32" s="327"/>
      <c r="AV32" s="327"/>
      <c r="AW32" s="327"/>
      <c r="AX32" s="327"/>
      <c r="AY32" s="327"/>
      <c r="AZ32" s="327">
        <f t="shared" si="25"/>
        <v>13</v>
      </c>
      <c r="BA32" s="331"/>
      <c r="BB32" s="27">
        <v>8</v>
      </c>
      <c r="BC32" s="27" t="str">
        <f>VLOOKUP(B32,'[2]Bang luong_06'!$B$10:$C$333,2,0)</f>
        <v>Nguyễn Mỹ Cảnh</v>
      </c>
      <c r="BE32" s="151" t="str">
        <f>VLOOKUP($B32,'[2]Bang luong_06'!$B$10:$C$333,2,0)</f>
        <v>Nguyễn Mỹ Cảnh</v>
      </c>
      <c r="BF32" s="27" t="b">
        <f t="shared" si="26"/>
        <v>1</v>
      </c>
      <c r="BH32" s="332" t="e">
        <f>+VLOOKUP(B32,'[2]Thưởng Lễ 2-9'!$B$5:$G$294,6,0)</f>
        <v>#N/A</v>
      </c>
      <c r="BI32" s="27" t="s">
        <v>567</v>
      </c>
      <c r="BK32" s="27" t="s">
        <v>567</v>
      </c>
      <c r="BN32" s="330">
        <v>0</v>
      </c>
      <c r="BGJ32" s="27" t="e">
        <v>#N/A</v>
      </c>
    </row>
    <row r="33" spans="1:66 1544:1544" ht="16.5" customHeight="1" outlineLevel="1" x14ac:dyDescent="0.25">
      <c r="A33" s="88">
        <f>IF(B33="","",MAX(A32:A32)+1)</f>
        <v>18</v>
      </c>
      <c r="B33" s="333" t="s">
        <v>574</v>
      </c>
      <c r="C33" s="333" t="s">
        <v>575</v>
      </c>
      <c r="D33" s="127">
        <v>46127</v>
      </c>
      <c r="E33" s="323" t="s">
        <v>38</v>
      </c>
      <c r="F33" s="323" t="s">
        <v>38</v>
      </c>
      <c r="G33" s="323" t="s">
        <v>38</v>
      </c>
      <c r="H33" s="323" t="s">
        <v>38</v>
      </c>
      <c r="I33" s="323" t="s">
        <v>38</v>
      </c>
      <c r="J33" s="323" t="s">
        <v>38</v>
      </c>
      <c r="K33" s="323"/>
      <c r="L33" s="323" t="s">
        <v>38</v>
      </c>
      <c r="M33" s="323" t="s">
        <v>38</v>
      </c>
      <c r="N33" s="323" t="s">
        <v>38</v>
      </c>
      <c r="O33" s="323" t="s">
        <v>143</v>
      </c>
      <c r="P33" s="323" t="s">
        <v>143</v>
      </c>
      <c r="Q33" s="323" t="s">
        <v>143</v>
      </c>
      <c r="R33" s="323"/>
      <c r="S33" s="323" t="s">
        <v>143</v>
      </c>
      <c r="T33" s="323" t="s">
        <v>143</v>
      </c>
      <c r="U33" s="323" t="s">
        <v>143</v>
      </c>
      <c r="V33" s="323" t="s">
        <v>143</v>
      </c>
      <c r="W33" s="323" t="s">
        <v>143</v>
      </c>
      <c r="X33" s="323" t="s">
        <v>143</v>
      </c>
      <c r="Y33" s="323"/>
      <c r="Z33" s="323" t="s">
        <v>143</v>
      </c>
      <c r="AA33" s="323" t="s">
        <v>143</v>
      </c>
      <c r="AB33" s="323" t="s">
        <v>143</v>
      </c>
      <c r="AC33" s="323" t="s">
        <v>143</v>
      </c>
      <c r="AD33" s="323" t="s">
        <v>143</v>
      </c>
      <c r="AE33" s="323" t="s">
        <v>143</v>
      </c>
      <c r="AF33" s="323"/>
      <c r="AG33" s="323" t="s">
        <v>143</v>
      </c>
      <c r="AH33" s="323" t="s">
        <v>143</v>
      </c>
      <c r="AI33" s="323" t="s">
        <v>143</v>
      </c>
      <c r="AJ33" s="69"/>
      <c r="AK33" s="325">
        <f t="shared" si="16"/>
        <v>9</v>
      </c>
      <c r="AL33" s="325">
        <f t="shared" si="17"/>
        <v>0</v>
      </c>
      <c r="AM33" s="326">
        <f t="shared" si="18"/>
        <v>26</v>
      </c>
      <c r="AN33" s="327">
        <f t="shared" si="19"/>
        <v>9</v>
      </c>
      <c r="AO33" s="327">
        <f t="shared" si="20"/>
        <v>0</v>
      </c>
      <c r="AP33" s="327">
        <f t="shared" si="21"/>
        <v>0</v>
      </c>
      <c r="AQ33" s="327">
        <f t="shared" si="22"/>
        <v>0</v>
      </c>
      <c r="AR33" s="327">
        <f t="shared" si="23"/>
        <v>0</v>
      </c>
      <c r="AS33" s="327">
        <f t="shared" si="24"/>
        <v>0</v>
      </c>
      <c r="AT33" s="327"/>
      <c r="AU33" s="327"/>
      <c r="AV33" s="327"/>
      <c r="AW33" s="327"/>
      <c r="AX33" s="327"/>
      <c r="AY33" s="327"/>
      <c r="AZ33" s="327">
        <f t="shared" si="25"/>
        <v>9</v>
      </c>
      <c r="BA33" s="331"/>
      <c r="BB33" s="27">
        <v>8</v>
      </c>
      <c r="BC33" s="27" t="str">
        <f>VLOOKUP(B33,'[2]Bang luong_06'!$B$10:$C$333,2,0)</f>
        <v>Phan Thị Nguyên</v>
      </c>
      <c r="BE33" s="151" t="str">
        <f>VLOOKUP($B33,'[2]Bang luong_06'!$B$10:$C$333,2,0)</f>
        <v>Phan Thị Nguyên</v>
      </c>
      <c r="BF33" s="27" t="b">
        <f t="shared" si="26"/>
        <v>1</v>
      </c>
      <c r="BH33" s="332" t="e">
        <f>+VLOOKUP(B33,'[2]Thưởng Lễ 2-9'!$B$5:$G$294,6,0)</f>
        <v>#N/A</v>
      </c>
      <c r="BI33" s="27" t="s">
        <v>567</v>
      </c>
      <c r="BK33" s="27" t="s">
        <v>567</v>
      </c>
      <c r="BN33" s="330">
        <v>0</v>
      </c>
      <c r="BGJ33" s="27" t="e">
        <v>#N/A</v>
      </c>
    </row>
    <row r="34" spans="1:66 1544:1544" ht="16.5" customHeight="1" outlineLevel="1" x14ac:dyDescent="0.25">
      <c r="A34" s="88">
        <f t="shared" si="3"/>
        <v>19</v>
      </c>
      <c r="B34" s="333" t="s">
        <v>576</v>
      </c>
      <c r="C34" s="333" t="s">
        <v>577</v>
      </c>
      <c r="D34" s="127">
        <v>45931</v>
      </c>
      <c r="E34" s="323" t="s">
        <v>38</v>
      </c>
      <c r="F34" s="323" t="s">
        <v>38</v>
      </c>
      <c r="G34" s="323" t="s">
        <v>38</v>
      </c>
      <c r="H34" s="323" t="s">
        <v>38</v>
      </c>
      <c r="I34" s="323" t="s">
        <v>38</v>
      </c>
      <c r="J34" s="323" t="s">
        <v>38</v>
      </c>
      <c r="K34" s="323"/>
      <c r="L34" s="323" t="s">
        <v>38</v>
      </c>
      <c r="M34" s="323" t="s">
        <v>38</v>
      </c>
      <c r="N34" s="323" t="s">
        <v>38</v>
      </c>
      <c r="O34" s="323" t="s">
        <v>38</v>
      </c>
      <c r="P34" s="323" t="s">
        <v>38</v>
      </c>
      <c r="Q34" s="323" t="s">
        <v>38</v>
      </c>
      <c r="R34" s="323"/>
      <c r="S34" s="323" t="s">
        <v>38</v>
      </c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69"/>
      <c r="AK34" s="325">
        <f t="shared" si="16"/>
        <v>13</v>
      </c>
      <c r="AL34" s="325">
        <f t="shared" si="17"/>
        <v>0</v>
      </c>
      <c r="AM34" s="326">
        <f t="shared" si="18"/>
        <v>26</v>
      </c>
      <c r="AN34" s="327">
        <f t="shared" si="19"/>
        <v>13</v>
      </c>
      <c r="AO34" s="327">
        <f t="shared" si="20"/>
        <v>0</v>
      </c>
      <c r="AP34" s="327">
        <f t="shared" si="21"/>
        <v>0</v>
      </c>
      <c r="AQ34" s="327">
        <f t="shared" si="22"/>
        <v>0</v>
      </c>
      <c r="AR34" s="327">
        <f t="shared" si="23"/>
        <v>0</v>
      </c>
      <c r="AS34" s="327">
        <f t="shared" si="24"/>
        <v>0</v>
      </c>
      <c r="AT34" s="327"/>
      <c r="AU34" s="327"/>
      <c r="AV34" s="327"/>
      <c r="AW34" s="327"/>
      <c r="AX34" s="327"/>
      <c r="AY34" s="327"/>
      <c r="AZ34" s="327">
        <f t="shared" si="25"/>
        <v>13</v>
      </c>
      <c r="BA34" s="331"/>
      <c r="BB34" s="27">
        <v>8</v>
      </c>
      <c r="BC34" s="27" t="str">
        <f>VLOOKUP(B34,'[2]Bang luong_06'!$B$10:$C$333,2,0)</f>
        <v>Đặng Minh Chí</v>
      </c>
      <c r="BE34" s="151" t="str">
        <f>VLOOKUP($B34,'[2]Bang luong_06'!$B$10:$C$333,2,0)</f>
        <v>Đặng Minh Chí</v>
      </c>
      <c r="BF34" s="27" t="b">
        <f t="shared" si="26"/>
        <v>1</v>
      </c>
      <c r="BH34" s="332" t="e">
        <f>+VLOOKUP(B34,'[2]Thưởng Lễ 2-9'!$B$5:$G$294,6,0)</f>
        <v>#N/A</v>
      </c>
      <c r="BI34" s="27" t="s">
        <v>567</v>
      </c>
      <c r="BK34" s="27" t="s">
        <v>567</v>
      </c>
      <c r="BN34" s="330">
        <v>0</v>
      </c>
      <c r="BGJ34" s="27" t="e">
        <v>#N/A</v>
      </c>
    </row>
    <row r="35" spans="1:66 1544:1544" ht="16.5" customHeight="1" outlineLevel="1" x14ac:dyDescent="0.25">
      <c r="A35" s="88" t="str">
        <f>IF(B35="","",MAX(A34:A34)+1)</f>
        <v/>
      </c>
      <c r="B35" s="317"/>
      <c r="C35" s="317" t="s">
        <v>578</v>
      </c>
      <c r="D35" s="313">
        <f>COUNTA(A36:A39)</f>
        <v>4</v>
      </c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8"/>
      <c r="AK35" s="317"/>
      <c r="AL35" s="317"/>
      <c r="AM35" s="317"/>
      <c r="AN35" s="317"/>
      <c r="AO35" s="317"/>
      <c r="AP35" s="317"/>
      <c r="AQ35" s="317"/>
      <c r="AR35" s="317"/>
      <c r="AS35" s="317"/>
      <c r="AT35" s="317"/>
      <c r="AU35" s="317"/>
      <c r="AV35" s="317"/>
      <c r="AW35" s="317"/>
      <c r="AX35" s="317"/>
      <c r="AY35" s="317"/>
      <c r="AZ35" s="317"/>
      <c r="BA35" s="317"/>
      <c r="BE35" s="151"/>
      <c r="BI35" s="27" t="e">
        <v>#N/A</v>
      </c>
      <c r="BN35" s="337">
        <v>0</v>
      </c>
      <c r="BGJ35" s="27" t="s">
        <v>544</v>
      </c>
    </row>
    <row r="36" spans="1:66 1544:1544" ht="16.5" customHeight="1" outlineLevel="1" x14ac:dyDescent="0.25">
      <c r="A36" s="88">
        <f>IF(B36="","",MAX(A34:A35)+1)</f>
        <v>20</v>
      </c>
      <c r="B36" s="333" t="s">
        <v>579</v>
      </c>
      <c r="C36" s="333" t="s">
        <v>580</v>
      </c>
      <c r="D36" s="343">
        <v>45418</v>
      </c>
      <c r="E36" s="323" t="s">
        <v>38</v>
      </c>
      <c r="F36" s="323" t="s">
        <v>38</v>
      </c>
      <c r="G36" s="323" t="s">
        <v>38</v>
      </c>
      <c r="H36" s="323" t="s">
        <v>38</v>
      </c>
      <c r="I36" s="323" t="s">
        <v>38</v>
      </c>
      <c r="J36" s="323" t="s">
        <v>38</v>
      </c>
      <c r="K36" s="323"/>
      <c r="L36" s="323" t="s">
        <v>38</v>
      </c>
      <c r="M36" s="323" t="s">
        <v>38</v>
      </c>
      <c r="N36" s="323" t="s">
        <v>38</v>
      </c>
      <c r="O36" s="323" t="s">
        <v>38</v>
      </c>
      <c r="P36" s="323" t="s">
        <v>38</v>
      </c>
      <c r="Q36" s="323" t="s">
        <v>38</v>
      </c>
      <c r="R36" s="323"/>
      <c r="S36" s="323" t="s">
        <v>38</v>
      </c>
      <c r="T36" s="323"/>
      <c r="U36" s="323"/>
      <c r="V36" s="323"/>
      <c r="W36" s="323"/>
      <c r="X36" s="323"/>
      <c r="Y36" s="323"/>
      <c r="Z36" s="323"/>
      <c r="AA36" s="323"/>
      <c r="AB36" s="323"/>
      <c r="AC36" s="323"/>
      <c r="AD36" s="323"/>
      <c r="AE36" s="323"/>
      <c r="AF36" s="323"/>
      <c r="AG36" s="323"/>
      <c r="AH36" s="323"/>
      <c r="AI36" s="323"/>
      <c r="AJ36" s="69">
        <f>VLOOKUP($B36,[1]NV!$B$9:$DL$219,114,0)</f>
        <v>2</v>
      </c>
      <c r="AK36" s="325">
        <f t="shared" ref="AK36:AK97" si="27">COUNTIF(E36:AI36,"H4")+COUNTIF(E36:AI36,"H")+COUNTIF(E36:AI36,"Bu")+COUNTIF(E36:AI36,"N")+COUNTIF(E36:AI36,"N1")*1/8+COUNTIF(E36:AI36,"N2")*2/8+COUNTIF(E36:AI36,"N3")*3/8+COUNTIF(E36:AI36,"N4")*4/8+COUNTIF(E36:AI36,"N5")*5/8+COUNTIF(E36:AI36,"N6")*6/8+COUNTIF(E36:AI36,"N7")*7/8+COUNTIF(E36:AI36,"N8")*8/8+COUNTIF(E36:AI36,"C")+COUNTIF(E36:AI36,"C1")+COUNTIF(E36:AI36,"C2")+COUNTIF(E36:AI36,"C2.9")+COUNTIF(E36:AI36,"C3")+COUNTIF(E36:AI36,"C3.8")+COUNTIF(E36:AI36,"C4")+COUNTIF(E36:AI36,"C4.0")+COUNTIF(E36:AI36,"C4.1")+COUNTIF(E36:AI36,"C4.4")+COUNTIF(E36:AI36,"C4.6")+COUNTIF(E36:AI36,"C4.9")+COUNTIF(E36:AI36,"C5")+COUNTIF(E36:AI36,"C6")+COUNTIF(E36:AI36,"C6.5")+COUNTIF(E36:AI36,"C6.0")+COUNTIF(E36:AI36,"C7")+COUNTIF(E36:AI36,"C7.6")+COUNTIF(E36:AI36,"C7.7")+COUNTIF(E36:AI36,"N6.4")*6.4/8+COUNTIF(E36:AI36,"Ro1")*1/8+COUNTIF(E36:AI36,"Ro2")*2/8+COUNTIF(E36:AI36,"Ro3")*3/8+COUNTIF(E36:AI36,"Ro4")*4/8+COUNTIF(E36:AI36,"Ro4.0")*4/8+COUNTIF(E36:AI36,"Ro5")*5/8+COUNTIF(E36:AI36,"Ro6")*6/8+COUNTIF(E36:AI36,"Ro6.5")*6.5/8+COUNTIF(E36:AI36,"Ro7")*7/8+COUNTIF(E36:AI36,"Ro7.3")*7.3/8+COUNTIF(E36:AI36,"Ro7.5")*7.5/8+COUNTIF(E36:AI36,"Ro7.8")*7.8/8+COUNTIF(E36:AI36,"Bu1")+COUNTIF(E36:AI36,"Bu2")+COUNTIF(E36:AI36,"Bu3")+COUNTIF(E36:AI36,"Bu4")+COUNTIF(E36:AI36,"Bu5")+COUNTIF(E36:AI36,"Bu6")+COUNTIF(E36:AI36,"Bu7")+COUNTIF(E36:AI36,"P2")*4/8</f>
        <v>13</v>
      </c>
      <c r="AL36" s="325">
        <f>COUNTIF(E36:AI36,"D")+COUNTIF(E36:AI36,"D1")*1/BB36+COUNTIF(E36:AI36,"D2")*2/BB36+COUNTIF(E36:AI36,"D3")*3/BB36+COUNTIF(E36:AI36,"D4")*4/BB36+COUNTIF(E36:AI36,"D5")*5/BB36+COUNTIF(E36:AI36,"D6")*6/BB36+COUNTIF(E36:AI36,"D7")*7/BB36+COUNTIF(E36:AI36,"D8")*8/BB36</f>
        <v>0</v>
      </c>
      <c r="AM36" s="326">
        <f t="shared" ref="AM36:AM39" si="28">+$AH$10-$E$10+1-INT(($AH$10-$E$10-WEEKDAY($AH$10)+8)/7)</f>
        <v>26</v>
      </c>
      <c r="AN36" s="327">
        <f>AK36+AL36</f>
        <v>13</v>
      </c>
      <c r="AO36" s="327">
        <f>COUNTIF(E36:AI36,"p")+COUNTIF(E36:AI36,"P2")/2+COUNTIF(E36:AI36,"P1")/2</f>
        <v>0</v>
      </c>
      <c r="AP36" s="327">
        <f>COUNTIF(E36:AI36,"k")</f>
        <v>0</v>
      </c>
      <c r="AQ36" s="327">
        <f>COUNTIF(E36:AI36,"KL")+COUNTIF(E36:AI36,"O")+COUNTIF(E36:AI36,"O/")/2+COUNTIF(E36:AI36,"TN")+COUNTIF(E36:AI36,"4P4KL")/2+COUNTIF(E36:AI36,"P1")*0.5+COUNTIF(E36:AI36,"Ro")+COUNTIF(E36:AI36,"Ro1")*7/8+COUNTIF(E36:AI36,"Ro2")*6/8+COUNTIF(E36:AI36,"Ro3")*5/8+COUNTIF(E36:AI36,"Ro4")*4/8+COUNTIF(E36:AI36,"Ro4.0")*4/8+COUNTIF(E36:AI36,"Ro5")*3/8+COUNTIF(E36:AI36,"Ro6")*2/8+COUNTIF(E36:AI36,"Ro6.5")*1.5/8+COUNTIF(E36:AI36,"Ro7")*1/8+COUNTIF(E36:AI36,"Ro7.3")*0.7/8+COUNTIF(E36:AI36,"Ro7.5")*0.5/8+COUNTIF(E36:AI36,"Ro7.8")*0.2/8+COUNTIF(E36:AI36,"N7")*1/8+COUNTIF(E36:AI36,"N6")*2/8+COUNTIF(E36:AI36,"N5")*3/8+COUNTIF(E36:AI36,"N4")*4/8+COUNTIF(E36:AI36,"N3")*5/8+COUNTIF(E36:AI36,"N2")*6/8+COUNTIF(E36:AI36,"N1")*7/8</f>
        <v>0</v>
      </c>
      <c r="AR36" s="327">
        <f>COUNTIF(E36:AI36,"*R")</f>
        <v>0</v>
      </c>
      <c r="AS36" s="327">
        <f>COUNTIF(E36:AI36,"L")*1+COUNTIF(E36:AI36,"0.5L")*0.5</f>
        <v>0</v>
      </c>
      <c r="AT36" s="327"/>
      <c r="AU36" s="327"/>
      <c r="AV36" s="327"/>
      <c r="AW36" s="327"/>
      <c r="AX36" s="327"/>
      <c r="AY36" s="327"/>
      <c r="AZ36" s="327">
        <f>AN36+AO36+AS36+AR36</f>
        <v>13</v>
      </c>
      <c r="BA36" s="331"/>
      <c r="BB36" s="27">
        <v>8</v>
      </c>
      <c r="BC36" s="27" t="str">
        <f>VLOOKUP(B36,'[2]Bang luong_06'!$B$10:$C$333,2,0)</f>
        <v>Tô Thị Mỹ Duyên</v>
      </c>
      <c r="BE36" s="151" t="str">
        <f>VLOOKUP($B36,'[2]Bang luong_06'!$B$10:$C$333,2,0)</f>
        <v>Tô Thị Mỹ Duyên</v>
      </c>
      <c r="BF36" s="27" t="b">
        <f>BE36=C36</f>
        <v>1</v>
      </c>
      <c r="BH36" s="332">
        <f>+VLOOKUP(B36,'[2]Thưởng Lễ 2-9'!$B$5:$G$294,6,0)</f>
        <v>0</v>
      </c>
      <c r="BI36" s="27" t="s">
        <v>580</v>
      </c>
      <c r="BK36" s="27" t="s">
        <v>580</v>
      </c>
      <c r="BN36" s="330">
        <v>2.5</v>
      </c>
    </row>
    <row r="37" spans="1:66 1544:1544" ht="16.5" customHeight="1" outlineLevel="1" x14ac:dyDescent="0.25">
      <c r="A37" s="88">
        <f t="shared" si="3"/>
        <v>21</v>
      </c>
      <c r="B37" s="333" t="s">
        <v>581</v>
      </c>
      <c r="C37" s="333" t="s">
        <v>582</v>
      </c>
      <c r="D37" s="343">
        <v>45559</v>
      </c>
      <c r="E37" s="323" t="s">
        <v>38</v>
      </c>
      <c r="F37" s="323" t="s">
        <v>38</v>
      </c>
      <c r="G37" s="323" t="s">
        <v>38</v>
      </c>
      <c r="H37" s="323" t="s">
        <v>38</v>
      </c>
      <c r="I37" s="323" t="s">
        <v>38</v>
      </c>
      <c r="J37" s="323" t="s">
        <v>38</v>
      </c>
      <c r="K37" s="323"/>
      <c r="L37" s="323" t="s">
        <v>38</v>
      </c>
      <c r="M37" s="323" t="s">
        <v>38</v>
      </c>
      <c r="N37" s="323" t="s">
        <v>38</v>
      </c>
      <c r="O37" s="323" t="s">
        <v>38</v>
      </c>
      <c r="P37" s="323" t="s">
        <v>38</v>
      </c>
      <c r="Q37" s="323" t="s">
        <v>38</v>
      </c>
      <c r="R37" s="323"/>
      <c r="S37" s="323" t="s">
        <v>38</v>
      </c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323"/>
      <c r="AF37" s="323"/>
      <c r="AG37" s="323"/>
      <c r="AH37" s="323"/>
      <c r="AI37" s="323"/>
      <c r="AJ37" s="69">
        <f>VLOOKUP($B37,[1]NV!$B$9:$DL$219,114,0)</f>
        <v>2</v>
      </c>
      <c r="AK37" s="325">
        <f t="shared" si="27"/>
        <v>13</v>
      </c>
      <c r="AL37" s="325">
        <f>COUNTIF(E37:AI37,"D")+COUNTIF(E37:AI37,"D1")*1/BB37+COUNTIF(E37:AI37,"D2")*2/BB37+COUNTIF(E37:AI37,"D3")*3/BB37+COUNTIF(E37:AI37,"D4")*4/BB37+COUNTIF(E37:AI37,"D5")*5/BB37+COUNTIF(E37:AI37,"D6")*6/BB37+COUNTIF(E37:AI37,"D7")*7/BB37+COUNTIF(E37:AI37,"D8")*8/BB37</f>
        <v>0</v>
      </c>
      <c r="AM37" s="326">
        <f t="shared" si="28"/>
        <v>26</v>
      </c>
      <c r="AN37" s="327">
        <f>AK37+AL37</f>
        <v>13</v>
      </c>
      <c r="AO37" s="327">
        <f>COUNTIF(E37:AI37,"p")+COUNTIF(E37:AI37,"P2")/2+COUNTIF(E37:AI37,"P1")/2</f>
        <v>0</v>
      </c>
      <c r="AP37" s="327">
        <f>COUNTIF(E37:AI37,"k")</f>
        <v>0</v>
      </c>
      <c r="AQ37" s="327">
        <f>COUNTIF(E37:AI37,"KL")+COUNTIF(E37:AI37,"O")+COUNTIF(E37:AI37,"O/")/2+COUNTIF(E37:AI37,"TN")+COUNTIF(E37:AI37,"4P4KL")/2+COUNTIF(E37:AI37,"P1")*0.5+COUNTIF(E37:AI37,"Ro")+COUNTIF(E37:AI37,"Ro1")*7/8+COUNTIF(E37:AI37,"Ro2")*6/8+COUNTIF(E37:AI37,"Ro3")*5/8+COUNTIF(E37:AI37,"Ro4")*4/8+COUNTIF(E37:AI37,"Ro4.0")*4/8+COUNTIF(E37:AI37,"Ro5")*3/8+COUNTIF(E37:AI37,"Ro6")*2/8+COUNTIF(E37:AI37,"Ro6.5")*1.5/8+COUNTIF(E37:AI37,"Ro7")*1/8+COUNTIF(E37:AI37,"Ro7.3")*0.7/8+COUNTIF(E37:AI37,"Ro7.5")*0.5/8+COUNTIF(E37:AI37,"Ro7.8")*0.2/8+COUNTIF(E37:AI37,"N7")*1/8+COUNTIF(E37:AI37,"N6")*2/8+COUNTIF(E37:AI37,"N5")*3/8+COUNTIF(E37:AI37,"N4")*4/8+COUNTIF(E37:AI37,"N3")*5/8+COUNTIF(E37:AI37,"N2")*6/8+COUNTIF(E37:AI37,"N1")*7/8</f>
        <v>0</v>
      </c>
      <c r="AR37" s="327">
        <f>COUNTIF(E37:AI37,"*R")</f>
        <v>0</v>
      </c>
      <c r="AS37" s="327">
        <f>COUNTIF(E37:AI37,"L")*1+COUNTIF(E37:AI37,"0.5L")*0.5</f>
        <v>0</v>
      </c>
      <c r="AT37" s="327"/>
      <c r="AU37" s="327"/>
      <c r="AV37" s="327"/>
      <c r="AW37" s="327"/>
      <c r="AX37" s="327"/>
      <c r="AY37" s="327"/>
      <c r="AZ37" s="327">
        <f>AN37+AO37+AS37+AR37</f>
        <v>13</v>
      </c>
      <c r="BA37" s="331"/>
      <c r="BB37" s="27">
        <v>8</v>
      </c>
      <c r="BC37" s="27" t="str">
        <f>VLOOKUP(B37,'[2]Bang luong_06'!$B$10:$C$333,2,0)</f>
        <v>Trần Anh Duy</v>
      </c>
      <c r="BE37" s="151" t="str">
        <f>VLOOKUP($B37,'[2]Bang luong_06'!$B$10:$C$333,2,0)</f>
        <v>Trần Anh Duy</v>
      </c>
      <c r="BF37" s="27" t="b">
        <f>BE37=C37</f>
        <v>1</v>
      </c>
      <c r="BH37" s="329">
        <v>0</v>
      </c>
      <c r="BI37" s="27" t="s">
        <v>582</v>
      </c>
      <c r="BK37" s="27" t="e">
        <v>#N/A</v>
      </c>
      <c r="BN37" s="330">
        <v>1</v>
      </c>
    </row>
    <row r="38" spans="1:66 1544:1544" ht="16.5" customHeight="1" outlineLevel="1" x14ac:dyDescent="0.25">
      <c r="A38" s="88">
        <f t="shared" si="3"/>
        <v>22</v>
      </c>
      <c r="B38" s="333" t="s">
        <v>583</v>
      </c>
      <c r="C38" s="333" t="s">
        <v>584</v>
      </c>
      <c r="D38" s="334">
        <v>45377</v>
      </c>
      <c r="E38" s="323" t="s">
        <v>38</v>
      </c>
      <c r="F38" s="323" t="s">
        <v>38</v>
      </c>
      <c r="G38" s="323" t="s">
        <v>38</v>
      </c>
      <c r="H38" s="323" t="s">
        <v>38</v>
      </c>
      <c r="I38" s="323" t="s">
        <v>38</v>
      </c>
      <c r="J38" s="323" t="s">
        <v>38</v>
      </c>
      <c r="K38" s="323"/>
      <c r="L38" s="323" t="s">
        <v>38</v>
      </c>
      <c r="M38" s="323" t="s">
        <v>38</v>
      </c>
      <c r="N38" s="323" t="s">
        <v>38</v>
      </c>
      <c r="O38" s="323" t="s">
        <v>38</v>
      </c>
      <c r="P38" s="323" t="s">
        <v>38</v>
      </c>
      <c r="Q38" s="323" t="s">
        <v>38</v>
      </c>
      <c r="R38" s="323"/>
      <c r="S38" s="323" t="s">
        <v>38</v>
      </c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323"/>
      <c r="AG38" s="323"/>
      <c r="AH38" s="323"/>
      <c r="AI38" s="323"/>
      <c r="AJ38" s="69">
        <f>VLOOKUP($B38,[1]NV!$B$9:$DL$219,114,0)</f>
        <v>5</v>
      </c>
      <c r="AK38" s="325">
        <f t="shared" si="27"/>
        <v>13</v>
      </c>
      <c r="AL38" s="325">
        <f>COUNTIF(E38:AI38,"D")+COUNTIF(E38:AI38,"D1")*1/BB38+COUNTIF(E38:AI38,"D2")*2/BB38+COUNTIF(E38:AI38,"D3")*3/BB38+COUNTIF(E38:AI38,"D4")*4/BB38+COUNTIF(E38:AI38,"D5")*5/BB38+COUNTIF(E38:AI38,"D6")*6/BB38+COUNTIF(E38:AI38,"D7")*7/BB38+COUNTIF(E38:AI38,"D8")*8/BB38</f>
        <v>0</v>
      </c>
      <c r="AM38" s="326">
        <f t="shared" si="28"/>
        <v>26</v>
      </c>
      <c r="AN38" s="327">
        <f>AK38+AL38</f>
        <v>13</v>
      </c>
      <c r="AO38" s="327">
        <f>COUNTIF(E38:AI38,"p")+COUNTIF(E38:AI38,"P2")/2+COUNTIF(E38:AI38,"P1")/2</f>
        <v>0</v>
      </c>
      <c r="AP38" s="327">
        <f>COUNTIF(E38:AI38,"k")</f>
        <v>0</v>
      </c>
      <c r="AQ38" s="327">
        <f>COUNTIF(E38:AI38,"KL")+COUNTIF(E38:AI38,"O")+COUNTIF(E38:AI38,"O/")/2+COUNTIF(E38:AI38,"TN")+COUNTIF(E38:AI38,"4P4KL")/2+COUNTIF(E38:AI38,"P1")*0.5+COUNTIF(E38:AI38,"Ro")+COUNTIF(E38:AI38,"Ro1")*7/8+COUNTIF(E38:AI38,"Ro2")*6/8+COUNTIF(E38:AI38,"Ro3")*5/8+COUNTIF(E38:AI38,"Ro4")*4/8+COUNTIF(E38:AI38,"Ro4.0")*4/8+COUNTIF(E38:AI38,"Ro5")*3/8+COUNTIF(E38:AI38,"Ro6")*2/8+COUNTIF(E38:AI38,"Ro6.5")*1.5/8+COUNTIF(E38:AI38,"Ro7")*1/8+COUNTIF(E38:AI38,"Ro7.3")*0.7/8+COUNTIF(E38:AI38,"Ro7.5")*0.5/8+COUNTIF(E38:AI38,"Ro7.8")*0.2/8+COUNTIF(E38:AI38,"N7")*1/8+COUNTIF(E38:AI38,"N6")*2/8+COUNTIF(E38:AI38,"N5")*3/8+COUNTIF(E38:AI38,"N4")*4/8+COUNTIF(E38:AI38,"N3")*5/8+COUNTIF(E38:AI38,"N2")*6/8+COUNTIF(E38:AI38,"N1")*7/8</f>
        <v>0</v>
      </c>
      <c r="AR38" s="327">
        <f>COUNTIF(E38:AI38,"*R")</f>
        <v>0</v>
      </c>
      <c r="AS38" s="327">
        <f>COUNTIF(E38:AI38,"L")*1+COUNTIF(E38:AI38,"0.5L")*0.5</f>
        <v>0</v>
      </c>
      <c r="AT38" s="327"/>
      <c r="AU38" s="327"/>
      <c r="AV38" s="327"/>
      <c r="AW38" s="327"/>
      <c r="AX38" s="327"/>
      <c r="AY38" s="327"/>
      <c r="AZ38" s="327">
        <f>AN38+AO38+AS38+AR38</f>
        <v>13</v>
      </c>
      <c r="BA38" s="331"/>
      <c r="BB38" s="27">
        <v>8</v>
      </c>
      <c r="BC38" s="27" t="str">
        <f>VLOOKUP(B38,'[2]Bang luong_06'!$B$10:$C$333,2,0)</f>
        <v>Trần Thị Thanh Chương</v>
      </c>
      <c r="BE38" s="151" t="str">
        <f>VLOOKUP($B38,'[2]Bang luong_06'!$B$10:$C$333,2,0)</f>
        <v>Trần Thị Thanh Chương</v>
      </c>
      <c r="BF38" s="27" t="b">
        <f>BE38=C38</f>
        <v>1</v>
      </c>
      <c r="BH38" s="332">
        <f>+VLOOKUP(B38,'[2]Thưởng Lễ 2-9'!$B$5:$G$294,6,0)</f>
        <v>0</v>
      </c>
      <c r="BI38" s="27" t="s">
        <v>584</v>
      </c>
      <c r="BK38" s="27" t="s">
        <v>584</v>
      </c>
      <c r="BN38" s="330">
        <v>4.5</v>
      </c>
    </row>
    <row r="39" spans="1:66 1544:1544" ht="16.5" customHeight="1" outlineLevel="1" x14ac:dyDescent="0.25">
      <c r="A39" s="88">
        <f t="shared" si="3"/>
        <v>23</v>
      </c>
      <c r="B39" s="333" t="s">
        <v>585</v>
      </c>
      <c r="C39" s="333" t="s">
        <v>586</v>
      </c>
      <c r="D39" s="334">
        <v>45630</v>
      </c>
      <c r="E39" s="323" t="s">
        <v>38</v>
      </c>
      <c r="F39" s="323" t="s">
        <v>38</v>
      </c>
      <c r="G39" s="323" t="s">
        <v>38</v>
      </c>
      <c r="H39" s="323" t="s">
        <v>38</v>
      </c>
      <c r="I39" s="323" t="s">
        <v>38</v>
      </c>
      <c r="J39" s="323" t="s">
        <v>38</v>
      </c>
      <c r="K39" s="323"/>
      <c r="L39" s="323" t="s">
        <v>516</v>
      </c>
      <c r="M39" s="323" t="s">
        <v>38</v>
      </c>
      <c r="N39" s="323" t="s">
        <v>38</v>
      </c>
      <c r="O39" s="323" t="s">
        <v>38</v>
      </c>
      <c r="P39" s="323" t="s">
        <v>38</v>
      </c>
      <c r="Q39" s="323" t="s">
        <v>38</v>
      </c>
      <c r="R39" s="323"/>
      <c r="S39" s="323" t="s">
        <v>38</v>
      </c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69">
        <f>VLOOKUP($B39,[1]NV!$B$9:$DL$219,114,0)</f>
        <v>3</v>
      </c>
      <c r="AK39" s="325">
        <f t="shared" si="27"/>
        <v>12.5</v>
      </c>
      <c r="AL39" s="325">
        <f>COUNTIF(E39:AI39,"D")+COUNTIF(E39:AI39,"D1")*1/BB39+COUNTIF(E39:AI39,"D2")*2/BB39+COUNTIF(E39:AI39,"D3")*3/BB39+COUNTIF(E39:AI39,"D4")*4/BB39+COUNTIF(E39:AI39,"D5")*5/BB39+COUNTIF(E39:AI39,"D6")*6/BB39+COUNTIF(E39:AI39,"D7")*7/BB39+COUNTIF(E39:AI39,"D8")*8/BB39</f>
        <v>0</v>
      </c>
      <c r="AM39" s="326">
        <f t="shared" si="28"/>
        <v>26</v>
      </c>
      <c r="AN39" s="327">
        <f>AK39+AL39</f>
        <v>12.5</v>
      </c>
      <c r="AO39" s="327">
        <f>COUNTIF(E39:AI39,"p")+COUNTIF(E39:AI39,"P2")/2+COUNTIF(E39:AI39,"P1")/2</f>
        <v>0.5</v>
      </c>
      <c r="AP39" s="327">
        <f>COUNTIF(E39:AI39,"k")</f>
        <v>0</v>
      </c>
      <c r="AQ39" s="327">
        <f>COUNTIF(E39:AI39,"KL")+COUNTIF(E39:AI39,"O")+COUNTIF(E39:AI39,"O/")/2+COUNTIF(E39:AI39,"TN")+COUNTIF(E39:AI39,"4P4KL")/2+COUNTIF(E39:AI39,"P1")*0.5+COUNTIF(E39:AI39,"Ro")+COUNTIF(E39:AI39,"Ro1")*7/8+COUNTIF(E39:AI39,"Ro2")*6/8+COUNTIF(E39:AI39,"Ro3")*5/8+COUNTIF(E39:AI39,"Ro4")*4/8+COUNTIF(E39:AI39,"Ro4.0")*4/8+COUNTIF(E39:AI39,"Ro5")*3/8+COUNTIF(E39:AI39,"Ro6")*2/8+COUNTIF(E39:AI39,"Ro6.5")*1.5/8+COUNTIF(E39:AI39,"Ro7")*1/8+COUNTIF(E39:AI39,"Ro7.3")*0.7/8+COUNTIF(E39:AI39,"Ro7.5")*0.5/8+COUNTIF(E39:AI39,"Ro7.8")*0.2/8+COUNTIF(E39:AI39,"N7")*1/8+COUNTIF(E39:AI39,"N6")*2/8+COUNTIF(E39:AI39,"N5")*3/8+COUNTIF(E39:AI39,"N4")*4/8+COUNTIF(E39:AI39,"N3")*5/8+COUNTIF(E39:AI39,"N2")*6/8+COUNTIF(E39:AI39,"N1")*7/8</f>
        <v>0</v>
      </c>
      <c r="AR39" s="327">
        <f>COUNTIF(E39:AI39,"*R")</f>
        <v>0</v>
      </c>
      <c r="AS39" s="327">
        <f>COUNTIF(E39:AI39,"L")*1+COUNTIF(E39:AI39,"0.5L")*0.5</f>
        <v>0</v>
      </c>
      <c r="AT39" s="327"/>
      <c r="AU39" s="327"/>
      <c r="AV39" s="327"/>
      <c r="AW39" s="327"/>
      <c r="AX39" s="327"/>
      <c r="AY39" s="327"/>
      <c r="AZ39" s="327">
        <f>AN39+AO39+AS39+AR39</f>
        <v>13</v>
      </c>
      <c r="BA39" s="331"/>
      <c r="BB39" s="27">
        <v>8</v>
      </c>
      <c r="BC39" s="27" t="str">
        <f>VLOOKUP(B39,'[2]Bang luong_06'!$B$10:$C$333,2,0)</f>
        <v>Đào Khánh Duy</v>
      </c>
      <c r="BE39" s="151" t="str">
        <f>VLOOKUP($B39,'[2]Bang luong_06'!$B$10:$C$333,2,0)</f>
        <v>Đào Khánh Duy</v>
      </c>
      <c r="BF39" s="27" t="b">
        <f>BE39=C39</f>
        <v>1</v>
      </c>
      <c r="BH39" s="332" t="e">
        <f>+VLOOKUP(B39,'[2]Thưởng Lễ 2-9'!$B$5:$G$294,6,0)</f>
        <v>#N/A</v>
      </c>
      <c r="BI39" s="27" t="s">
        <v>584</v>
      </c>
      <c r="BK39" s="27" t="s">
        <v>584</v>
      </c>
      <c r="BN39" s="330" t="e">
        <v>#N/A</v>
      </c>
    </row>
    <row r="40" spans="1:66 1544:1544" ht="16.5" customHeight="1" outlineLevel="1" x14ac:dyDescent="0.25">
      <c r="A40" s="88" t="str">
        <f t="shared" si="3"/>
        <v/>
      </c>
      <c r="B40" s="317"/>
      <c r="C40" s="317" t="s">
        <v>587</v>
      </c>
      <c r="D40" s="313">
        <f>COUNTA(A41:A47)</f>
        <v>7</v>
      </c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  <c r="AI40" s="317"/>
      <c r="AJ40" s="318"/>
      <c r="AK40" s="317"/>
      <c r="AL40" s="317"/>
      <c r="AM40" s="317"/>
      <c r="AN40" s="317"/>
      <c r="AO40" s="317"/>
      <c r="AP40" s="317"/>
      <c r="AQ40" s="317"/>
      <c r="AR40" s="317"/>
      <c r="AS40" s="317"/>
      <c r="AT40" s="317"/>
      <c r="AU40" s="317"/>
      <c r="AV40" s="317"/>
      <c r="AW40" s="317"/>
      <c r="AX40" s="317"/>
      <c r="AY40" s="317"/>
      <c r="AZ40" s="317"/>
      <c r="BA40" s="317"/>
      <c r="BE40" s="151"/>
      <c r="BI40" s="27" t="e">
        <v>#N/A</v>
      </c>
      <c r="BN40" s="337">
        <v>0</v>
      </c>
      <c r="BGJ40" s="27" t="s">
        <v>544</v>
      </c>
    </row>
    <row r="41" spans="1:66 1544:1544" ht="16.5" customHeight="1" outlineLevel="1" x14ac:dyDescent="0.25">
      <c r="A41" s="88">
        <f t="shared" si="3"/>
        <v>24</v>
      </c>
      <c r="B41" s="320" t="s">
        <v>588</v>
      </c>
      <c r="C41" s="321" t="s">
        <v>589</v>
      </c>
      <c r="D41" s="322">
        <v>45555</v>
      </c>
      <c r="E41" s="323" t="s">
        <v>38</v>
      </c>
      <c r="F41" s="323" t="s">
        <v>38</v>
      </c>
      <c r="G41" s="323" t="s">
        <v>38</v>
      </c>
      <c r="H41" s="323" t="s">
        <v>38</v>
      </c>
      <c r="I41" s="323" t="s">
        <v>38</v>
      </c>
      <c r="J41" s="323" t="s">
        <v>38</v>
      </c>
      <c r="K41" s="323"/>
      <c r="L41" s="323" t="s">
        <v>38</v>
      </c>
      <c r="M41" s="323" t="s">
        <v>38</v>
      </c>
      <c r="N41" s="323" t="s">
        <v>38</v>
      </c>
      <c r="O41" s="323" t="s">
        <v>38</v>
      </c>
      <c r="P41" s="323" t="s">
        <v>38</v>
      </c>
      <c r="Q41" s="323" t="s">
        <v>38</v>
      </c>
      <c r="R41" s="323"/>
      <c r="S41" s="323" t="s">
        <v>38</v>
      </c>
      <c r="T41" s="323"/>
      <c r="U41" s="323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69">
        <f>VLOOKUP($B41,[1]NV!$B$9:$DL$219,114,0)</f>
        <v>5</v>
      </c>
      <c r="AK41" s="325">
        <f t="shared" si="27"/>
        <v>13</v>
      </c>
      <c r="AL41" s="325">
        <f t="shared" ref="AL41:AL47" si="29">COUNTIF(E41:AI41,"D")+COUNTIF(E41:AI41,"D1")*1/BB41+COUNTIF(E41:AI41,"D2")*2/BB41+COUNTIF(E41:AI41,"D3")*3/BB41+COUNTIF(E41:AI41,"D4")*4/BB41+COUNTIF(E41:AI41,"D5")*5/BB41+COUNTIF(E41:AI41,"D6")*6/BB41+COUNTIF(E41:AI41,"D7")*7/BB41+COUNTIF(E41:AI41,"D8")*8/BB41</f>
        <v>0</v>
      </c>
      <c r="AM41" s="326">
        <f t="shared" ref="AM41:AM47" si="30">+$AH$10-$E$10+1-INT(($AH$10-$E$10-WEEKDAY($AH$10)+8)/7)</f>
        <v>26</v>
      </c>
      <c r="AN41" s="327">
        <f t="shared" ref="AN41:AN47" si="31">AK41+AL41</f>
        <v>13</v>
      </c>
      <c r="AO41" s="327">
        <f t="shared" ref="AO41:AO47" si="32">COUNTIF(E41:AI41,"p")+COUNTIF(E41:AI41,"P2")/2+COUNTIF(E41:AI41,"P1")/2</f>
        <v>0</v>
      </c>
      <c r="AP41" s="327">
        <f t="shared" ref="AP41:AP47" si="33">COUNTIF(E41:AI41,"k")</f>
        <v>0</v>
      </c>
      <c r="AQ41" s="327">
        <f t="shared" ref="AQ41:AQ47" si="34">COUNTIF(E41:AI41,"KL")+COUNTIF(E41:AI41,"O")+COUNTIF(E41:AI41,"O/")/2+COUNTIF(E41:AI41,"TN")+COUNTIF(E41:AI41,"4P4KL")/2+COUNTIF(E41:AI41,"P1")*0.5+COUNTIF(E41:AI41,"Ro")+COUNTIF(E41:AI41,"Ro1")*7/8+COUNTIF(E41:AI41,"Ro2")*6/8+COUNTIF(E41:AI41,"Ro3")*5/8+COUNTIF(E41:AI41,"Ro4")*4/8+COUNTIF(E41:AI41,"Ro4.0")*4/8+COUNTIF(E41:AI41,"Ro5")*3/8+COUNTIF(E41:AI41,"Ro6")*2/8+COUNTIF(E41:AI41,"Ro6.5")*1.5/8+COUNTIF(E41:AI41,"Ro7")*1/8+COUNTIF(E41:AI41,"Ro7.3")*0.7/8+COUNTIF(E41:AI41,"Ro7.5")*0.5/8+COUNTIF(E41:AI41,"Ro7.8")*0.2/8+COUNTIF(E41:AI41,"N7")*1/8+COUNTIF(E41:AI41,"N6")*2/8+COUNTIF(E41:AI41,"N5")*3/8+COUNTIF(E41:AI41,"N4")*4/8+COUNTIF(E41:AI41,"N3")*5/8+COUNTIF(E41:AI41,"N2")*6/8+COUNTIF(E41:AI41,"N1")*7/8</f>
        <v>0</v>
      </c>
      <c r="AR41" s="327">
        <f t="shared" ref="AR41:AR47" si="35">COUNTIF(E41:AI41,"*R")</f>
        <v>0</v>
      </c>
      <c r="AS41" s="327">
        <f t="shared" ref="AS41:AS47" si="36">COUNTIF(E41:AI41,"L")*1+COUNTIF(E41:AI41,"0.5L")*0.5</f>
        <v>0</v>
      </c>
      <c r="AT41" s="327"/>
      <c r="AU41" s="327"/>
      <c r="AV41" s="327"/>
      <c r="AW41" s="327"/>
      <c r="AX41" s="327"/>
      <c r="AY41" s="327"/>
      <c r="AZ41" s="327">
        <f t="shared" ref="AZ41:AZ47" si="37">AN41+AO41+AS41+AR41</f>
        <v>13</v>
      </c>
      <c r="BA41" s="331"/>
      <c r="BB41" s="27">
        <v>8</v>
      </c>
      <c r="BC41" s="27" t="str">
        <f>VLOOKUP(B41,'[2]Bang luong_06'!$B$10:$C$333,2,0)</f>
        <v>Lee Yi Nuo</v>
      </c>
      <c r="BE41" s="151" t="str">
        <f>VLOOKUP($B41,'[2]Bang luong_06'!$B$10:$C$333,2,0)</f>
        <v>Lee Yi Nuo</v>
      </c>
      <c r="BF41" s="27" t="b">
        <f t="shared" ref="BF41:BF45" si="38">BE41=C41</f>
        <v>1</v>
      </c>
      <c r="BH41" s="332" t="e">
        <f>+VLOOKUP(B41,'[2]Thưởng Lễ 2-9'!$B$5:$G$294,6,0)</f>
        <v>#N/A</v>
      </c>
      <c r="BI41" s="27" t="s">
        <v>536</v>
      </c>
      <c r="BK41" s="27" t="s">
        <v>536</v>
      </c>
      <c r="BN41" s="330" t="e">
        <v>#N/A</v>
      </c>
      <c r="BGJ41" s="27" t="e">
        <v>#N/A</v>
      </c>
    </row>
    <row r="42" spans="1:66 1544:1544" ht="32.25" customHeight="1" outlineLevel="1" x14ac:dyDescent="0.25">
      <c r="A42" s="88">
        <f>IF(B42="","",MAX(A41:A41)+1)</f>
        <v>25</v>
      </c>
      <c r="B42" s="333" t="s">
        <v>590</v>
      </c>
      <c r="C42" s="333" t="s">
        <v>591</v>
      </c>
      <c r="D42" s="334">
        <v>43518</v>
      </c>
      <c r="E42" s="323" t="s">
        <v>38</v>
      </c>
      <c r="F42" s="323" t="s">
        <v>38</v>
      </c>
      <c r="G42" s="323" t="s">
        <v>38</v>
      </c>
      <c r="H42" s="323" t="s">
        <v>38</v>
      </c>
      <c r="I42" s="323" t="s">
        <v>38</v>
      </c>
      <c r="J42" s="323" t="s">
        <v>38</v>
      </c>
      <c r="K42" s="323"/>
      <c r="L42" s="323" t="s">
        <v>38</v>
      </c>
      <c r="M42" s="323" t="s">
        <v>38</v>
      </c>
      <c r="N42" s="323" t="s">
        <v>38</v>
      </c>
      <c r="O42" s="323" t="s">
        <v>38</v>
      </c>
      <c r="P42" s="323" t="s">
        <v>38</v>
      </c>
      <c r="Q42" s="323" t="s">
        <v>38</v>
      </c>
      <c r="R42" s="323"/>
      <c r="S42" s="323" t="s">
        <v>38</v>
      </c>
      <c r="T42" s="323"/>
      <c r="U42" s="323"/>
      <c r="V42" s="323"/>
      <c r="W42" s="323"/>
      <c r="X42" s="323"/>
      <c r="Y42" s="323"/>
      <c r="Z42" s="323"/>
      <c r="AA42" s="323"/>
      <c r="AB42" s="323"/>
      <c r="AC42" s="323"/>
      <c r="AD42" s="323"/>
      <c r="AE42" s="323"/>
      <c r="AF42" s="323"/>
      <c r="AG42" s="323"/>
      <c r="AH42" s="323"/>
      <c r="AI42" s="323"/>
      <c r="AJ42" s="69">
        <f>VLOOKUP($B42,[1]NV!$B$9:$DL$219,114,0)</f>
        <v>4</v>
      </c>
      <c r="AK42" s="325">
        <f t="shared" si="27"/>
        <v>13</v>
      </c>
      <c r="AL42" s="325">
        <f t="shared" si="29"/>
        <v>0</v>
      </c>
      <c r="AM42" s="326">
        <f t="shared" si="30"/>
        <v>26</v>
      </c>
      <c r="AN42" s="327">
        <f t="shared" si="31"/>
        <v>13</v>
      </c>
      <c r="AO42" s="327">
        <f t="shared" si="32"/>
        <v>0</v>
      </c>
      <c r="AP42" s="327">
        <f t="shared" si="33"/>
        <v>0</v>
      </c>
      <c r="AQ42" s="327">
        <f t="shared" si="34"/>
        <v>0</v>
      </c>
      <c r="AR42" s="327">
        <f t="shared" si="35"/>
        <v>0</v>
      </c>
      <c r="AS42" s="327">
        <f t="shared" si="36"/>
        <v>0</v>
      </c>
      <c r="AT42" s="327"/>
      <c r="AU42" s="327"/>
      <c r="AV42" s="327"/>
      <c r="AW42" s="327"/>
      <c r="AX42" s="327"/>
      <c r="AY42" s="344"/>
      <c r="AZ42" s="327">
        <f t="shared" si="37"/>
        <v>13</v>
      </c>
      <c r="BA42" s="345"/>
      <c r="BB42" s="27">
        <v>8</v>
      </c>
      <c r="BC42" s="27" t="str">
        <f>VLOOKUP(B42,'[2]Bang luong_06'!$B$10:$C$333,2,0)</f>
        <v>Đỗ Thị Ngàn Thương</v>
      </c>
      <c r="BE42" s="151" t="str">
        <f>VLOOKUP($B42,'[2]Bang luong_06'!$B$10:$C$333,2,0)</f>
        <v>Đỗ Thị Ngàn Thương</v>
      </c>
      <c r="BF42" s="27" t="b">
        <f>BE42=C42</f>
        <v>1</v>
      </c>
      <c r="BH42" s="332">
        <f>+VLOOKUP(B42,'[2]Thưởng Lễ 2-9'!$B$5:$G$294,6,0)</f>
        <v>0</v>
      </c>
      <c r="BI42" s="27" t="s">
        <v>591</v>
      </c>
      <c r="BK42" s="27" t="s">
        <v>591</v>
      </c>
      <c r="BN42" s="330">
        <v>-2</v>
      </c>
      <c r="BGJ42" s="27" t="e">
        <v>#N/A</v>
      </c>
    </row>
    <row r="43" spans="1:66 1544:1544" ht="39" customHeight="1" outlineLevel="1" x14ac:dyDescent="0.25">
      <c r="A43" s="88">
        <f t="shared" si="3"/>
        <v>26</v>
      </c>
      <c r="B43" s="333" t="s">
        <v>592</v>
      </c>
      <c r="C43" s="333" t="s">
        <v>593</v>
      </c>
      <c r="D43" s="322">
        <v>44364</v>
      </c>
      <c r="E43" s="323" t="s">
        <v>107</v>
      </c>
      <c r="F43" s="323" t="s">
        <v>38</v>
      </c>
      <c r="G43" s="323" t="s">
        <v>38</v>
      </c>
      <c r="H43" s="323" t="s">
        <v>38</v>
      </c>
      <c r="I43" s="323" t="s">
        <v>38</v>
      </c>
      <c r="J43" s="323" t="s">
        <v>38</v>
      </c>
      <c r="K43" s="323"/>
      <c r="L43" s="323" t="s">
        <v>38</v>
      </c>
      <c r="M43" s="323" t="s">
        <v>38</v>
      </c>
      <c r="N43" s="323" t="s">
        <v>38</v>
      </c>
      <c r="O43" s="323" t="s">
        <v>38</v>
      </c>
      <c r="P43" s="323" t="s">
        <v>38</v>
      </c>
      <c r="Q43" s="323" t="s">
        <v>38</v>
      </c>
      <c r="R43" s="323"/>
      <c r="S43" s="323" t="s">
        <v>38</v>
      </c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69">
        <f>VLOOKUP($B43,[1]NV!$B$9:$DL$219,114,0)</f>
        <v>3.5</v>
      </c>
      <c r="AK43" s="325">
        <f t="shared" si="27"/>
        <v>12</v>
      </c>
      <c r="AL43" s="325">
        <f t="shared" si="29"/>
        <v>0</v>
      </c>
      <c r="AM43" s="326">
        <f t="shared" si="30"/>
        <v>26</v>
      </c>
      <c r="AN43" s="327">
        <f t="shared" si="31"/>
        <v>12</v>
      </c>
      <c r="AO43" s="327">
        <f t="shared" si="32"/>
        <v>1</v>
      </c>
      <c r="AP43" s="327">
        <f t="shared" si="33"/>
        <v>0</v>
      </c>
      <c r="AQ43" s="327">
        <f t="shared" si="34"/>
        <v>0</v>
      </c>
      <c r="AR43" s="327">
        <f t="shared" si="35"/>
        <v>0</v>
      </c>
      <c r="AS43" s="327">
        <f t="shared" si="36"/>
        <v>0</v>
      </c>
      <c r="AT43" s="327"/>
      <c r="AU43" s="327"/>
      <c r="AV43" s="327"/>
      <c r="AW43" s="327"/>
      <c r="AX43" s="327"/>
      <c r="AY43" s="344"/>
      <c r="AZ43" s="327">
        <f t="shared" si="37"/>
        <v>13</v>
      </c>
      <c r="BA43" s="345"/>
      <c r="BB43" s="27">
        <v>8</v>
      </c>
      <c r="BC43" s="27" t="str">
        <f>VLOOKUP(B43,'[2]Bang luong_06'!$B$10:$C$333,2,0)</f>
        <v>Phạm Vũ Nhã Trúc</v>
      </c>
      <c r="BE43" s="151" t="str">
        <f>VLOOKUP($B43,'[2]Bang luong_06'!$B$10:$C$333,2,0)</f>
        <v>Phạm Vũ Nhã Trúc</v>
      </c>
      <c r="BF43" s="27" t="b">
        <f>BE43=C43</f>
        <v>1</v>
      </c>
      <c r="BH43" s="332">
        <f>+VLOOKUP(B43,'[2]Thưởng Lễ 2-9'!$B$5:$G$294,6,0)</f>
        <v>0</v>
      </c>
      <c r="BI43" s="27" t="s">
        <v>593</v>
      </c>
      <c r="BK43" s="27" t="s">
        <v>593</v>
      </c>
      <c r="BN43" s="330">
        <v>0</v>
      </c>
    </row>
    <row r="44" spans="1:66 1544:1544" ht="24.75" customHeight="1" outlineLevel="1" x14ac:dyDescent="0.25">
      <c r="A44" s="88">
        <f t="shared" si="3"/>
        <v>27</v>
      </c>
      <c r="B44" s="333" t="s">
        <v>594</v>
      </c>
      <c r="C44" s="333" t="s">
        <v>595</v>
      </c>
      <c r="D44" s="322">
        <v>45852</v>
      </c>
      <c r="E44" s="323" t="s">
        <v>38</v>
      </c>
      <c r="F44" s="323" t="s">
        <v>38</v>
      </c>
      <c r="G44" s="323" t="s">
        <v>38</v>
      </c>
      <c r="H44" s="323" t="s">
        <v>38</v>
      </c>
      <c r="I44" s="323" t="s">
        <v>38</v>
      </c>
      <c r="J44" s="323" t="s">
        <v>38</v>
      </c>
      <c r="K44" s="323"/>
      <c r="L44" s="323" t="s">
        <v>38</v>
      </c>
      <c r="M44" s="323" t="s">
        <v>38</v>
      </c>
      <c r="N44" s="323" t="s">
        <v>38</v>
      </c>
      <c r="O44" s="323" t="s">
        <v>38</v>
      </c>
      <c r="P44" s="323" t="s">
        <v>38</v>
      </c>
      <c r="Q44" s="323" t="s">
        <v>38</v>
      </c>
      <c r="R44" s="323"/>
      <c r="S44" s="323" t="s">
        <v>38</v>
      </c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69">
        <f>VLOOKUP($B44,[1]NV!$B$9:$DL$219,114,0)</f>
        <v>3</v>
      </c>
      <c r="AK44" s="325">
        <f t="shared" si="27"/>
        <v>13</v>
      </c>
      <c r="AL44" s="325">
        <f t="shared" si="29"/>
        <v>0</v>
      </c>
      <c r="AM44" s="326">
        <f t="shared" si="30"/>
        <v>26</v>
      </c>
      <c r="AN44" s="327">
        <f t="shared" si="31"/>
        <v>13</v>
      </c>
      <c r="AO44" s="327">
        <f t="shared" si="32"/>
        <v>0</v>
      </c>
      <c r="AP44" s="327">
        <f t="shared" si="33"/>
        <v>0</v>
      </c>
      <c r="AQ44" s="327">
        <f t="shared" si="34"/>
        <v>0</v>
      </c>
      <c r="AR44" s="327">
        <f t="shared" si="35"/>
        <v>0</v>
      </c>
      <c r="AS44" s="327">
        <f t="shared" si="36"/>
        <v>0</v>
      </c>
      <c r="AT44" s="327"/>
      <c r="AU44" s="327"/>
      <c r="AV44" s="327"/>
      <c r="AW44" s="327"/>
      <c r="AX44" s="327"/>
      <c r="AY44" s="344"/>
      <c r="AZ44" s="327">
        <f t="shared" si="37"/>
        <v>13</v>
      </c>
      <c r="BA44" s="346"/>
      <c r="BB44" s="27">
        <v>8</v>
      </c>
      <c r="BC44" s="27" t="str">
        <f>VLOOKUP(B44,'[2]Bang luong_06'!$B$10:$C$333,2,0)</f>
        <v>Dương Nguyễn Thanh Trúc</v>
      </c>
      <c r="BE44" s="151" t="str">
        <f>VLOOKUP($B44,'[2]Bang luong_06'!$B$10:$C$333,2,0)</f>
        <v>Dương Nguyễn Thanh Trúc</v>
      </c>
      <c r="BF44" s="27" t="b">
        <f t="shared" si="38"/>
        <v>1</v>
      </c>
      <c r="BH44" s="332" t="e">
        <f>+VLOOKUP(B44,'[2]Thưởng Lễ 2-9'!$B$5:$G$294,6,0)</f>
        <v>#N/A</v>
      </c>
      <c r="BI44" s="27" t="s">
        <v>596</v>
      </c>
      <c r="BK44" s="27" t="s">
        <v>596</v>
      </c>
      <c r="BN44" s="330">
        <v>1</v>
      </c>
    </row>
    <row r="45" spans="1:66 1544:1544" ht="24.75" customHeight="1" outlineLevel="1" x14ac:dyDescent="0.25">
      <c r="A45" s="88">
        <f t="shared" si="3"/>
        <v>28</v>
      </c>
      <c r="B45" s="333" t="s">
        <v>597</v>
      </c>
      <c r="C45" s="333" t="s">
        <v>598</v>
      </c>
      <c r="D45" s="322">
        <v>45880</v>
      </c>
      <c r="E45" s="323" t="s">
        <v>38</v>
      </c>
      <c r="F45" s="323" t="s">
        <v>38</v>
      </c>
      <c r="G45" s="323" t="s">
        <v>38</v>
      </c>
      <c r="H45" s="323" t="s">
        <v>38</v>
      </c>
      <c r="I45" s="323" t="s">
        <v>38</v>
      </c>
      <c r="J45" s="323" t="s">
        <v>38</v>
      </c>
      <c r="K45" s="323"/>
      <c r="L45" s="323" t="s">
        <v>38</v>
      </c>
      <c r="M45" s="323" t="s">
        <v>38</v>
      </c>
      <c r="N45" s="323" t="s">
        <v>38</v>
      </c>
      <c r="O45" s="323" t="s">
        <v>38</v>
      </c>
      <c r="P45" s="323" t="s">
        <v>38</v>
      </c>
      <c r="Q45" s="323" t="s">
        <v>38</v>
      </c>
      <c r="R45" s="323"/>
      <c r="S45" s="323" t="s">
        <v>38</v>
      </c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69">
        <f>VLOOKUP($B45,[1]NV!$B$9:$DL$219,114,0)</f>
        <v>4</v>
      </c>
      <c r="AK45" s="325">
        <f t="shared" si="27"/>
        <v>13</v>
      </c>
      <c r="AL45" s="325">
        <f t="shared" si="29"/>
        <v>0</v>
      </c>
      <c r="AM45" s="326">
        <f t="shared" si="30"/>
        <v>26</v>
      </c>
      <c r="AN45" s="327">
        <f t="shared" si="31"/>
        <v>13</v>
      </c>
      <c r="AO45" s="327">
        <f t="shared" si="32"/>
        <v>0</v>
      </c>
      <c r="AP45" s="327">
        <f t="shared" si="33"/>
        <v>0</v>
      </c>
      <c r="AQ45" s="327">
        <f t="shared" si="34"/>
        <v>0</v>
      </c>
      <c r="AR45" s="327">
        <f t="shared" si="35"/>
        <v>0</v>
      </c>
      <c r="AS45" s="327">
        <f t="shared" si="36"/>
        <v>0</v>
      </c>
      <c r="AT45" s="327"/>
      <c r="AU45" s="327"/>
      <c r="AV45" s="327"/>
      <c r="AW45" s="327"/>
      <c r="AX45" s="327"/>
      <c r="AY45" s="344"/>
      <c r="AZ45" s="327">
        <f t="shared" si="37"/>
        <v>13</v>
      </c>
      <c r="BA45" s="346"/>
      <c r="BB45" s="27">
        <v>8</v>
      </c>
      <c r="BC45" s="27" t="str">
        <f>VLOOKUP(B45,'[2]Bang luong_06'!$B$10:$C$333,2,0)</f>
        <v>Ngô Việt Thi</v>
      </c>
      <c r="BE45" s="151" t="str">
        <f>VLOOKUP($B45,'[2]Bang luong_06'!$B$10:$C$333,2,0)</f>
        <v>Ngô Việt Thi</v>
      </c>
      <c r="BF45" s="27" t="b">
        <f t="shared" si="38"/>
        <v>1</v>
      </c>
      <c r="BH45" s="332" t="e">
        <f>+VLOOKUP(B45,'[2]Thưởng Lễ 2-9'!$B$5:$G$294,6,0)</f>
        <v>#N/A</v>
      </c>
      <c r="BI45" s="27" t="s">
        <v>596</v>
      </c>
      <c r="BK45" s="27" t="s">
        <v>596</v>
      </c>
      <c r="BN45" s="330">
        <v>1</v>
      </c>
    </row>
    <row r="46" spans="1:66 1544:1544" ht="24.75" customHeight="1" outlineLevel="1" x14ac:dyDescent="0.25">
      <c r="A46" s="88">
        <f t="shared" si="3"/>
        <v>29</v>
      </c>
      <c r="B46" s="333" t="s">
        <v>599</v>
      </c>
      <c r="C46" s="333" t="s">
        <v>596</v>
      </c>
      <c r="D46" s="322">
        <v>44280</v>
      </c>
      <c r="E46" s="323" t="s">
        <v>38</v>
      </c>
      <c r="F46" s="323" t="s">
        <v>38</v>
      </c>
      <c r="G46" s="323" t="s">
        <v>38</v>
      </c>
      <c r="H46" s="323" t="s">
        <v>38</v>
      </c>
      <c r="I46" s="323" t="s">
        <v>38</v>
      </c>
      <c r="J46" s="323" t="s">
        <v>38</v>
      </c>
      <c r="K46" s="323"/>
      <c r="L46" s="323" t="s">
        <v>38</v>
      </c>
      <c r="M46" s="323" t="s">
        <v>38</v>
      </c>
      <c r="N46" s="323" t="s">
        <v>38</v>
      </c>
      <c r="O46" s="323" t="s">
        <v>38</v>
      </c>
      <c r="P46" s="323" t="s">
        <v>38</v>
      </c>
      <c r="Q46" s="323" t="s">
        <v>38</v>
      </c>
      <c r="R46" s="323"/>
      <c r="S46" s="323" t="s">
        <v>38</v>
      </c>
      <c r="T46" s="323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3"/>
      <c r="AF46" s="323"/>
      <c r="AG46" s="323"/>
      <c r="AH46" s="323"/>
      <c r="AI46" s="323"/>
      <c r="AJ46" s="69">
        <f>VLOOKUP($B46,[1]NV!$B$9:$DL$219,114,0)</f>
        <v>2</v>
      </c>
      <c r="AK46" s="325">
        <f t="shared" si="27"/>
        <v>13</v>
      </c>
      <c r="AL46" s="325">
        <f t="shared" si="29"/>
        <v>0</v>
      </c>
      <c r="AM46" s="326">
        <f t="shared" si="30"/>
        <v>26</v>
      </c>
      <c r="AN46" s="327">
        <f t="shared" si="31"/>
        <v>13</v>
      </c>
      <c r="AO46" s="327">
        <f t="shared" si="32"/>
        <v>0</v>
      </c>
      <c r="AP46" s="327">
        <f t="shared" si="33"/>
        <v>0</v>
      </c>
      <c r="AQ46" s="327">
        <f t="shared" si="34"/>
        <v>0</v>
      </c>
      <c r="AR46" s="327">
        <f t="shared" si="35"/>
        <v>0</v>
      </c>
      <c r="AS46" s="327">
        <f t="shared" si="36"/>
        <v>0</v>
      </c>
      <c r="AT46" s="327"/>
      <c r="AU46" s="327"/>
      <c r="AV46" s="327"/>
      <c r="AW46" s="327"/>
      <c r="AX46" s="327"/>
      <c r="AY46" s="344"/>
      <c r="AZ46" s="327">
        <f t="shared" si="37"/>
        <v>13</v>
      </c>
      <c r="BA46" s="346"/>
      <c r="BB46" s="27">
        <v>8</v>
      </c>
      <c r="BC46" s="27" t="str">
        <f>VLOOKUP(B46,'[2]Bang luong_06'!$B$10:$C$333,2,0)</f>
        <v>Nguyễn Đức Quang Minh</v>
      </c>
      <c r="BE46" s="151" t="str">
        <f>VLOOKUP($B46,'[2]Bang luong_06'!$B$10:$C$333,2,0)</f>
        <v>Nguyễn Đức Quang Minh</v>
      </c>
      <c r="BF46" s="27" t="b">
        <f>BE46=C46</f>
        <v>1</v>
      </c>
      <c r="BH46" s="332">
        <f>+VLOOKUP(B46,'[2]Thưởng Lễ 2-9'!$B$5:$G$294,6,0)</f>
        <v>0</v>
      </c>
      <c r="BI46" s="27" t="s">
        <v>596</v>
      </c>
      <c r="BK46" s="27" t="s">
        <v>596</v>
      </c>
      <c r="BN46" s="330">
        <v>1</v>
      </c>
    </row>
    <row r="47" spans="1:66 1544:1544" ht="16.5" customHeight="1" outlineLevel="1" x14ac:dyDescent="0.25">
      <c r="A47" s="88">
        <f t="shared" si="3"/>
        <v>30</v>
      </c>
      <c r="B47" s="320" t="s">
        <v>600</v>
      </c>
      <c r="C47" s="321" t="s">
        <v>601</v>
      </c>
      <c r="D47" s="322">
        <v>45908</v>
      </c>
      <c r="E47" s="323" t="s">
        <v>38</v>
      </c>
      <c r="F47" s="323" t="s">
        <v>38</v>
      </c>
      <c r="G47" s="323" t="s">
        <v>38</v>
      </c>
      <c r="H47" s="323" t="s">
        <v>38</v>
      </c>
      <c r="I47" s="323" t="s">
        <v>38</v>
      </c>
      <c r="J47" s="323" t="s">
        <v>38</v>
      </c>
      <c r="K47" s="323"/>
      <c r="L47" s="323" t="s">
        <v>107</v>
      </c>
      <c r="M47" s="323" t="s">
        <v>38</v>
      </c>
      <c r="N47" s="323" t="s">
        <v>38</v>
      </c>
      <c r="O47" s="323" t="s">
        <v>38</v>
      </c>
      <c r="P47" s="323" t="s">
        <v>38</v>
      </c>
      <c r="Q47" s="323" t="s">
        <v>38</v>
      </c>
      <c r="R47" s="323"/>
      <c r="S47" s="323" t="s">
        <v>38</v>
      </c>
      <c r="T47" s="323"/>
      <c r="U47" s="323"/>
      <c r="V47" s="323"/>
      <c r="W47" s="323"/>
      <c r="X47" s="323"/>
      <c r="Y47" s="323"/>
      <c r="Z47" s="323"/>
      <c r="AA47" s="323"/>
      <c r="AB47" s="323"/>
      <c r="AC47" s="323"/>
      <c r="AD47" s="323"/>
      <c r="AE47" s="323"/>
      <c r="AF47" s="323"/>
      <c r="AG47" s="323"/>
      <c r="AH47" s="323"/>
      <c r="AI47" s="323"/>
      <c r="AJ47" s="69">
        <f>VLOOKUP($B47,[1]NV!$B$9:$DL$219,114,0)</f>
        <v>0</v>
      </c>
      <c r="AK47" s="325">
        <f t="shared" si="27"/>
        <v>12</v>
      </c>
      <c r="AL47" s="325">
        <f t="shared" si="29"/>
        <v>0</v>
      </c>
      <c r="AM47" s="326">
        <f t="shared" si="30"/>
        <v>26</v>
      </c>
      <c r="AN47" s="327">
        <f t="shared" si="31"/>
        <v>12</v>
      </c>
      <c r="AO47" s="327">
        <f t="shared" si="32"/>
        <v>1</v>
      </c>
      <c r="AP47" s="327">
        <f t="shared" si="33"/>
        <v>0</v>
      </c>
      <c r="AQ47" s="327">
        <f t="shared" si="34"/>
        <v>0</v>
      </c>
      <c r="AR47" s="327">
        <f t="shared" si="35"/>
        <v>0</v>
      </c>
      <c r="AS47" s="327">
        <f t="shared" si="36"/>
        <v>0</v>
      </c>
      <c r="AT47" s="327"/>
      <c r="AU47" s="327"/>
      <c r="AV47" s="327"/>
      <c r="AW47" s="327"/>
      <c r="AX47" s="327"/>
      <c r="AY47" s="327"/>
      <c r="AZ47" s="327">
        <f t="shared" si="37"/>
        <v>13</v>
      </c>
      <c r="BA47" s="331"/>
      <c r="BB47" s="27">
        <v>8</v>
      </c>
      <c r="BC47" s="27" t="str">
        <f>VLOOKUP(B47,'[2]Bang luong_06'!$B$10:$C$333,2,0)</f>
        <v>Chu Thị Kim Nga</v>
      </c>
      <c r="BE47" s="151" t="str">
        <f>VLOOKUP($B47,'[2]Bang luong_06'!$B$10:$C$333,2,0)</f>
        <v>Chu Thị Kim Nga</v>
      </c>
      <c r="BF47" s="27" t="b">
        <f>BE47=C47</f>
        <v>1</v>
      </c>
      <c r="BH47" s="332" t="e">
        <f>+VLOOKUP(B47,'[2]Thưởng Lễ 2-9'!$B$5:$G$294,6,0)</f>
        <v>#N/A</v>
      </c>
      <c r="BI47" s="27" t="s">
        <v>536</v>
      </c>
      <c r="BK47" s="27" t="s">
        <v>536</v>
      </c>
      <c r="BN47" s="330" t="e">
        <v>#N/A</v>
      </c>
      <c r="BGJ47" s="27" t="e">
        <v>#N/A</v>
      </c>
    </row>
    <row r="48" spans="1:66 1544:1544" ht="16.5" customHeight="1" outlineLevel="1" x14ac:dyDescent="0.25">
      <c r="A48" s="88" t="str">
        <f t="shared" si="3"/>
        <v/>
      </c>
      <c r="B48" s="317"/>
      <c r="C48" s="317" t="s">
        <v>602</v>
      </c>
      <c r="D48" s="313">
        <f>COUNTA(A49:A53)</f>
        <v>5</v>
      </c>
      <c r="E48" s="317"/>
      <c r="F48" s="317"/>
      <c r="G48" s="317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17"/>
      <c r="AJ48" s="318"/>
      <c r="AK48" s="317"/>
      <c r="AL48" s="317"/>
      <c r="AM48" s="317"/>
      <c r="AN48" s="317"/>
      <c r="AO48" s="317"/>
      <c r="AP48" s="317"/>
      <c r="AQ48" s="317"/>
      <c r="AR48" s="317"/>
      <c r="AS48" s="317"/>
      <c r="AT48" s="317"/>
      <c r="AU48" s="317"/>
      <c r="AV48" s="317"/>
      <c r="AW48" s="317"/>
      <c r="AX48" s="317"/>
      <c r="AY48" s="317"/>
      <c r="AZ48" s="317"/>
      <c r="BA48" s="317"/>
      <c r="BE48" s="151"/>
      <c r="BI48" s="27" t="e">
        <v>#N/A</v>
      </c>
      <c r="BN48" s="337">
        <v>0</v>
      </c>
      <c r="BGJ48" s="27" t="s">
        <v>544</v>
      </c>
    </row>
    <row r="49" spans="1:66 1544:1544" ht="27" customHeight="1" outlineLevel="1" x14ac:dyDescent="0.25">
      <c r="A49" s="88">
        <f t="shared" si="3"/>
        <v>31</v>
      </c>
      <c r="B49" s="333" t="s">
        <v>603</v>
      </c>
      <c r="C49" s="333" t="s">
        <v>604</v>
      </c>
      <c r="D49" s="334">
        <v>44929</v>
      </c>
      <c r="E49" s="323" t="s">
        <v>38</v>
      </c>
      <c r="F49" s="323" t="s">
        <v>38</v>
      </c>
      <c r="G49" s="323" t="s">
        <v>38</v>
      </c>
      <c r="H49" s="323" t="s">
        <v>38</v>
      </c>
      <c r="I49" s="323" t="s">
        <v>38</v>
      </c>
      <c r="J49" s="323" t="s">
        <v>38</v>
      </c>
      <c r="K49" s="323"/>
      <c r="L49" s="323" t="s">
        <v>38</v>
      </c>
      <c r="M49" s="323" t="s">
        <v>38</v>
      </c>
      <c r="N49" s="323" t="s">
        <v>38</v>
      </c>
      <c r="O49" s="323" t="s">
        <v>38</v>
      </c>
      <c r="P49" s="323" t="s">
        <v>38</v>
      </c>
      <c r="Q49" s="323" t="s">
        <v>38</v>
      </c>
      <c r="R49" s="323"/>
      <c r="S49" s="323" t="s">
        <v>38</v>
      </c>
      <c r="T49" s="323"/>
      <c r="U49" s="323"/>
      <c r="V49" s="323"/>
      <c r="W49" s="323"/>
      <c r="X49" s="323"/>
      <c r="Y49" s="323"/>
      <c r="Z49" s="323"/>
      <c r="AA49" s="323"/>
      <c r="AB49" s="323"/>
      <c r="AC49" s="323"/>
      <c r="AD49" s="323"/>
      <c r="AE49" s="323"/>
      <c r="AF49" s="323"/>
      <c r="AG49" s="323"/>
      <c r="AH49" s="323"/>
      <c r="AI49" s="323"/>
      <c r="AJ49" s="69">
        <f>VLOOKUP($B49,[1]NV!$B$9:$DL$219,114,0)</f>
        <v>4</v>
      </c>
      <c r="AK49" s="325">
        <f t="shared" si="27"/>
        <v>13</v>
      </c>
      <c r="AL49" s="325">
        <f>COUNTIF(E49:AI49,"D")+COUNTIF(E49:AI49,"D1")*1/BB49+COUNTIF(E49:AI49,"D2")*2/BB49+COUNTIF(E49:AI49,"D3")*3/BB49+COUNTIF(E49:AI49,"D4")*4/BB49+COUNTIF(E49:AI49,"D5")*5/BB49+COUNTIF(E49:AI49,"D6")*6/BB49+COUNTIF(E49:AI49,"D7")*7/BB49+COUNTIF(E49:AI49,"D8")*8/BB49</f>
        <v>0</v>
      </c>
      <c r="AM49" s="326">
        <f t="shared" ref="AM49:AM53" si="39">+$AH$10-$E$10+1-INT(($AH$10-$E$10-WEEKDAY($AH$10)+8)/7)</f>
        <v>26</v>
      </c>
      <c r="AN49" s="327">
        <f>AK49+AL49</f>
        <v>13</v>
      </c>
      <c r="AO49" s="327">
        <f>COUNTIF(E49:AI49,"p")+COUNTIF(E49:AI49,"P2")/2+COUNTIF(E49:AI49,"P1")/2</f>
        <v>0</v>
      </c>
      <c r="AP49" s="327">
        <f>COUNTIF(E49:AI49,"k")</f>
        <v>0</v>
      </c>
      <c r="AQ49" s="327">
        <f>COUNTIF(E49:AI49,"KL")+COUNTIF(E49:AI49,"O")+COUNTIF(E49:AI49,"O/")/2+COUNTIF(E49:AI49,"TN")+COUNTIF(E49:AI49,"4P4KL")/2+COUNTIF(E49:AI49,"P1")*0.5+COUNTIF(E49:AI49,"Ro")+COUNTIF(E49:AI49,"Ro1")*7/8+COUNTIF(E49:AI49,"Ro2")*6/8+COUNTIF(E49:AI49,"Ro3")*5/8+COUNTIF(E49:AI49,"Ro4")*4/8+COUNTIF(E49:AI49,"Ro4.0")*4/8+COUNTIF(E49:AI49,"Ro5")*3/8+COUNTIF(E49:AI49,"Ro6")*2/8+COUNTIF(E49:AI49,"Ro6.5")*1.5/8+COUNTIF(E49:AI49,"Ro7")*1/8+COUNTIF(E49:AI49,"Ro7.3")*0.7/8+COUNTIF(E49:AI49,"Ro7.5")*0.5/8+COUNTIF(E49:AI49,"Ro7.8")*0.2/8+COUNTIF(E49:AI49,"N7")*1/8+COUNTIF(E49:AI49,"N6")*2/8+COUNTIF(E49:AI49,"N5")*3/8+COUNTIF(E49:AI49,"N4")*4/8+COUNTIF(E49:AI49,"N3")*5/8+COUNTIF(E49:AI49,"N2")*6/8+COUNTIF(E49:AI49,"N1")*7/8</f>
        <v>0</v>
      </c>
      <c r="AR49" s="327">
        <f>COUNTIF(E49:AI49,"*R")</f>
        <v>0</v>
      </c>
      <c r="AS49" s="327">
        <f>COUNTIF(E49:AI49,"L")*1+COUNTIF(E49:AI49,"0.5L")*0.5</f>
        <v>0</v>
      </c>
      <c r="AT49" s="327"/>
      <c r="AU49" s="327"/>
      <c r="AV49" s="327"/>
      <c r="AW49" s="327"/>
      <c r="AX49" s="327"/>
      <c r="AY49" s="344"/>
      <c r="AZ49" s="327">
        <f>AN49+AO49+AS49+AR49</f>
        <v>13</v>
      </c>
      <c r="BA49" s="345"/>
      <c r="BB49" s="27">
        <v>8</v>
      </c>
      <c r="BC49" s="27" t="str">
        <f>VLOOKUP(B49,'[2]Bang luong_06'!$B$10:$C$333,2,0)</f>
        <v>Trần Quang Dương</v>
      </c>
      <c r="BE49" s="151" t="str">
        <f>VLOOKUP($B49,'[2]Bang luong_06'!$B$10:$C$333,2,0)</f>
        <v>Trần Quang Dương</v>
      </c>
      <c r="BF49" s="27" t="b">
        <f>BE49=C49</f>
        <v>1</v>
      </c>
      <c r="BH49" s="332">
        <f>+VLOOKUP(B49,'[2]Thưởng Lễ 2-9'!$B$5:$G$294,6,0)</f>
        <v>0</v>
      </c>
      <c r="BI49" s="27" t="s">
        <v>604</v>
      </c>
      <c r="BK49" s="27" t="s">
        <v>604</v>
      </c>
      <c r="BN49" s="330">
        <v>2.5</v>
      </c>
    </row>
    <row r="50" spans="1:66 1544:1544" ht="27" customHeight="1" outlineLevel="1" x14ac:dyDescent="0.25">
      <c r="A50" s="88">
        <f t="shared" si="3"/>
        <v>32</v>
      </c>
      <c r="B50" s="333" t="s">
        <v>605</v>
      </c>
      <c r="C50" s="333" t="s">
        <v>606</v>
      </c>
      <c r="D50" s="322">
        <v>44621</v>
      </c>
      <c r="E50" s="323" t="s">
        <v>38</v>
      </c>
      <c r="F50" s="323" t="s">
        <v>38</v>
      </c>
      <c r="G50" s="323" t="s">
        <v>38</v>
      </c>
      <c r="H50" s="323" t="s">
        <v>38</v>
      </c>
      <c r="I50" s="323" t="s">
        <v>38</v>
      </c>
      <c r="J50" s="323" t="s">
        <v>38</v>
      </c>
      <c r="K50" s="323"/>
      <c r="L50" s="323" t="s">
        <v>38</v>
      </c>
      <c r="M50" s="323" t="s">
        <v>38</v>
      </c>
      <c r="N50" s="323" t="s">
        <v>38</v>
      </c>
      <c r="O50" s="323" t="s">
        <v>107</v>
      </c>
      <c r="P50" s="323" t="s">
        <v>107</v>
      </c>
      <c r="Q50" s="323" t="s">
        <v>107</v>
      </c>
      <c r="R50" s="323"/>
      <c r="S50" s="323" t="s">
        <v>38</v>
      </c>
      <c r="T50" s="323"/>
      <c r="U50" s="323"/>
      <c r="V50" s="323"/>
      <c r="W50" s="323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69">
        <f>VLOOKUP($B50,[1]NV!$B$9:$DL$219,114,0)</f>
        <v>1</v>
      </c>
      <c r="AK50" s="325">
        <f t="shared" si="27"/>
        <v>10</v>
      </c>
      <c r="AL50" s="325">
        <f>COUNTIF(E50:AI50,"D")+COUNTIF(E50:AI50,"D1")*1/BB50+COUNTIF(E50:AI50,"D2")*2/BB50+COUNTIF(E50:AI50,"D3")*3/BB50+COUNTIF(E50:AI50,"D4")*4/BB50+COUNTIF(E50:AI50,"D5")*5/BB50+COUNTIF(E50:AI50,"D6")*6/BB50+COUNTIF(E50:AI50,"D7")*7/BB50+COUNTIF(E50:AI50,"D8")*8/BB50</f>
        <v>0</v>
      </c>
      <c r="AM50" s="326">
        <f t="shared" si="39"/>
        <v>26</v>
      </c>
      <c r="AN50" s="327">
        <f>AK50+AL50</f>
        <v>10</v>
      </c>
      <c r="AO50" s="327">
        <f>COUNTIF(E50:AI50,"p")+COUNTIF(E50:AI50,"P2")/2+COUNTIF(E50:AI50,"P1")/2</f>
        <v>3</v>
      </c>
      <c r="AP50" s="327">
        <f>COUNTIF(E50:AI50,"k")</f>
        <v>0</v>
      </c>
      <c r="AQ50" s="327">
        <f>COUNTIF(E50:AI50,"KL")+COUNTIF(E50:AI50,"O")+COUNTIF(E50:AI50,"O/")/2+COUNTIF(E50:AI50,"TN")+COUNTIF(E50:AI50,"4P4KL")/2+COUNTIF(E50:AI50,"P1")*0.5+COUNTIF(E50:AI50,"Ro")+COUNTIF(E50:AI50,"Ro1")*7/8+COUNTIF(E50:AI50,"Ro2")*6/8+COUNTIF(E50:AI50,"Ro3")*5/8+COUNTIF(E50:AI50,"Ro4")*4/8+COUNTIF(E50:AI50,"Ro4.0")*4/8+COUNTIF(E50:AI50,"Ro5")*3/8+COUNTIF(E50:AI50,"Ro6")*2/8+COUNTIF(E50:AI50,"Ro6.5")*1.5/8+COUNTIF(E50:AI50,"Ro7")*1/8+COUNTIF(E50:AI50,"Ro7.3")*0.7/8+COUNTIF(E50:AI50,"Ro7.5")*0.5/8+COUNTIF(E50:AI50,"Ro7.8")*0.2/8+COUNTIF(E50:AI50,"N7")*1/8+COUNTIF(E50:AI50,"N6")*2/8+COUNTIF(E50:AI50,"N5")*3/8+COUNTIF(E50:AI50,"N4")*4/8+COUNTIF(E50:AI50,"N3")*5/8+COUNTIF(E50:AI50,"N2")*6/8+COUNTIF(E50:AI50,"N1")*7/8</f>
        <v>0</v>
      </c>
      <c r="AR50" s="327">
        <f>COUNTIF(E50:AI50,"*R")</f>
        <v>0</v>
      </c>
      <c r="AS50" s="327">
        <f>COUNTIF(E50:AI50,"L")*1+COUNTIF(E50:AI50,"0.5L")*0.5</f>
        <v>0</v>
      </c>
      <c r="AT50" s="327"/>
      <c r="AU50" s="327"/>
      <c r="AV50" s="327"/>
      <c r="AW50" s="327"/>
      <c r="AX50" s="327"/>
      <c r="AY50" s="344"/>
      <c r="AZ50" s="327">
        <f>AN50+AO50+AS50+AR50</f>
        <v>13</v>
      </c>
      <c r="BA50" s="345"/>
      <c r="BB50" s="27">
        <v>8</v>
      </c>
      <c r="BC50" s="27" t="str">
        <f>VLOOKUP(B50,'[2]Bang luong_06'!$B$10:$C$333,2,0)</f>
        <v>Hà Thảo Vy</v>
      </c>
      <c r="BE50" s="151" t="str">
        <f>VLOOKUP($B50,'[2]Bang luong_06'!$B$10:$C$333,2,0)</f>
        <v>Hà Thảo Vy</v>
      </c>
      <c r="BF50" s="27" t="b">
        <f>BE50=C50</f>
        <v>1</v>
      </c>
      <c r="BH50" s="332">
        <f>+VLOOKUP(B50,'[2]Thưởng Lễ 2-9'!$B$5:$G$294,6,0)</f>
        <v>0</v>
      </c>
      <c r="BI50" s="27" t="s">
        <v>606</v>
      </c>
      <c r="BK50" s="27" t="s">
        <v>606</v>
      </c>
      <c r="BN50" s="330">
        <v>2.5</v>
      </c>
      <c r="BGJ50" s="27" t="e">
        <v>#N/A</v>
      </c>
    </row>
    <row r="51" spans="1:66 1544:1544" ht="16.5" customHeight="1" outlineLevel="1" x14ac:dyDescent="0.25">
      <c r="A51" s="88">
        <f t="shared" si="3"/>
        <v>33</v>
      </c>
      <c r="B51" s="333" t="s">
        <v>607</v>
      </c>
      <c r="C51" s="333" t="s">
        <v>608</v>
      </c>
      <c r="D51" s="322">
        <v>44036</v>
      </c>
      <c r="E51" s="323" t="s">
        <v>38</v>
      </c>
      <c r="F51" s="323" t="s">
        <v>38</v>
      </c>
      <c r="G51" s="323" t="s">
        <v>38</v>
      </c>
      <c r="H51" s="323" t="s">
        <v>38</v>
      </c>
      <c r="I51" s="323" t="s">
        <v>38</v>
      </c>
      <c r="J51" s="323" t="s">
        <v>38</v>
      </c>
      <c r="K51" s="323"/>
      <c r="L51" s="323" t="s">
        <v>38</v>
      </c>
      <c r="M51" s="323" t="s">
        <v>38</v>
      </c>
      <c r="N51" s="323" t="s">
        <v>38</v>
      </c>
      <c r="O51" s="323" t="s">
        <v>38</v>
      </c>
      <c r="P51" s="323" t="s">
        <v>38</v>
      </c>
      <c r="Q51" s="323" t="s">
        <v>38</v>
      </c>
      <c r="R51" s="323"/>
      <c r="S51" s="323" t="s">
        <v>38</v>
      </c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69">
        <f>VLOOKUP($B51,[1]NV!$B$9:$DL$219,114,0)</f>
        <v>1.5</v>
      </c>
      <c r="AK51" s="325">
        <f t="shared" si="27"/>
        <v>13</v>
      </c>
      <c r="AL51" s="325">
        <f>COUNTIF(E51:AI51,"D")+COUNTIF(E51:AI51,"D1")*1/BB51+COUNTIF(E51:AI51,"D2")*2/BB51+COUNTIF(E51:AI51,"D3")*3/BB51+COUNTIF(E51:AI51,"D4")*4/BB51+COUNTIF(E51:AI51,"D5")*5/BB51+COUNTIF(E51:AI51,"D6")*6/BB51+COUNTIF(E51:AI51,"D7")*7/BB51+COUNTIF(E51:AI51,"D8")*8/BB51</f>
        <v>0</v>
      </c>
      <c r="AM51" s="326">
        <f t="shared" si="39"/>
        <v>26</v>
      </c>
      <c r="AN51" s="327">
        <f>AK51+AL51</f>
        <v>13</v>
      </c>
      <c r="AO51" s="327">
        <f>COUNTIF(E51:AI51,"p")+COUNTIF(E51:AI51,"P2")/2+COUNTIF(E51:AI51,"P1")/2</f>
        <v>0</v>
      </c>
      <c r="AP51" s="327">
        <f>COUNTIF(E51:AI51,"k")</f>
        <v>0</v>
      </c>
      <c r="AQ51" s="327">
        <f>COUNTIF(E51:AI51,"KL")+COUNTIF(E51:AI51,"O")+COUNTIF(E51:AI51,"O/")/2+COUNTIF(E51:AI51,"TN")+COUNTIF(E51:AI51,"4P4KL")/2+COUNTIF(E51:AI51,"P1")*0.5+COUNTIF(E51:AI51,"Ro")+COUNTIF(E51:AI51,"Ro1")*7/8+COUNTIF(E51:AI51,"Ro2")*6/8+COUNTIF(E51:AI51,"Ro3")*5/8+COUNTIF(E51:AI51,"Ro4")*4/8+COUNTIF(E51:AI51,"Ro4.0")*4/8+COUNTIF(E51:AI51,"Ro5")*3/8+COUNTIF(E51:AI51,"Ro6")*2/8+COUNTIF(E51:AI51,"Ro6.5")*1.5/8+COUNTIF(E51:AI51,"Ro7")*1/8+COUNTIF(E51:AI51,"Ro7.3")*0.7/8+COUNTIF(E51:AI51,"Ro7.5")*0.5/8+COUNTIF(E51:AI51,"Ro7.8")*0.2/8+COUNTIF(E51:AI51,"N7")*1/8+COUNTIF(E51:AI51,"N6")*2/8+COUNTIF(E51:AI51,"N5")*3/8+COUNTIF(E51:AI51,"N4")*4/8+COUNTIF(E51:AI51,"N3")*5/8+COUNTIF(E51:AI51,"N2")*6/8+COUNTIF(E51:AI51,"N1")*7/8</f>
        <v>0</v>
      </c>
      <c r="AR51" s="327">
        <f>COUNTIF(E51:AI51,"*R")</f>
        <v>0</v>
      </c>
      <c r="AS51" s="327">
        <f>COUNTIF(E51:AI51,"L")*1+COUNTIF(E51:AI51,"0.5L")*0.5</f>
        <v>0</v>
      </c>
      <c r="AT51" s="327"/>
      <c r="AU51" s="327"/>
      <c r="AV51" s="327"/>
      <c r="AW51" s="327"/>
      <c r="AX51" s="327"/>
      <c r="AY51" s="344"/>
      <c r="AZ51" s="327">
        <f>AN51+AO51+AS51+AR51</f>
        <v>13</v>
      </c>
      <c r="BA51" s="331"/>
      <c r="BB51" s="27">
        <v>8</v>
      </c>
      <c r="BC51" s="27" t="str">
        <f>VLOOKUP(B51,'[2]Bang luong_06'!$B$10:$C$333,2,0)</f>
        <v>Hồ Nguyễn Bảo Trâm</v>
      </c>
      <c r="BE51" s="151" t="str">
        <f>VLOOKUP($B51,'[2]Bang luong_06'!$B$10:$C$333,2,0)</f>
        <v>Hồ Nguyễn Bảo Trâm</v>
      </c>
      <c r="BF51" s="27" t="b">
        <f>BE51=C51</f>
        <v>1</v>
      </c>
      <c r="BH51" s="332">
        <f>+VLOOKUP(B51,'[2]Thưởng Lễ 2-9'!$B$5:$G$294,6,0)</f>
        <v>0</v>
      </c>
      <c r="BI51" s="27" t="s">
        <v>609</v>
      </c>
      <c r="BK51" s="27" t="s">
        <v>608</v>
      </c>
      <c r="BN51" s="330">
        <v>1.5</v>
      </c>
    </row>
    <row r="52" spans="1:66 1544:1544" ht="27.75" customHeight="1" outlineLevel="1" x14ac:dyDescent="0.25">
      <c r="A52" s="88">
        <f t="shared" si="3"/>
        <v>34</v>
      </c>
      <c r="B52" s="333" t="s">
        <v>610</v>
      </c>
      <c r="C52" s="333" t="s">
        <v>611</v>
      </c>
      <c r="D52" s="334">
        <v>45054</v>
      </c>
      <c r="E52" s="323" t="s">
        <v>38</v>
      </c>
      <c r="F52" s="323" t="s">
        <v>38</v>
      </c>
      <c r="G52" s="323" t="s">
        <v>38</v>
      </c>
      <c r="H52" s="323" t="s">
        <v>38</v>
      </c>
      <c r="I52" s="323" t="s">
        <v>38</v>
      </c>
      <c r="J52" s="323" t="s">
        <v>38</v>
      </c>
      <c r="K52" s="323"/>
      <c r="L52" s="323" t="s">
        <v>38</v>
      </c>
      <c r="M52" s="323" t="s">
        <v>38</v>
      </c>
      <c r="N52" s="323" t="s">
        <v>38</v>
      </c>
      <c r="O52" s="323" t="s">
        <v>38</v>
      </c>
      <c r="P52" s="323" t="s">
        <v>38</v>
      </c>
      <c r="Q52" s="323" t="s">
        <v>38</v>
      </c>
      <c r="R52" s="323"/>
      <c r="S52" s="323" t="s">
        <v>38</v>
      </c>
      <c r="T52" s="323"/>
      <c r="U52" s="323"/>
      <c r="V52" s="323"/>
      <c r="W52" s="323"/>
      <c r="X52" s="323"/>
      <c r="Y52" s="323"/>
      <c r="Z52" s="323"/>
      <c r="AA52" s="323"/>
      <c r="AB52" s="323"/>
      <c r="AC52" s="323"/>
      <c r="AD52" s="323"/>
      <c r="AE52" s="323"/>
      <c r="AF52" s="323"/>
      <c r="AG52" s="323"/>
      <c r="AH52" s="323"/>
      <c r="AI52" s="323"/>
      <c r="AJ52" s="69">
        <f>VLOOKUP($B52,[1]NV!$B$9:$DL$219,114,0)</f>
        <v>2.5</v>
      </c>
      <c r="AK52" s="325">
        <f t="shared" si="27"/>
        <v>13</v>
      </c>
      <c r="AL52" s="325">
        <f>COUNTIF(E52:AI52,"D")+COUNTIF(E52:AI52,"D1")*1/BB52+COUNTIF(E52:AI52,"D2")*2/BB52+COUNTIF(E52:AI52,"D3")*3/BB52+COUNTIF(E52:AI52,"D4")*4/BB52+COUNTIF(E52:AI52,"D5")*5/BB52+COUNTIF(E52:AI52,"D6")*6/BB52+COUNTIF(E52:AI52,"D7")*7/BB52+COUNTIF(E52:AI52,"D8")*8/BB52</f>
        <v>0</v>
      </c>
      <c r="AM52" s="326">
        <f t="shared" si="39"/>
        <v>26</v>
      </c>
      <c r="AN52" s="327">
        <f>AK52+AL52</f>
        <v>13</v>
      </c>
      <c r="AO52" s="327">
        <f>COUNTIF(E52:AI52,"p")+COUNTIF(E52:AI52,"P2")/2+COUNTIF(E52:AI52,"P1")/2</f>
        <v>0</v>
      </c>
      <c r="AP52" s="327">
        <f>COUNTIF(E52:AI52,"k")</f>
        <v>0</v>
      </c>
      <c r="AQ52" s="327">
        <f>COUNTIF(E52:AI52,"KL")+COUNTIF(E52:AI52,"O")+COUNTIF(E52:AI52,"O/")/2+COUNTIF(E52:AI52,"TN")+COUNTIF(E52:AI52,"4P4KL")/2+COUNTIF(E52:AI52,"P1")*0.5+COUNTIF(E52:AI52,"Ro")+COUNTIF(E52:AI52,"Ro1")*7/8+COUNTIF(E52:AI52,"Ro2")*6/8+COUNTIF(E52:AI52,"Ro3")*5/8+COUNTIF(E52:AI52,"Ro4")*4/8+COUNTIF(E52:AI52,"Ro4.0")*4/8+COUNTIF(E52:AI52,"Ro5")*3/8+COUNTIF(E52:AI52,"Ro6")*2/8+COUNTIF(E52:AI52,"Ro6.5")*1.5/8+COUNTIF(E52:AI52,"Ro7")*1/8+COUNTIF(E52:AI52,"Ro7.3")*0.7/8+COUNTIF(E52:AI52,"Ro7.5")*0.5/8+COUNTIF(E52:AI52,"Ro7.8")*0.2/8+COUNTIF(E52:AI52,"N7")*1/8+COUNTIF(E52:AI52,"N6")*2/8+COUNTIF(E52:AI52,"N5")*3/8+COUNTIF(E52:AI52,"N4")*4/8+COUNTIF(E52:AI52,"N3")*5/8+COUNTIF(E52:AI52,"N2")*6/8+COUNTIF(E52:AI52,"N1")*7/8</f>
        <v>0</v>
      </c>
      <c r="AR52" s="327">
        <f>COUNTIF(E52:AI52,"*R")</f>
        <v>0</v>
      </c>
      <c r="AS52" s="327">
        <f>COUNTIF(E52:AI52,"L")*1+COUNTIF(E52:AI52,"0.5L")*0.5</f>
        <v>0</v>
      </c>
      <c r="AT52" s="327"/>
      <c r="AU52" s="327"/>
      <c r="AV52" s="327"/>
      <c r="AW52" s="327"/>
      <c r="AX52" s="327"/>
      <c r="AY52" s="344"/>
      <c r="AZ52" s="327">
        <f>AN52+AO52+AS52+AR52</f>
        <v>13</v>
      </c>
      <c r="BA52" s="340"/>
      <c r="BB52" s="27">
        <v>8</v>
      </c>
      <c r="BC52" s="27" t="str">
        <f>VLOOKUP(B52,'[2]Bang luong_06'!$B$10:$C$333,2,0)</f>
        <v>Đoàn Văn Mạnh</v>
      </c>
      <c r="BE52" s="151" t="str">
        <f>VLOOKUP($B52,'[2]Bang luong_06'!$B$10:$C$333,2,0)</f>
        <v>Đoàn Văn Mạnh</v>
      </c>
      <c r="BF52" s="27" t="b">
        <f>BE52=C52</f>
        <v>1</v>
      </c>
      <c r="BH52" s="332">
        <f>+VLOOKUP(B52,'[2]Thưởng Lễ 2-9'!$B$5:$G$294,6,0)</f>
        <v>0</v>
      </c>
      <c r="BI52" s="27" t="s">
        <v>611</v>
      </c>
      <c r="BK52" s="27" t="s">
        <v>611</v>
      </c>
      <c r="BN52" s="330">
        <v>3</v>
      </c>
      <c r="BGJ52" s="27" t="e">
        <v>#N/A</v>
      </c>
    </row>
    <row r="53" spans="1:66 1544:1544" ht="16.5" customHeight="1" outlineLevel="1" x14ac:dyDescent="0.25">
      <c r="A53" s="88">
        <f t="shared" si="3"/>
        <v>35</v>
      </c>
      <c r="B53" s="333" t="s">
        <v>612</v>
      </c>
      <c r="C53" s="333" t="s">
        <v>613</v>
      </c>
      <c r="D53" s="322">
        <v>45586</v>
      </c>
      <c r="E53" s="323" t="s">
        <v>38</v>
      </c>
      <c r="F53" s="323" t="s">
        <v>38</v>
      </c>
      <c r="G53" s="323" t="s">
        <v>38</v>
      </c>
      <c r="H53" s="323" t="s">
        <v>38</v>
      </c>
      <c r="I53" s="323" t="s">
        <v>38</v>
      </c>
      <c r="J53" s="323" t="s">
        <v>38</v>
      </c>
      <c r="K53" s="323"/>
      <c r="L53" s="323" t="s">
        <v>38</v>
      </c>
      <c r="M53" s="323" t="s">
        <v>38</v>
      </c>
      <c r="N53" s="323" t="s">
        <v>38</v>
      </c>
      <c r="O53" s="323" t="s">
        <v>38</v>
      </c>
      <c r="P53" s="323" t="s">
        <v>38</v>
      </c>
      <c r="Q53" s="323" t="s">
        <v>38</v>
      </c>
      <c r="R53" s="323"/>
      <c r="S53" s="323" t="s">
        <v>38</v>
      </c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69">
        <f>VLOOKUP($B53,[1]NV!$B$9:$DL$219,114,0)</f>
        <v>2</v>
      </c>
      <c r="AK53" s="325">
        <f t="shared" si="27"/>
        <v>13</v>
      </c>
      <c r="AL53" s="325">
        <f>COUNTIF(E53:AI53,"D")+COUNTIF(E53:AI53,"D1")*1/BB53+COUNTIF(E53:AI53,"D2")*2/BB53+COUNTIF(E53:AI53,"D3")*3/BB53+COUNTIF(E53:AI53,"D4")*4/BB53+COUNTIF(E53:AI53,"D5")*5/BB53+COUNTIF(E53:AI53,"D6")*6/BB53+COUNTIF(E53:AI53,"D7")*7/BB53+COUNTIF(E53:AI53,"D8")*8/BB53</f>
        <v>0</v>
      </c>
      <c r="AM53" s="326">
        <f t="shared" si="39"/>
        <v>26</v>
      </c>
      <c r="AN53" s="327">
        <f>AK53+AL53</f>
        <v>13</v>
      </c>
      <c r="AO53" s="327">
        <f>COUNTIF(E53:AI53,"p")+COUNTIF(E53:AI53,"P2")/2+COUNTIF(E53:AI53,"P1")/2</f>
        <v>0</v>
      </c>
      <c r="AP53" s="327">
        <f>COUNTIF(E53:AI53,"k")</f>
        <v>0</v>
      </c>
      <c r="AQ53" s="327">
        <f>COUNTIF(E53:AI53,"KL")+COUNTIF(E53:AI53,"O")+COUNTIF(E53:AI53,"O/")/2+COUNTIF(E53:AI53,"TN")+COUNTIF(E53:AI53,"4P4KL")/2+COUNTIF(E53:AI53,"P1")*0.5+COUNTIF(E53:AI53,"Ro")+COUNTIF(E53:AI53,"Ro1")*7/8+COUNTIF(E53:AI53,"Ro2")*6/8+COUNTIF(E53:AI53,"Ro3")*5/8+COUNTIF(E53:AI53,"Ro4")*4/8+COUNTIF(E53:AI53,"Ro4.0")*4/8+COUNTIF(E53:AI53,"Ro5")*3/8+COUNTIF(E53:AI53,"Ro6")*2/8+COUNTIF(E53:AI53,"Ro6.5")*1.5/8+COUNTIF(E53:AI53,"Ro7")*1/8+COUNTIF(E53:AI53,"Ro7.3")*0.7/8+COUNTIF(E53:AI53,"Ro7.5")*0.5/8+COUNTIF(E53:AI53,"Ro7.8")*0.2/8+COUNTIF(E53:AI53,"N7")*1/8+COUNTIF(E53:AI53,"N6")*2/8+COUNTIF(E53:AI53,"N5")*3/8+COUNTIF(E53:AI53,"N4")*4/8+COUNTIF(E53:AI53,"N3")*5/8+COUNTIF(E53:AI53,"N2")*6/8+COUNTIF(E53:AI53,"N1")*7/8</f>
        <v>0</v>
      </c>
      <c r="AR53" s="327">
        <f>COUNTIF(E53:AI53,"*R")</f>
        <v>0</v>
      </c>
      <c r="AS53" s="327">
        <f>COUNTIF(E53:AI53,"L")*1+COUNTIF(E53:AI53,"0.5L")*0.5</f>
        <v>0</v>
      </c>
      <c r="AT53" s="327"/>
      <c r="AU53" s="327"/>
      <c r="AV53" s="327"/>
      <c r="AW53" s="327"/>
      <c r="AX53" s="327"/>
      <c r="AY53" s="327"/>
      <c r="AZ53" s="327">
        <f>AN53+AO53+AS53+AR53</f>
        <v>13</v>
      </c>
      <c r="BA53" s="331"/>
      <c r="BB53" s="27">
        <v>8</v>
      </c>
      <c r="BC53" s="27" t="str">
        <f>VLOOKUP(B53,'[2]Bang luong_06'!$B$10:$C$333,2,0)</f>
        <v xml:space="preserve">Vũ Thị Phương Loan </v>
      </c>
      <c r="BE53" s="151" t="str">
        <f>VLOOKUP($B53,'[2]Bang luong_06'!$B$10:$C$333,2,0)</f>
        <v xml:space="preserve">Vũ Thị Phương Loan </v>
      </c>
      <c r="BF53" s="27" t="b">
        <f>BE53=C53</f>
        <v>1</v>
      </c>
      <c r="BH53" s="329">
        <v>0</v>
      </c>
      <c r="BI53" s="27" t="s">
        <v>613</v>
      </c>
      <c r="BK53" s="27" t="e">
        <v>#N/A</v>
      </c>
      <c r="BN53" s="330">
        <v>0</v>
      </c>
    </row>
    <row r="54" spans="1:66 1544:1544" ht="16.5" customHeight="1" outlineLevel="1" x14ac:dyDescent="0.25">
      <c r="A54" s="88" t="str">
        <f t="shared" si="3"/>
        <v/>
      </c>
      <c r="B54" s="317"/>
      <c r="C54" s="317" t="s">
        <v>614</v>
      </c>
      <c r="D54" s="313">
        <f>COUNTA(A55:A63)</f>
        <v>9</v>
      </c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8"/>
      <c r="AK54" s="317"/>
      <c r="AL54" s="317"/>
      <c r="AM54" s="317"/>
      <c r="AN54" s="317"/>
      <c r="AO54" s="317"/>
      <c r="AP54" s="317"/>
      <c r="AQ54" s="317"/>
      <c r="AR54" s="317"/>
      <c r="AS54" s="317"/>
      <c r="AT54" s="317"/>
      <c r="AU54" s="317"/>
      <c r="AV54" s="317"/>
      <c r="AW54" s="317"/>
      <c r="AX54" s="317"/>
      <c r="AY54" s="317"/>
      <c r="AZ54" s="317"/>
      <c r="BA54" s="317"/>
      <c r="BE54" s="151"/>
      <c r="BI54" s="27" t="e">
        <v>#N/A</v>
      </c>
      <c r="BN54" s="337">
        <v>0</v>
      </c>
    </row>
    <row r="55" spans="1:66 1544:1544" ht="16.5" customHeight="1" x14ac:dyDescent="0.25">
      <c r="A55" s="88">
        <f t="shared" si="3"/>
        <v>36</v>
      </c>
      <c r="B55" s="333" t="s">
        <v>615</v>
      </c>
      <c r="C55" s="333" t="s">
        <v>616</v>
      </c>
      <c r="D55" s="334">
        <v>45378</v>
      </c>
      <c r="E55" s="323" t="s">
        <v>38</v>
      </c>
      <c r="F55" s="323" t="s">
        <v>38</v>
      </c>
      <c r="G55" s="323" t="s">
        <v>38</v>
      </c>
      <c r="H55" s="323" t="s">
        <v>38</v>
      </c>
      <c r="I55" s="323" t="s">
        <v>38</v>
      </c>
      <c r="J55" s="323" t="s">
        <v>38</v>
      </c>
      <c r="K55" s="323"/>
      <c r="L55" s="323" t="s">
        <v>38</v>
      </c>
      <c r="M55" s="323" t="s">
        <v>38</v>
      </c>
      <c r="N55" s="323" t="s">
        <v>38</v>
      </c>
      <c r="O55" s="323" t="s">
        <v>38</v>
      </c>
      <c r="P55" s="323" t="s">
        <v>38</v>
      </c>
      <c r="Q55" s="323" t="s">
        <v>38</v>
      </c>
      <c r="R55" s="323"/>
      <c r="S55" s="323" t="s">
        <v>38</v>
      </c>
      <c r="T55" s="323"/>
      <c r="U55" s="323"/>
      <c r="V55" s="323"/>
      <c r="W55" s="323"/>
      <c r="X55" s="323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69">
        <f>VLOOKUP($B55,[1]NV!$B$9:$DL$219,114,0)</f>
        <v>1</v>
      </c>
      <c r="AK55" s="325">
        <f t="shared" si="27"/>
        <v>13</v>
      </c>
      <c r="AL55" s="325">
        <f t="shared" ref="AL55:AL60" si="40">COUNTIF(E55:AI55,"D")+COUNTIF(E55:AI55,"D1")*1/BB55+COUNTIF(E55:AI55,"D2")*2/BB55+COUNTIF(E55:AI55,"D3")*3/BB55+COUNTIF(E55:AI55,"D4")*4/BB55+COUNTIF(E55:AI55,"D5")*5/BB55+COUNTIF(E55:AI55,"D6")*6/BB55+COUNTIF(E55:AI55,"D7")*7/BB55+COUNTIF(E55:AI55,"D8")*8/BB55</f>
        <v>0</v>
      </c>
      <c r="AM55" s="326">
        <f t="shared" ref="AM55:AM63" si="41">+$AH$10-$E$10+1-INT(($AH$10-$E$10-WEEKDAY($AH$10)+8)/7)</f>
        <v>26</v>
      </c>
      <c r="AN55" s="327">
        <f t="shared" ref="AN55:AN62" si="42">AK55+AL55</f>
        <v>13</v>
      </c>
      <c r="AO55" s="327">
        <f t="shared" ref="AO55:AO62" si="43">COUNTIF(E55:AI55,"p")+COUNTIF(E55:AI55,"P2")/2+COUNTIF(E55:AI55,"P1")/2</f>
        <v>0</v>
      </c>
      <c r="AP55" s="327">
        <f t="shared" ref="AP55:AP62" si="44">COUNTIF(E55:AI55,"k")</f>
        <v>0</v>
      </c>
      <c r="AQ55" s="327">
        <f t="shared" ref="AQ55:AQ62" si="45">COUNTIF(E55:AI55,"KL")+COUNTIF(E55:AI55,"O")+COUNTIF(E55:AI55,"O/")/2+COUNTIF(E55:AI55,"TN")+COUNTIF(E55:AI55,"4P4KL")/2+COUNTIF(E55:AI55,"P1")*0.5+COUNTIF(E55:AI55,"Ro")+COUNTIF(E55:AI55,"Ro1")*7/8+COUNTIF(E55:AI55,"Ro2")*6/8+COUNTIF(E55:AI55,"Ro3")*5/8+COUNTIF(E55:AI55,"Ro4")*4/8+COUNTIF(E55:AI55,"Ro4.0")*4/8+COUNTIF(E55:AI55,"Ro5")*3/8+COUNTIF(E55:AI55,"Ro6")*2/8+COUNTIF(E55:AI55,"Ro6.5")*1.5/8+COUNTIF(E55:AI55,"Ro7")*1/8+COUNTIF(E55:AI55,"Ro7.3")*0.7/8+COUNTIF(E55:AI55,"Ro7.5")*0.5/8+COUNTIF(E55:AI55,"Ro7.8")*0.2/8+COUNTIF(E55:AI55,"N7")*1/8+COUNTIF(E55:AI55,"N6")*2/8+COUNTIF(E55:AI55,"N5")*3/8+COUNTIF(E55:AI55,"N4")*4/8+COUNTIF(E55:AI55,"N3")*5/8+COUNTIF(E55:AI55,"N2")*6/8+COUNTIF(E55:AI55,"N1")*7/8</f>
        <v>0</v>
      </c>
      <c r="AR55" s="327">
        <f t="shared" ref="AR55:AR62" si="46">COUNTIF(E55:AI55,"*R")</f>
        <v>0</v>
      </c>
      <c r="AS55" s="327">
        <f t="shared" ref="AS55:AS62" si="47">COUNTIF(E55:AI55,"L")*1+COUNTIF(E55:AI55,"0.5L")*0.5</f>
        <v>0</v>
      </c>
      <c r="AT55" s="327"/>
      <c r="AU55" s="327"/>
      <c r="AV55" s="327"/>
      <c r="AW55" s="327"/>
      <c r="AX55" s="327"/>
      <c r="AY55" s="327"/>
      <c r="AZ55" s="327">
        <f t="shared" ref="AZ55:AZ62" si="48">AN55+AO55+AS55+AR55</f>
        <v>13</v>
      </c>
      <c r="BA55" s="331"/>
      <c r="BB55" s="27">
        <v>8</v>
      </c>
      <c r="BC55" s="27" t="str">
        <f>VLOOKUP(B55,'[2]Bang luong_06'!$B$10:$C$333,2,0)</f>
        <v>Y Nghe Knul</v>
      </c>
      <c r="BE55" s="151" t="str">
        <f>VLOOKUP($B55,'[2]Bang luong_06'!$B$10:$C$333,2,0)</f>
        <v>Y Nghe Knul</v>
      </c>
      <c r="BF55" s="27" t="b">
        <f t="shared" ref="BF55:BF61" si="49">BE55=C55</f>
        <v>1</v>
      </c>
      <c r="BH55" s="332">
        <f>+VLOOKUP(B55,'[2]Thưởng Lễ 2-9'!$B$5:$G$294,6,0)</f>
        <v>0</v>
      </c>
      <c r="BI55" s="27" t="s">
        <v>616</v>
      </c>
      <c r="BK55" s="27" t="s">
        <v>616</v>
      </c>
      <c r="BN55" s="330">
        <v>3.5</v>
      </c>
    </row>
    <row r="56" spans="1:66 1544:1544" ht="16.5" customHeight="1" x14ac:dyDescent="0.25">
      <c r="A56" s="88">
        <f t="shared" si="3"/>
        <v>37</v>
      </c>
      <c r="B56" s="333" t="s">
        <v>617</v>
      </c>
      <c r="C56" s="333" t="s">
        <v>618</v>
      </c>
      <c r="D56" s="334">
        <v>42208</v>
      </c>
      <c r="E56" s="323" t="s">
        <v>38</v>
      </c>
      <c r="F56" s="323" t="s">
        <v>38</v>
      </c>
      <c r="G56" s="323" t="s">
        <v>38</v>
      </c>
      <c r="H56" s="323" t="s">
        <v>38</v>
      </c>
      <c r="I56" s="323" t="s">
        <v>38</v>
      </c>
      <c r="J56" s="323" t="s">
        <v>107</v>
      </c>
      <c r="K56" s="323"/>
      <c r="L56" s="323" t="s">
        <v>38</v>
      </c>
      <c r="M56" s="323" t="s">
        <v>38</v>
      </c>
      <c r="N56" s="323" t="s">
        <v>38</v>
      </c>
      <c r="O56" s="323" t="s">
        <v>38</v>
      </c>
      <c r="P56" s="323" t="s">
        <v>38</v>
      </c>
      <c r="Q56" s="323" t="s">
        <v>38</v>
      </c>
      <c r="R56" s="323"/>
      <c r="S56" s="323" t="s">
        <v>38</v>
      </c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/>
      <c r="AJ56" s="69">
        <f>VLOOKUP($B56,[1]NV!$B$9:$DL$219,114,0)</f>
        <v>5</v>
      </c>
      <c r="AK56" s="325">
        <f t="shared" si="27"/>
        <v>12</v>
      </c>
      <c r="AL56" s="325">
        <f t="shared" si="40"/>
        <v>0</v>
      </c>
      <c r="AM56" s="326">
        <f t="shared" si="41"/>
        <v>26</v>
      </c>
      <c r="AN56" s="327">
        <f t="shared" si="42"/>
        <v>12</v>
      </c>
      <c r="AO56" s="327">
        <f t="shared" si="43"/>
        <v>1</v>
      </c>
      <c r="AP56" s="327">
        <f t="shared" si="44"/>
        <v>0</v>
      </c>
      <c r="AQ56" s="327">
        <f t="shared" si="45"/>
        <v>0</v>
      </c>
      <c r="AR56" s="327">
        <f t="shared" si="46"/>
        <v>0</v>
      </c>
      <c r="AS56" s="327">
        <f t="shared" si="47"/>
        <v>0</v>
      </c>
      <c r="AT56" s="327"/>
      <c r="AU56" s="327"/>
      <c r="AV56" s="327"/>
      <c r="AW56" s="327"/>
      <c r="AX56" s="327"/>
      <c r="AY56" s="327"/>
      <c r="AZ56" s="327">
        <f t="shared" si="48"/>
        <v>13</v>
      </c>
      <c r="BA56" s="347"/>
      <c r="BB56" s="27">
        <v>8</v>
      </c>
      <c r="BC56" s="27" t="str">
        <f>VLOOKUP(B56,'[2]Bang luong_06'!$B$10:$C$333,2,0)</f>
        <v>Trương Thị Thảo Sương</v>
      </c>
      <c r="BE56" s="151" t="str">
        <f>VLOOKUP($B56,'[2]Bang luong_06'!$B$10:$C$333,2,0)</f>
        <v>Trương Thị Thảo Sương</v>
      </c>
      <c r="BF56" s="27" t="b">
        <f t="shared" si="49"/>
        <v>1</v>
      </c>
      <c r="BH56" s="332">
        <f>+VLOOKUP(B56,'[2]Thưởng Lễ 2-9'!$B$5:$G$294,6,0)</f>
        <v>0</v>
      </c>
      <c r="BI56" s="27" t="s">
        <v>618</v>
      </c>
      <c r="BK56" s="27" t="s">
        <v>618</v>
      </c>
      <c r="BN56" s="330">
        <v>-1</v>
      </c>
    </row>
    <row r="57" spans="1:66 1544:1544" ht="16.5" customHeight="1" x14ac:dyDescent="0.25">
      <c r="A57" s="88">
        <f t="shared" si="3"/>
        <v>38</v>
      </c>
      <c r="B57" s="333" t="s">
        <v>619</v>
      </c>
      <c r="C57" s="333" t="s">
        <v>620</v>
      </c>
      <c r="D57" s="334">
        <v>45063</v>
      </c>
      <c r="E57" s="323" t="s">
        <v>38</v>
      </c>
      <c r="F57" s="323" t="s">
        <v>38</v>
      </c>
      <c r="G57" s="323" t="s">
        <v>38</v>
      </c>
      <c r="H57" s="323" t="s">
        <v>38</v>
      </c>
      <c r="I57" s="323" t="s">
        <v>38</v>
      </c>
      <c r="J57" s="323" t="s">
        <v>38</v>
      </c>
      <c r="K57" s="323"/>
      <c r="L57" s="323" t="s">
        <v>38</v>
      </c>
      <c r="M57" s="323" t="s">
        <v>38</v>
      </c>
      <c r="N57" s="323" t="s">
        <v>38</v>
      </c>
      <c r="O57" s="323" t="s">
        <v>38</v>
      </c>
      <c r="P57" s="323" t="s">
        <v>38</v>
      </c>
      <c r="Q57" s="323" t="s">
        <v>38</v>
      </c>
      <c r="R57" s="323"/>
      <c r="S57" s="323" t="s">
        <v>38</v>
      </c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69">
        <f>VLOOKUP($B57,[1]NV!$B$9:$DL$219,114,0)</f>
        <v>5</v>
      </c>
      <c r="AK57" s="325">
        <f t="shared" si="27"/>
        <v>13</v>
      </c>
      <c r="AL57" s="325">
        <f t="shared" si="40"/>
        <v>0</v>
      </c>
      <c r="AM57" s="326">
        <f t="shared" si="41"/>
        <v>26</v>
      </c>
      <c r="AN57" s="327">
        <f t="shared" si="42"/>
        <v>13</v>
      </c>
      <c r="AO57" s="327">
        <f t="shared" si="43"/>
        <v>0</v>
      </c>
      <c r="AP57" s="327">
        <f t="shared" si="44"/>
        <v>0</v>
      </c>
      <c r="AQ57" s="327">
        <f t="shared" si="45"/>
        <v>0</v>
      </c>
      <c r="AR57" s="327">
        <f t="shared" si="46"/>
        <v>0</v>
      </c>
      <c r="AS57" s="327">
        <f t="shared" si="47"/>
        <v>0</v>
      </c>
      <c r="AT57" s="327"/>
      <c r="AU57" s="327"/>
      <c r="AV57" s="327"/>
      <c r="AW57" s="327"/>
      <c r="AX57" s="327"/>
      <c r="AY57" s="327"/>
      <c r="AZ57" s="327">
        <f t="shared" si="48"/>
        <v>13</v>
      </c>
      <c r="BA57" s="331"/>
      <c r="BB57" s="27">
        <v>8</v>
      </c>
      <c r="BC57" s="27" t="str">
        <f>VLOOKUP(B57,'[2]Bang luong_06'!$B$10:$C$333,2,0)</f>
        <v>Nguyễn Thị Thu Hiền</v>
      </c>
      <c r="BE57" s="151" t="str">
        <f>VLOOKUP($B57,'[2]Bang luong_06'!$B$10:$C$333,2,0)</f>
        <v>Nguyễn Thị Thu Hiền</v>
      </c>
      <c r="BF57" s="27" t="b">
        <f t="shared" si="49"/>
        <v>1</v>
      </c>
      <c r="BH57" s="332">
        <f>+VLOOKUP(B57,'[2]Thưởng Lễ 2-9'!$B$5:$G$294,6,0)</f>
        <v>0</v>
      </c>
      <c r="BI57" s="27" t="s">
        <v>621</v>
      </c>
      <c r="BK57" s="27" t="s">
        <v>620</v>
      </c>
      <c r="BN57" s="330">
        <v>1</v>
      </c>
    </row>
    <row r="58" spans="1:66 1544:1544" ht="21" customHeight="1" x14ac:dyDescent="0.25">
      <c r="A58" s="88">
        <f t="shared" si="3"/>
        <v>39</v>
      </c>
      <c r="B58" s="333" t="s">
        <v>622</v>
      </c>
      <c r="C58" s="333" t="s">
        <v>623</v>
      </c>
      <c r="D58" s="334">
        <v>43987</v>
      </c>
      <c r="E58" s="323" t="s">
        <v>38</v>
      </c>
      <c r="F58" s="323" t="s">
        <v>38</v>
      </c>
      <c r="G58" s="323" t="s">
        <v>38</v>
      </c>
      <c r="H58" s="323" t="s">
        <v>38</v>
      </c>
      <c r="I58" s="323" t="s">
        <v>38</v>
      </c>
      <c r="J58" s="323" t="s">
        <v>38</v>
      </c>
      <c r="K58" s="323"/>
      <c r="L58" s="323" t="s">
        <v>38</v>
      </c>
      <c r="M58" s="323" t="s">
        <v>38</v>
      </c>
      <c r="N58" s="323" t="s">
        <v>38</v>
      </c>
      <c r="O58" s="323" t="s">
        <v>38</v>
      </c>
      <c r="P58" s="323" t="s">
        <v>38</v>
      </c>
      <c r="Q58" s="323" t="s">
        <v>38</v>
      </c>
      <c r="R58" s="323"/>
      <c r="S58" s="323" t="s">
        <v>38</v>
      </c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69">
        <f>VLOOKUP($B58,[1]NV!$B$9:$DL$219,114,0)</f>
        <v>0</v>
      </c>
      <c r="AK58" s="325">
        <f t="shared" si="27"/>
        <v>13</v>
      </c>
      <c r="AL58" s="325">
        <f t="shared" si="40"/>
        <v>0</v>
      </c>
      <c r="AM58" s="326">
        <f t="shared" si="41"/>
        <v>26</v>
      </c>
      <c r="AN58" s="327">
        <f t="shared" si="42"/>
        <v>13</v>
      </c>
      <c r="AO58" s="327">
        <f t="shared" si="43"/>
        <v>0</v>
      </c>
      <c r="AP58" s="327">
        <f t="shared" si="44"/>
        <v>0</v>
      </c>
      <c r="AQ58" s="327">
        <f t="shared" si="45"/>
        <v>0</v>
      </c>
      <c r="AR58" s="327">
        <f t="shared" si="46"/>
        <v>0</v>
      </c>
      <c r="AS58" s="327">
        <f t="shared" si="47"/>
        <v>0</v>
      </c>
      <c r="AT58" s="327"/>
      <c r="AU58" s="327"/>
      <c r="AV58" s="327"/>
      <c r="AW58" s="327"/>
      <c r="AX58" s="327"/>
      <c r="AY58" s="327"/>
      <c r="AZ58" s="327">
        <f t="shared" si="48"/>
        <v>13</v>
      </c>
      <c r="BA58" s="331"/>
      <c r="BB58" s="27">
        <v>8</v>
      </c>
      <c r="BC58" s="27" t="str">
        <f>VLOOKUP(B58,'[2]Bang luong_06'!$B$10:$C$333,2,0)</f>
        <v>Từ Thanh Hậu</v>
      </c>
      <c r="BE58" s="151" t="str">
        <f>VLOOKUP($B58,'[2]Bang luong_06'!$B$10:$C$333,2,0)</f>
        <v>Từ Thanh Hậu</v>
      </c>
      <c r="BF58" s="27" t="b">
        <f t="shared" si="49"/>
        <v>1</v>
      </c>
      <c r="BH58" s="332">
        <f>+VLOOKUP(B58,'[2]Thưởng Lễ 2-9'!$B$5:$G$294,6,0)</f>
        <v>0</v>
      </c>
      <c r="BI58" s="27" t="s">
        <v>623</v>
      </c>
      <c r="BK58" s="27" t="s">
        <v>623</v>
      </c>
      <c r="BN58" s="330">
        <v>0</v>
      </c>
    </row>
    <row r="59" spans="1:66 1544:1544" ht="16.5" customHeight="1" x14ac:dyDescent="0.25">
      <c r="A59" s="88">
        <f t="shared" si="3"/>
        <v>40</v>
      </c>
      <c r="B59" s="333" t="s">
        <v>624</v>
      </c>
      <c r="C59" s="333" t="s">
        <v>625</v>
      </c>
      <c r="D59" s="334">
        <v>42644.689032442097</v>
      </c>
      <c r="E59" s="323" t="s">
        <v>38</v>
      </c>
      <c r="F59" s="323" t="s">
        <v>38</v>
      </c>
      <c r="G59" s="323" t="s">
        <v>38</v>
      </c>
      <c r="H59" s="323" t="s">
        <v>38</v>
      </c>
      <c r="I59" s="323" t="s">
        <v>38</v>
      </c>
      <c r="J59" s="323" t="s">
        <v>38</v>
      </c>
      <c r="K59" s="323"/>
      <c r="L59" s="323" t="s">
        <v>38</v>
      </c>
      <c r="M59" s="323" t="s">
        <v>38</v>
      </c>
      <c r="N59" s="323" t="s">
        <v>38</v>
      </c>
      <c r="O59" s="323" t="s">
        <v>38</v>
      </c>
      <c r="P59" s="323" t="s">
        <v>38</v>
      </c>
      <c r="Q59" s="323" t="s">
        <v>38</v>
      </c>
      <c r="R59" s="323"/>
      <c r="S59" s="323" t="s">
        <v>38</v>
      </c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69">
        <f>VLOOKUP($B59,[1]NV!$B$9:$DL$219,114,0)</f>
        <v>5</v>
      </c>
      <c r="AK59" s="325">
        <f t="shared" si="27"/>
        <v>13</v>
      </c>
      <c r="AL59" s="325">
        <f t="shared" si="40"/>
        <v>0</v>
      </c>
      <c r="AM59" s="326">
        <f t="shared" si="41"/>
        <v>26</v>
      </c>
      <c r="AN59" s="327">
        <f t="shared" si="42"/>
        <v>13</v>
      </c>
      <c r="AO59" s="327">
        <f t="shared" si="43"/>
        <v>0</v>
      </c>
      <c r="AP59" s="327">
        <f t="shared" si="44"/>
        <v>0</v>
      </c>
      <c r="AQ59" s="327">
        <f t="shared" si="45"/>
        <v>0</v>
      </c>
      <c r="AR59" s="327">
        <f t="shared" si="46"/>
        <v>0</v>
      </c>
      <c r="AS59" s="327">
        <f t="shared" si="47"/>
        <v>0</v>
      </c>
      <c r="AT59" s="327"/>
      <c r="AU59" s="327"/>
      <c r="AV59" s="327"/>
      <c r="AW59" s="327"/>
      <c r="AX59" s="327"/>
      <c r="AY59" s="327"/>
      <c r="AZ59" s="327">
        <f t="shared" si="48"/>
        <v>13</v>
      </c>
      <c r="BA59" s="331"/>
      <c r="BB59" s="27">
        <v>8</v>
      </c>
      <c r="BC59" s="27" t="str">
        <f>VLOOKUP(B59,'[2]Bang luong_06'!$B$10:$C$333,2,0)</f>
        <v>Hồ Thị Ngọc Trang</v>
      </c>
      <c r="BE59" s="151" t="str">
        <f>VLOOKUP($B59,'[2]Bang luong_06'!$B$10:$C$333,2,0)</f>
        <v>Hồ Thị Ngọc Trang</v>
      </c>
      <c r="BF59" s="27" t="b">
        <f t="shared" si="49"/>
        <v>1</v>
      </c>
      <c r="BH59" s="332">
        <f>+VLOOKUP(B59,'[2]Thưởng Lễ 2-9'!$B$5:$G$294,6,0)</f>
        <v>0</v>
      </c>
      <c r="BI59" s="27" t="s">
        <v>625</v>
      </c>
      <c r="BK59" s="27" t="s">
        <v>625</v>
      </c>
      <c r="BN59" s="330">
        <v>5</v>
      </c>
    </row>
    <row r="60" spans="1:66 1544:1544" ht="16.5" customHeight="1" x14ac:dyDescent="0.25">
      <c r="A60" s="88">
        <f t="shared" si="3"/>
        <v>41</v>
      </c>
      <c r="B60" s="333" t="s">
        <v>626</v>
      </c>
      <c r="C60" s="333" t="s">
        <v>627</v>
      </c>
      <c r="D60" s="334">
        <v>45380</v>
      </c>
      <c r="E60" s="323" t="s">
        <v>38</v>
      </c>
      <c r="F60" s="323" t="s">
        <v>38</v>
      </c>
      <c r="G60" s="323" t="s">
        <v>38</v>
      </c>
      <c r="H60" s="323" t="s">
        <v>38</v>
      </c>
      <c r="I60" s="323" t="s">
        <v>38</v>
      </c>
      <c r="J60" s="323" t="s">
        <v>38</v>
      </c>
      <c r="K60" s="323"/>
      <c r="L60" s="323" t="s">
        <v>38</v>
      </c>
      <c r="M60" s="323" t="s">
        <v>38</v>
      </c>
      <c r="N60" s="323" t="s">
        <v>38</v>
      </c>
      <c r="O60" s="323" t="s">
        <v>38</v>
      </c>
      <c r="P60" s="323" t="s">
        <v>38</v>
      </c>
      <c r="Q60" s="323" t="s">
        <v>38</v>
      </c>
      <c r="R60" s="323"/>
      <c r="S60" s="323" t="s">
        <v>38</v>
      </c>
      <c r="T60" s="323"/>
      <c r="U60" s="323"/>
      <c r="V60" s="323"/>
      <c r="W60" s="323"/>
      <c r="X60" s="323"/>
      <c r="Y60" s="323"/>
      <c r="Z60" s="323"/>
      <c r="AA60" s="323"/>
      <c r="AB60" s="323"/>
      <c r="AC60" s="323"/>
      <c r="AD60" s="323"/>
      <c r="AE60" s="323"/>
      <c r="AF60" s="323"/>
      <c r="AG60" s="323"/>
      <c r="AH60" s="323"/>
      <c r="AI60" s="323"/>
      <c r="AJ60" s="69">
        <f>VLOOKUP($B60,[1]NV!$B$9:$DL$219,114,0)</f>
        <v>4</v>
      </c>
      <c r="AK60" s="325">
        <f t="shared" si="27"/>
        <v>13</v>
      </c>
      <c r="AL60" s="325">
        <f t="shared" si="40"/>
        <v>0</v>
      </c>
      <c r="AM60" s="326">
        <f t="shared" si="41"/>
        <v>26</v>
      </c>
      <c r="AN60" s="327">
        <f t="shared" si="42"/>
        <v>13</v>
      </c>
      <c r="AO60" s="327">
        <f t="shared" si="43"/>
        <v>0</v>
      </c>
      <c r="AP60" s="327">
        <f t="shared" si="44"/>
        <v>0</v>
      </c>
      <c r="AQ60" s="327">
        <f t="shared" si="45"/>
        <v>0</v>
      </c>
      <c r="AR60" s="327">
        <f t="shared" si="46"/>
        <v>0</v>
      </c>
      <c r="AS60" s="327">
        <f t="shared" si="47"/>
        <v>0</v>
      </c>
      <c r="AT60" s="327"/>
      <c r="AU60" s="327"/>
      <c r="AV60" s="327"/>
      <c r="AW60" s="327"/>
      <c r="AX60" s="327"/>
      <c r="AY60" s="327"/>
      <c r="AZ60" s="327">
        <f t="shared" si="48"/>
        <v>13</v>
      </c>
      <c r="BA60" s="331"/>
      <c r="BB60" s="27">
        <v>8</v>
      </c>
      <c r="BC60" s="27" t="str">
        <f>VLOOKUP(B60,'[2]Bang luong_06'!$B$10:$C$333,2,0)</f>
        <v>Huỳnh Ngọc Tuấn</v>
      </c>
      <c r="BE60" s="151" t="str">
        <f>VLOOKUP($B60,'[2]Bang luong_06'!$B$10:$C$333,2,0)</f>
        <v>Huỳnh Ngọc Tuấn</v>
      </c>
      <c r="BF60" s="27" t="b">
        <f t="shared" si="49"/>
        <v>1</v>
      </c>
      <c r="BH60" s="332">
        <f>+VLOOKUP(B60,'[2]Thưởng Lễ 2-9'!$B$5:$G$294,6,0)</f>
        <v>0</v>
      </c>
      <c r="BI60" s="27" t="s">
        <v>627</v>
      </c>
      <c r="BK60" s="27" t="s">
        <v>627</v>
      </c>
      <c r="BN60" s="330">
        <v>3</v>
      </c>
    </row>
    <row r="61" spans="1:66 1544:1544" ht="16.5" customHeight="1" x14ac:dyDescent="0.25">
      <c r="A61" s="88">
        <f t="shared" si="3"/>
        <v>42</v>
      </c>
      <c r="B61" s="333" t="s">
        <v>628</v>
      </c>
      <c r="C61" s="333" t="s">
        <v>629</v>
      </c>
      <c r="D61" s="334">
        <v>39184</v>
      </c>
      <c r="E61" s="323" t="s">
        <v>38</v>
      </c>
      <c r="F61" s="323" t="s">
        <v>38</v>
      </c>
      <c r="G61" s="323" t="s">
        <v>38</v>
      </c>
      <c r="H61" s="323" t="s">
        <v>38</v>
      </c>
      <c r="I61" s="323" t="s">
        <v>38</v>
      </c>
      <c r="J61" s="323" t="s">
        <v>38</v>
      </c>
      <c r="K61" s="323"/>
      <c r="L61" s="323" t="s">
        <v>38</v>
      </c>
      <c r="M61" s="323" t="s">
        <v>38</v>
      </c>
      <c r="N61" s="323" t="s">
        <v>38</v>
      </c>
      <c r="O61" s="323" t="s">
        <v>38</v>
      </c>
      <c r="P61" s="323" t="s">
        <v>38</v>
      </c>
      <c r="Q61" s="323" t="s">
        <v>38</v>
      </c>
      <c r="R61" s="323"/>
      <c r="S61" s="323" t="s">
        <v>38</v>
      </c>
      <c r="T61" s="323"/>
      <c r="U61" s="323"/>
      <c r="V61" s="323"/>
      <c r="W61" s="323"/>
      <c r="X61" s="323"/>
      <c r="Y61" s="323"/>
      <c r="Z61" s="323"/>
      <c r="AA61" s="323"/>
      <c r="AB61" s="323"/>
      <c r="AC61" s="323"/>
      <c r="AD61" s="323"/>
      <c r="AE61" s="323"/>
      <c r="AF61" s="323"/>
      <c r="AG61" s="323"/>
      <c r="AH61" s="323"/>
      <c r="AI61" s="323"/>
      <c r="AJ61" s="69">
        <f>VLOOKUP($B61,[1]NV!$B$9:$DL$219,114,0)</f>
        <v>5</v>
      </c>
      <c r="AK61" s="325">
        <f>COUNTIF(E61:AI61,"H4")+COUNTIF(E61:AI61,"H")+COUNTIF(E61:AI61,"Bu")+COUNTIF(E61:AI61,"N")+COUNTIF(E61:AI61,"N1")*1/8+COUNTIF(E61:AI61,"N2")*2/8+COUNTIF(E61:AI61,"N3")*3/8+COUNTIF(E61:AI61,"N4")*4/8+COUNTIF(E61:AI61,"N5")*5/8+COUNTIF(E61:AI61,"N6")*6/8+COUNTIF(E61:AI61,"N7")*7/8+COUNTIF(E61:AI61,"N8")*8/8+COUNTIF(E61:AI61,"C")+COUNTIF(E61:AI61,"C1")+COUNTIF(E61:AI61,"C2")+COUNTIF(E61:AI61,"C2.9")+COUNTIF(E61:AI61,"C3")+COUNTIF(E61:AI61,"C3.8")+COUNTIF(E61:AI61,"C4")+COUNTIF(E61:AI61,"C4.0")+COUNTIF(E61:AI61,"C4.1")+COUNTIF(E61:AI61,"C4.4")+COUNTIF(E61:AI61,"C4.6")+COUNTIF(E61:AI61,"C4.9")+COUNTIF(E61:AI61,"C5")+COUNTIF(E61:AI61,"C6")+COUNTIF(E61:AI61,"C6.5")+COUNTIF(E61:AI61,"C6.0")+COUNTIF(E61:AI61,"C7")+COUNTIF(E61:AI61,"C7.6")+COUNTIF(E61:AI61,"C7.7")+COUNTIF(E61:AI61,"N6.4")*6.4/8+COUNTIF(E61:AI61,"Ro1")*1/8+COUNTIF(E61:AI61,"Ro2")*2/8+COUNTIF(E61:AI61,"Ro3")*3/8+COUNTIF(E61:AI61,"Ro4")*4/8+COUNTIF(E61:AI61,"Ro4.0")*4/8+COUNTIF(E61:AI61,"Ro5")*5/8+COUNTIF(E61:AI61,"Ro6")*6/8+COUNTIF(E61:AI61,"Ro6.5")*6.5/8+COUNTIF(E61:AI61,"Ro7")*7/8+COUNTIF(E61:AI61,"Ro7.3")*7.3/8+COUNTIF(E61:AI61,"Ro7.5")*7.5/8+COUNTIF(E61:AI61,"Ro7.8")*7.8/8+COUNTIF(E61:AI61,"Bu1")+COUNTIF(E61:AI61,"Bu2")+COUNTIF(E61:AI61,"Bu3")+COUNTIF(E61:AI61,"Bu4")+COUNTIF(E61:AI61,"Bu5")+COUNTIF(E61:AI61,"Bu6")+COUNTIF(E61:AI61,"Bu7")+COUNTIF(E61:AI61,"P2")*4/8</f>
        <v>13</v>
      </c>
      <c r="AL61" s="325">
        <f>COUNTIF(E80:AI80,"D")+COUNTIF(E80:AI80,"D1")*1/BB80+COUNTIF(E80:AI80,"D2")*2/BB80+COUNTIF(E80:AI80,"D3")*3/BB80+COUNTIF(E80:AI80,"D4")*4/BB80+COUNTIF(E80:AI80,"D5")*5/BB80+COUNTIF(E80:AI80,"D6")*6/BB80+COUNTIF(E80:AI80,"D7")*7/BB80+COUNTIF(E80:AI80,"D8")*8/BB80</f>
        <v>0</v>
      </c>
      <c r="AM61" s="326">
        <f t="shared" si="41"/>
        <v>26</v>
      </c>
      <c r="AN61" s="327">
        <f>AK61+AL61</f>
        <v>13</v>
      </c>
      <c r="AO61" s="327">
        <f t="shared" si="43"/>
        <v>0</v>
      </c>
      <c r="AP61" s="327">
        <f t="shared" si="44"/>
        <v>0</v>
      </c>
      <c r="AQ61" s="327">
        <f t="shared" si="45"/>
        <v>0</v>
      </c>
      <c r="AR61" s="327">
        <f t="shared" si="46"/>
        <v>0</v>
      </c>
      <c r="AS61" s="327">
        <f t="shared" si="47"/>
        <v>0</v>
      </c>
      <c r="AT61" s="327"/>
      <c r="AU61" s="327"/>
      <c r="AV61" s="327"/>
      <c r="AW61" s="327"/>
      <c r="AX61" s="327"/>
      <c r="AY61" s="327"/>
      <c r="AZ61" s="327">
        <f t="shared" si="48"/>
        <v>13</v>
      </c>
      <c r="BA61" s="331"/>
      <c r="BB61" s="27">
        <v>8</v>
      </c>
      <c r="BC61" s="27" t="str">
        <f>VLOOKUP(B61,'[2]Bang luong_06'!$B$10:$C$333,2,0)</f>
        <v>Phạm Văn Trọng</v>
      </c>
      <c r="BE61" s="151" t="str">
        <f>VLOOKUP($B61,'[2]Bang luong_06'!$B$10:$C$333,2,0)</f>
        <v>Phạm Văn Trọng</v>
      </c>
      <c r="BF61" s="27" t="b">
        <f t="shared" si="49"/>
        <v>1</v>
      </c>
      <c r="BH61" s="332">
        <f>+VLOOKUP(B61,'[2]Thưởng Lễ 2-9'!$B$5:$G$294,6,0)</f>
        <v>0</v>
      </c>
      <c r="BI61" s="27" t="s">
        <v>629</v>
      </c>
      <c r="BK61" s="27" t="s">
        <v>629</v>
      </c>
      <c r="BN61" s="330">
        <v>16</v>
      </c>
    </row>
    <row r="62" spans="1:66 1544:1544" ht="16.5" customHeight="1" x14ac:dyDescent="0.25">
      <c r="A62" s="88">
        <f t="shared" si="3"/>
        <v>43</v>
      </c>
      <c r="B62" s="333" t="s">
        <v>630</v>
      </c>
      <c r="C62" s="333" t="s">
        <v>631</v>
      </c>
      <c r="D62" s="348">
        <v>45474</v>
      </c>
      <c r="E62" s="323" t="s">
        <v>38</v>
      </c>
      <c r="F62" s="323" t="s">
        <v>38</v>
      </c>
      <c r="G62" s="323" t="s">
        <v>38</v>
      </c>
      <c r="H62" s="323" t="s">
        <v>38</v>
      </c>
      <c r="I62" s="323" t="s">
        <v>38</v>
      </c>
      <c r="J62" s="323" t="s">
        <v>38</v>
      </c>
      <c r="K62" s="323"/>
      <c r="L62" s="323" t="s">
        <v>38</v>
      </c>
      <c r="M62" s="323" t="s">
        <v>38</v>
      </c>
      <c r="N62" s="323" t="s">
        <v>38</v>
      </c>
      <c r="O62" s="323" t="s">
        <v>38</v>
      </c>
      <c r="P62" s="323" t="s">
        <v>38</v>
      </c>
      <c r="Q62" s="323" t="s">
        <v>38</v>
      </c>
      <c r="R62" s="323"/>
      <c r="S62" s="323" t="s">
        <v>38</v>
      </c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323"/>
      <c r="AE62" s="323"/>
      <c r="AF62" s="323"/>
      <c r="AG62" s="323"/>
      <c r="AH62" s="323"/>
      <c r="AI62" s="323"/>
      <c r="AJ62" s="69">
        <f>VLOOKUP($B62,[1]NV!$B$9:$DL$219,114,0)</f>
        <v>3</v>
      </c>
      <c r="AK62" s="325">
        <f t="shared" si="27"/>
        <v>13</v>
      </c>
      <c r="AL62" s="325">
        <f>COUNTIF(E62:AI62,"D")+COUNTIF(E62:AI62,"D1")*1/BB62+COUNTIF(E62:AI62,"D2")*2/BB62+COUNTIF(E62:AI62,"D3")*3/BB62+COUNTIF(E62:AI62,"D4")*4/BB62+COUNTIF(E62:AI62,"D5")*5/BB62+COUNTIF(E62:AI62,"D6")*6/BB62+COUNTIF(E62:AI62,"D7")*7/BB62+COUNTIF(E62:AI62,"D8")*8/BB62</f>
        <v>0</v>
      </c>
      <c r="AM62" s="326">
        <f t="shared" si="41"/>
        <v>26</v>
      </c>
      <c r="AN62" s="327">
        <f t="shared" si="42"/>
        <v>13</v>
      </c>
      <c r="AO62" s="327">
        <f t="shared" si="43"/>
        <v>0</v>
      </c>
      <c r="AP62" s="327">
        <f t="shared" si="44"/>
        <v>0</v>
      </c>
      <c r="AQ62" s="327">
        <f t="shared" si="45"/>
        <v>0</v>
      </c>
      <c r="AR62" s="327">
        <f t="shared" si="46"/>
        <v>0</v>
      </c>
      <c r="AS62" s="327">
        <f t="shared" si="47"/>
        <v>0</v>
      </c>
      <c r="AT62" s="327"/>
      <c r="AU62" s="327"/>
      <c r="AV62" s="327"/>
      <c r="AW62" s="327"/>
      <c r="AX62" s="327"/>
      <c r="AY62" s="327"/>
      <c r="AZ62" s="327">
        <f t="shared" si="48"/>
        <v>13</v>
      </c>
      <c r="BA62" s="331"/>
      <c r="BB62" s="27">
        <v>8</v>
      </c>
      <c r="BC62" s="27" t="str">
        <f>VLOOKUP(B62,'[2]Bang luong_06'!$B$10:$C$333,2,0)</f>
        <v>Nguyễn Thị Trúc Huy</v>
      </c>
      <c r="BE62" s="151" t="str">
        <f>VLOOKUP($B62,'[2]Bang luong_06'!$B$10:$C$333,2,0)</f>
        <v>Nguyễn Thị Trúc Huy</v>
      </c>
      <c r="BF62" s="27" t="b">
        <f>BE62=C62</f>
        <v>1</v>
      </c>
      <c r="BH62" s="332">
        <f>+VLOOKUP(B62,'[2]Thưởng Lễ 2-9'!$B$5:$G$294,6,0)</f>
        <v>0</v>
      </c>
      <c r="BI62" s="27" t="s">
        <v>631</v>
      </c>
      <c r="BK62" s="27" t="s">
        <v>631</v>
      </c>
      <c r="BN62" s="330">
        <v>4</v>
      </c>
    </row>
    <row r="63" spans="1:66 1544:1544" ht="16.5" customHeight="1" x14ac:dyDescent="0.25">
      <c r="A63" s="88">
        <f t="shared" si="3"/>
        <v>44</v>
      </c>
      <c r="B63" s="333" t="s">
        <v>632</v>
      </c>
      <c r="C63" s="333" t="s">
        <v>633</v>
      </c>
      <c r="D63" s="348">
        <v>45726</v>
      </c>
      <c r="E63" s="323" t="s">
        <v>38</v>
      </c>
      <c r="F63" s="323" t="s">
        <v>38</v>
      </c>
      <c r="G63" s="323" t="s">
        <v>38</v>
      </c>
      <c r="H63" s="323" t="s">
        <v>38</v>
      </c>
      <c r="I63" s="323" t="s">
        <v>38</v>
      </c>
      <c r="J63" s="323" t="s">
        <v>38</v>
      </c>
      <c r="K63" s="323"/>
      <c r="L63" s="323" t="s">
        <v>516</v>
      </c>
      <c r="M63" s="323" t="s">
        <v>516</v>
      </c>
      <c r="N63" s="323" t="s">
        <v>38</v>
      </c>
      <c r="O63" s="323" t="s">
        <v>38</v>
      </c>
      <c r="P63" s="323" t="s">
        <v>38</v>
      </c>
      <c r="Q63" s="323" t="s">
        <v>38</v>
      </c>
      <c r="R63" s="323"/>
      <c r="S63" s="323" t="s">
        <v>38</v>
      </c>
      <c r="T63" s="323"/>
      <c r="U63" s="323"/>
      <c r="V63" s="323"/>
      <c r="W63" s="323"/>
      <c r="X63" s="323"/>
      <c r="Y63" s="323"/>
      <c r="Z63" s="323"/>
      <c r="AA63" s="323"/>
      <c r="AB63" s="323"/>
      <c r="AC63" s="323"/>
      <c r="AD63" s="323"/>
      <c r="AE63" s="323"/>
      <c r="AF63" s="323"/>
      <c r="AG63" s="323"/>
      <c r="AH63" s="323"/>
      <c r="AI63" s="323"/>
      <c r="AJ63" s="69">
        <f>VLOOKUP($B63,[1]NV!$B$9:$DL$219,114,0)</f>
        <v>0</v>
      </c>
      <c r="AK63" s="325">
        <f>COUNTIF(E63:AI63,"H4")+COUNTIF(E63:AI63,"H")+COUNTIF(E63:AI63,"Bu")+COUNTIF(E63:AI63,"N")+COUNTIF(E63:AI63,"N1")*1/8+COUNTIF(E63:AI63,"N2")*2/8+COUNTIF(E63:AI63,"N3")*3/8+COUNTIF(E63:AI63,"N4")*4/8+COUNTIF(E63:AI63,"N5")*5/8+COUNTIF(E63:AI63,"N6")*6/8+COUNTIF(E63:AI63,"N7")*7/8+COUNTIF(E63:AI63,"N8")*8/8+COUNTIF(E63:AI63,"C")+COUNTIF(E63:AI63,"C1")+COUNTIF(E63:AI63,"C2")+COUNTIF(E63:AI63,"C2.9")+COUNTIF(E63:AI63,"C3")+COUNTIF(E63:AI63,"C3.8")+COUNTIF(E63:AI63,"C4")+COUNTIF(E63:AI63,"C4.0")+COUNTIF(E63:AI63,"C4.1")+COUNTIF(E63:AI63,"C4.4")+COUNTIF(E63:AI63,"C4.6")+COUNTIF(E63:AI63,"C4.9")+COUNTIF(E63:AI63,"C5")+COUNTIF(E63:AI63,"C6")+COUNTIF(E63:AI63,"C6.5")+COUNTIF(E63:AI63,"C6.0")+COUNTIF(E63:AI63,"C7")+COUNTIF(E63:AI63,"C7.6")+COUNTIF(E63:AI63,"C7.7")+COUNTIF(E63:AI63,"N6.4")*6.4/8+COUNTIF(E63:AI63,"Ro1")*1/8+COUNTIF(E63:AI63,"Ro2")*2/8+COUNTIF(E63:AI63,"Ro3")*3/8+COUNTIF(E63:AI63,"Ro4")*4/8+COUNTIF(E63:AI63,"Ro4.0")*4/8+COUNTIF(E63:AI63,"Ro5")*5/8+COUNTIF(E63:AI63,"Ro6")*6/8+COUNTIF(E63:AI63,"Ro6.5")*6.5/8+COUNTIF(E63:AI63,"Ro7")*7/8+COUNTIF(E63:AI63,"Ro7.3")*7.3/8+COUNTIF(E63:AI63,"Ro7.5")*7.5/8+COUNTIF(E63:AI63,"Ro7.8")*7.8/8+COUNTIF(E63:AI63,"Bu1")+COUNTIF(E63:AI63,"Bu2")+COUNTIF(E63:AI63,"Bu3")+COUNTIF(E63:AI63,"Bu4")+COUNTIF(E63:AI63,"Bu5")+COUNTIF(E63:AI63,"Bu6")+COUNTIF(E63:AI63,"Bu7")+COUNTIF(E63:AI63,"P2")*4/8</f>
        <v>12</v>
      </c>
      <c r="AL63" s="325">
        <f>COUNTIF(E63:AI63,"D")+COUNTIF(E63:AI63,"D1")*1/BB63+COUNTIF(E63:AI63,"D2")*2/BB63+COUNTIF(E63:AI63,"D3")*3/BB63+COUNTIF(E63:AI63,"D4")*4/BB63+COUNTIF(E63:AI63,"D5")*5/BB63+COUNTIF(E63:AI63,"D6")*6/BB63+COUNTIF(E63:AI63,"D7")*7/BB63+COUNTIF(E63:AI63,"D8")*8/BB63</f>
        <v>0</v>
      </c>
      <c r="AM63" s="326">
        <f t="shared" si="41"/>
        <v>26</v>
      </c>
      <c r="AN63" s="327">
        <f>AK63+AL63</f>
        <v>12</v>
      </c>
      <c r="AO63" s="327">
        <f>COUNTIF(E63:AI63,"p")+COUNTIF(E63:AI63,"P2")/2+COUNTIF(E63:AI63,"P1")/2</f>
        <v>1</v>
      </c>
      <c r="AP63" s="327">
        <f>COUNTIF(E63:AI63,"k")</f>
        <v>0</v>
      </c>
      <c r="AQ63" s="327">
        <f>COUNTIF(E63:AI63,"KL")+COUNTIF(E63:AI63,"O")+COUNTIF(E63:AI63,"O/")/2+COUNTIF(E63:AI63,"TN")+COUNTIF(E63:AI63,"4P4KL")/2+COUNTIF(E63:AI63,"P1")*0.5+COUNTIF(E63:AI63,"Ro")+COUNTIF(E63:AI63,"Ro1")*7/8+COUNTIF(E63:AI63,"Ro2")*6/8+COUNTIF(E63:AI63,"Ro3")*5/8+COUNTIF(E63:AI63,"Ro4")*4/8+COUNTIF(E63:AI63,"Ro4.0")*4/8+COUNTIF(E63:AI63,"Ro5")*3/8+COUNTIF(E63:AI63,"Ro6")*2/8+COUNTIF(E63:AI63,"Ro6.5")*1.5/8+COUNTIF(E63:AI63,"Ro7")*1/8+COUNTIF(E63:AI63,"Ro7.3")*0.7/8+COUNTIF(E63:AI63,"Ro7.5")*0.5/8+COUNTIF(E63:AI63,"Ro7.8")*0.2/8+COUNTIF(E63:AI63,"N7")*1/8+COUNTIF(E63:AI63,"N6")*2/8+COUNTIF(E63:AI63,"N5")*3/8+COUNTIF(E63:AI63,"N4")*4/8+COUNTIF(E63:AI63,"N3")*5/8+COUNTIF(E63:AI63,"N2")*6/8+COUNTIF(E63:AI63,"N1")*7/8</f>
        <v>0</v>
      </c>
      <c r="AR63" s="327">
        <f>COUNTIF(E63:AI63,"*R")</f>
        <v>0</v>
      </c>
      <c r="AS63" s="327">
        <f>COUNTIF(E63:AI63,"L")*1+COUNTIF(E63:AI63,"0.5L")*0.5</f>
        <v>0</v>
      </c>
      <c r="AT63" s="327"/>
      <c r="AU63" s="327"/>
      <c r="AV63" s="327"/>
      <c r="AW63" s="327"/>
      <c r="AX63" s="327"/>
      <c r="AY63" s="327"/>
      <c r="AZ63" s="327">
        <f>AN63+AO63+AS63+AR63</f>
        <v>13</v>
      </c>
      <c r="BA63" s="331"/>
      <c r="BB63" s="27">
        <v>8</v>
      </c>
      <c r="BC63" s="27" t="str">
        <f>VLOOKUP(B63,'[2]Bang luong_06'!$B$10:$C$333,2,0)</f>
        <v>Nguyễn Cẩm Trúc</v>
      </c>
      <c r="BE63" s="151" t="str">
        <f>VLOOKUP($B63,'[2]Bang luong_06'!$B$10:$C$333,2,0)</f>
        <v>Nguyễn Cẩm Trúc</v>
      </c>
      <c r="BF63" s="27" t="b">
        <f>BE63=C63</f>
        <v>1</v>
      </c>
      <c r="BH63" s="332" t="e">
        <f>+VLOOKUP(B63,'[2]Thưởng Lễ 2-9'!$B$5:$G$294,6,0)</f>
        <v>#N/A</v>
      </c>
      <c r="BI63" s="27" t="s">
        <v>631</v>
      </c>
      <c r="BK63" s="27" t="s">
        <v>631</v>
      </c>
      <c r="BN63" s="330">
        <v>4</v>
      </c>
    </row>
    <row r="64" spans="1:66 1544:1544" ht="16.5" customHeight="1" outlineLevel="1" x14ac:dyDescent="0.25">
      <c r="A64" s="88" t="str">
        <f t="shared" si="3"/>
        <v/>
      </c>
      <c r="B64" s="317"/>
      <c r="C64" s="317" t="s">
        <v>634</v>
      </c>
      <c r="D64" s="313">
        <f>COUNTA(A65:A69)</f>
        <v>5</v>
      </c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8"/>
      <c r="AK64" s="317"/>
      <c r="AL64" s="317"/>
      <c r="AM64" s="317"/>
      <c r="AN64" s="317"/>
      <c r="AO64" s="317"/>
      <c r="AP64" s="317"/>
      <c r="AQ64" s="317"/>
      <c r="AR64" s="317"/>
      <c r="AS64" s="317"/>
      <c r="AT64" s="317"/>
      <c r="AU64" s="317"/>
      <c r="AV64" s="317"/>
      <c r="AW64" s="317"/>
      <c r="AX64" s="317"/>
      <c r="AY64" s="317"/>
      <c r="AZ64" s="317"/>
      <c r="BA64" s="317"/>
      <c r="BE64" s="151"/>
      <c r="BI64" s="27" t="e">
        <v>#N/A</v>
      </c>
      <c r="BN64" s="337">
        <v>0</v>
      </c>
    </row>
    <row r="65" spans="1:66 1544:1544" ht="16.5" customHeight="1" outlineLevel="1" x14ac:dyDescent="0.25">
      <c r="A65" s="88">
        <f t="shared" si="3"/>
        <v>45</v>
      </c>
      <c r="B65" s="333" t="s">
        <v>635</v>
      </c>
      <c r="C65" s="333" t="s">
        <v>636</v>
      </c>
      <c r="D65" s="334">
        <v>42149</v>
      </c>
      <c r="E65" s="323" t="s">
        <v>38</v>
      </c>
      <c r="F65" s="323" t="s">
        <v>38</v>
      </c>
      <c r="G65" s="323" t="s">
        <v>38</v>
      </c>
      <c r="H65" s="323" t="s">
        <v>38</v>
      </c>
      <c r="I65" s="323" t="s">
        <v>38</v>
      </c>
      <c r="J65" s="323" t="s">
        <v>38</v>
      </c>
      <c r="K65" s="323"/>
      <c r="L65" s="323" t="s">
        <v>38</v>
      </c>
      <c r="M65" s="323" t="s">
        <v>38</v>
      </c>
      <c r="N65" s="323" t="s">
        <v>38</v>
      </c>
      <c r="O65" s="323" t="s">
        <v>38</v>
      </c>
      <c r="P65" s="323" t="s">
        <v>38</v>
      </c>
      <c r="Q65" s="323" t="s">
        <v>38</v>
      </c>
      <c r="R65" s="323"/>
      <c r="S65" s="323" t="s">
        <v>107</v>
      </c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69">
        <f>VLOOKUP($B65,[1]NV!$B$9:$DL$219,114,0)</f>
        <v>3</v>
      </c>
      <c r="AK65" s="325">
        <f t="shared" si="27"/>
        <v>12</v>
      </c>
      <c r="AL65" s="325">
        <f>COUNTIF(E65:AI65,"D")+COUNTIF(E65:AI65,"D1")*1/BB65+COUNTIF(E65:AI65,"D2")*2/BB65+COUNTIF(E65:AI65,"D3")*3/BB65+COUNTIF(E65:AI65,"D4")*4/BB65+COUNTIF(E65:AI65,"D5")*5/BB65+COUNTIF(E65:AI65,"D6")*6/BB65+COUNTIF(E65:AI65,"D7")*7/BB65+COUNTIF(E65:AI65,"D8")*8/BB65</f>
        <v>0</v>
      </c>
      <c r="AM65" s="326">
        <f t="shared" ref="AM65:AM69" si="50">+$AH$10-$E$10+1-INT(($AH$10-$E$10-WEEKDAY($AH$10)+8)/7)</f>
        <v>26</v>
      </c>
      <c r="AN65" s="327">
        <f>AK65+AL65</f>
        <v>12</v>
      </c>
      <c r="AO65" s="327">
        <f>COUNTIF(E65:AI65,"p")+COUNTIF(E65:AI65,"P2")/2+COUNTIF(E65:AI65,"P1")/2</f>
        <v>1</v>
      </c>
      <c r="AP65" s="327">
        <f>COUNTIF(E65:AI65,"k")</f>
        <v>0</v>
      </c>
      <c r="AQ65" s="327">
        <f>COUNTIF(E65:AI65,"KL")+COUNTIF(E65:AI65,"O")+COUNTIF(E65:AI65,"O/")/2+COUNTIF(E65:AI65,"TN")+COUNTIF(E65:AI65,"4P4KL")/2+COUNTIF(E65:AI65,"P1")*0.5+COUNTIF(E65:AI65,"Ro")+COUNTIF(E65:AI65,"Ro1")*7/8+COUNTIF(E65:AI65,"Ro2")*6/8+COUNTIF(E65:AI65,"Ro3")*5/8+COUNTIF(E65:AI65,"Ro4")*4/8+COUNTIF(E65:AI65,"Ro4.0")*4/8+COUNTIF(E65:AI65,"Ro5")*3/8+COUNTIF(E65:AI65,"Ro6")*2/8+COUNTIF(E65:AI65,"Ro6.5")*1.5/8+COUNTIF(E65:AI65,"Ro7")*1/8+COUNTIF(E65:AI65,"Ro7.3")*0.7/8+COUNTIF(E65:AI65,"Ro7.5")*0.5/8+COUNTIF(E65:AI65,"Ro7.8")*0.2/8+COUNTIF(E65:AI65,"N7")*1/8+COUNTIF(E65:AI65,"N6")*2/8+COUNTIF(E65:AI65,"N5")*3/8+COUNTIF(E65:AI65,"N4")*4/8+COUNTIF(E65:AI65,"N3")*5/8+COUNTIF(E65:AI65,"N2")*6/8+COUNTIF(E65:AI65,"N1")*7/8</f>
        <v>0</v>
      </c>
      <c r="AR65" s="327">
        <f>COUNTIF(E65:AI65,"*R")</f>
        <v>0</v>
      </c>
      <c r="AS65" s="327">
        <f>COUNTIF(E65:AI65,"L")*1+COUNTIF(E65:AI65,"0.5L")*0.5</f>
        <v>0</v>
      </c>
      <c r="AT65" s="327"/>
      <c r="AU65" s="327"/>
      <c r="AV65" s="327"/>
      <c r="AW65" s="327"/>
      <c r="AX65" s="327"/>
      <c r="AY65" s="327"/>
      <c r="AZ65" s="327">
        <f>AN65+AO65+AS65+AR65</f>
        <v>13</v>
      </c>
      <c r="BA65" s="331"/>
      <c r="BB65" s="27">
        <v>8</v>
      </c>
      <c r="BC65" s="27" t="str">
        <f>VLOOKUP(B65,'[2]Bang luong_06'!$B$10:$C$333,2,0)</f>
        <v>Hồ Trọng Hùng</v>
      </c>
      <c r="BE65" s="151" t="str">
        <f>VLOOKUP($B65,'[2]Bang luong_06'!$B$10:$C$333,2,0)</f>
        <v>Hồ Trọng Hùng</v>
      </c>
      <c r="BF65" s="27" t="b">
        <f>BE65=C65</f>
        <v>1</v>
      </c>
      <c r="BH65" s="332">
        <f>+VLOOKUP(B65,'[2]Thưởng Lễ 2-9'!$B$5:$G$294,6,0)</f>
        <v>0</v>
      </c>
      <c r="BI65" s="27" t="s">
        <v>636</v>
      </c>
      <c r="BK65" s="27" t="s">
        <v>636</v>
      </c>
      <c r="BN65" s="330">
        <v>6.5</v>
      </c>
    </row>
    <row r="66" spans="1:66 1544:1544" ht="16.5" customHeight="1" outlineLevel="1" x14ac:dyDescent="0.25">
      <c r="A66" s="88">
        <f t="shared" si="3"/>
        <v>46</v>
      </c>
      <c r="B66" s="333" t="s">
        <v>637</v>
      </c>
      <c r="C66" s="333" t="s">
        <v>638</v>
      </c>
      <c r="D66" s="334">
        <v>45357</v>
      </c>
      <c r="E66" s="323" t="s">
        <v>38</v>
      </c>
      <c r="F66" s="323" t="s">
        <v>38</v>
      </c>
      <c r="G66" s="323" t="s">
        <v>38</v>
      </c>
      <c r="H66" s="323" t="s">
        <v>38</v>
      </c>
      <c r="I66" s="323" t="s">
        <v>38</v>
      </c>
      <c r="J66" s="323" t="s">
        <v>38</v>
      </c>
      <c r="K66" s="323"/>
      <c r="L66" s="323" t="s">
        <v>38</v>
      </c>
      <c r="M66" s="323" t="s">
        <v>38</v>
      </c>
      <c r="N66" s="323" t="s">
        <v>38</v>
      </c>
      <c r="O66" s="323" t="s">
        <v>38</v>
      </c>
      <c r="P66" s="323" t="s">
        <v>38</v>
      </c>
      <c r="Q66" s="323" t="s">
        <v>38</v>
      </c>
      <c r="R66" s="323"/>
      <c r="S66" s="323" t="s">
        <v>38</v>
      </c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323"/>
      <c r="AJ66" s="69">
        <f>VLOOKUP($B66,[1]NV!$B$9:$DL$219,114,0)</f>
        <v>3</v>
      </c>
      <c r="AK66" s="325">
        <f t="shared" si="27"/>
        <v>13</v>
      </c>
      <c r="AL66" s="325">
        <f>COUNTIF(E66:AI66,"D")+COUNTIF(E66:AI66,"D1")*1/BB66+COUNTIF(E66:AI66,"D2")*2/BB66+COUNTIF(E66:AI66,"D3")*3/BB66+COUNTIF(E66:AI66,"D4")*4/BB66+COUNTIF(E66:AI66,"D5")*5/BB66+COUNTIF(E66:AI66,"D6")*6/BB66+COUNTIF(E66:AI66,"D7")*7/BB66+COUNTIF(E66:AI66,"D8")*8/BB66</f>
        <v>0</v>
      </c>
      <c r="AM66" s="326">
        <f t="shared" si="50"/>
        <v>26</v>
      </c>
      <c r="AN66" s="327">
        <f>AK66+AL66</f>
        <v>13</v>
      </c>
      <c r="AO66" s="327">
        <f>COUNTIF(E66:AI66,"p")+COUNTIF(E66:AI66,"P2")/2+COUNTIF(E66:AI66,"P1")/2</f>
        <v>0</v>
      </c>
      <c r="AP66" s="327">
        <f>COUNTIF(E66:AI66,"k")</f>
        <v>0</v>
      </c>
      <c r="AQ66" s="327">
        <f>COUNTIF(E66:AI66,"KL")+COUNTIF(E66:AI66,"O")+COUNTIF(E66:AI66,"O/")/2+COUNTIF(E66:AI66,"TN")+COUNTIF(E66:AI66,"4P4KL")/2+COUNTIF(E66:AI66,"P1")*0.5+COUNTIF(E66:AI66,"Ro")+COUNTIF(E66:AI66,"Ro1")*7/8+COUNTIF(E66:AI66,"Ro2")*6/8+COUNTIF(E66:AI66,"Ro3")*5/8+COUNTIF(E66:AI66,"Ro4")*4/8+COUNTIF(E66:AI66,"Ro4.0")*4/8+COUNTIF(E66:AI66,"Ro5")*3/8+COUNTIF(E66:AI66,"Ro6")*2/8+COUNTIF(E66:AI66,"Ro6.5")*1.5/8+COUNTIF(E66:AI66,"Ro7")*1/8+COUNTIF(E66:AI66,"Ro7.3")*0.7/8+COUNTIF(E66:AI66,"Ro7.5")*0.5/8+COUNTIF(E66:AI66,"Ro7.8")*0.2/8+COUNTIF(E66:AI66,"N7")*1/8+COUNTIF(E66:AI66,"N6")*2/8+COUNTIF(E66:AI66,"N5")*3/8+COUNTIF(E66:AI66,"N4")*4/8+COUNTIF(E66:AI66,"N3")*5/8+COUNTIF(E66:AI66,"N2")*6/8+COUNTIF(E66:AI66,"N1")*7/8</f>
        <v>0</v>
      </c>
      <c r="AR66" s="327">
        <f>COUNTIF(E66:AI66,"*R")</f>
        <v>0</v>
      </c>
      <c r="AS66" s="327">
        <f>COUNTIF(E66:AI66,"L")*1+COUNTIF(E66:AI66,"0.5L")*0.5</f>
        <v>0</v>
      </c>
      <c r="AT66" s="327"/>
      <c r="AU66" s="327"/>
      <c r="AV66" s="327"/>
      <c r="AW66" s="327"/>
      <c r="AX66" s="327"/>
      <c r="AY66" s="327"/>
      <c r="AZ66" s="327">
        <f>AN66+AO66+AS66+AR66</f>
        <v>13</v>
      </c>
      <c r="BA66" s="331"/>
      <c r="BB66" s="27">
        <v>8</v>
      </c>
      <c r="BC66" s="27" t="str">
        <f>VLOOKUP(B66,'[2]Bang luong_06'!$B$10:$C$333,2,0)</f>
        <v>Bùi Võ Thanh Ngân</v>
      </c>
      <c r="BE66" s="151" t="str">
        <f>VLOOKUP($B66,'[2]Bang luong_06'!$B$10:$C$333,2,0)</f>
        <v>Bùi Võ Thanh Ngân</v>
      </c>
      <c r="BF66" s="27" t="b">
        <f>BE66=C66</f>
        <v>1</v>
      </c>
      <c r="BH66" s="332">
        <f>+VLOOKUP(B66,'[2]Thưởng Lễ 2-9'!$B$5:$G$294,6,0)</f>
        <v>0</v>
      </c>
      <c r="BI66" s="27" t="s">
        <v>638</v>
      </c>
      <c r="BK66" s="27" t="s">
        <v>638</v>
      </c>
      <c r="BN66" s="330">
        <v>4</v>
      </c>
    </row>
    <row r="67" spans="1:66 1544:1544" ht="16.5" customHeight="1" outlineLevel="1" x14ac:dyDescent="0.25">
      <c r="A67" s="88">
        <f t="shared" si="3"/>
        <v>47</v>
      </c>
      <c r="B67" s="333" t="s">
        <v>639</v>
      </c>
      <c r="C67" s="333" t="s">
        <v>640</v>
      </c>
      <c r="D67" s="334">
        <v>45996</v>
      </c>
      <c r="E67" s="323" t="s">
        <v>38</v>
      </c>
      <c r="F67" s="323" t="s">
        <v>38</v>
      </c>
      <c r="G67" s="323" t="s">
        <v>38</v>
      </c>
      <c r="H67" s="323" t="s">
        <v>38</v>
      </c>
      <c r="I67" s="323" t="s">
        <v>38</v>
      </c>
      <c r="J67" s="323" t="s">
        <v>38</v>
      </c>
      <c r="K67" s="323"/>
      <c r="L67" s="323" t="s">
        <v>38</v>
      </c>
      <c r="M67" s="323" t="s">
        <v>38</v>
      </c>
      <c r="N67" s="323" t="s">
        <v>38</v>
      </c>
      <c r="O67" s="323" t="s">
        <v>38</v>
      </c>
      <c r="P67" s="323" t="s">
        <v>38</v>
      </c>
      <c r="Q67" s="323" t="s">
        <v>38</v>
      </c>
      <c r="R67" s="323"/>
      <c r="S67" s="323" t="s">
        <v>38</v>
      </c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69">
        <f>VLOOKUP($B67,[1]NV!$B$9:$DL$219,114,0)</f>
        <v>2.5</v>
      </c>
      <c r="AK67" s="325">
        <f>COUNTIF(E67:AI67,"H4")+COUNTIF(E67:AI67,"H")+COUNTIF(E67:AI67,"Bu")+COUNTIF(E67:AI67,"N")+COUNTIF(E67:AI67,"N1")*1/8+COUNTIF(E67:AI67,"N2")*2/8+COUNTIF(E67:AI67,"N3")*3/8+COUNTIF(E67:AI67,"N4")*4/8+COUNTIF(E67:AI67,"N5")*5/8+COUNTIF(E67:AI67,"N6")*6/8+COUNTIF(E67:AI67,"N7")*7/8+COUNTIF(E67:AI67,"N8")*8/8+COUNTIF(E67:AI67,"C")+COUNTIF(E67:AI67,"C1")+COUNTIF(E67:AI67,"C2")+COUNTIF(E67:AI67,"C2.9")+COUNTIF(E67:AI67,"C3")+COUNTIF(E67:AI67,"C3.8")+COUNTIF(E67:AI67,"C4")+COUNTIF(E67:AI67,"C4.0")+COUNTIF(E67:AI67,"C4.1")+COUNTIF(E67:AI67,"C4.4")+COUNTIF(E67:AI67,"C4.6")+COUNTIF(E67:AI67,"C4.9")+COUNTIF(E67:AI67,"C5")+COUNTIF(E67:AI67,"C6")+COUNTIF(E67:AI67,"C6.5")+COUNTIF(E67:AI67,"C6.0")+COUNTIF(E67:AI67,"C7")+COUNTIF(E67:AI67,"C7.6")+COUNTIF(E67:AI67,"C7.7")+COUNTIF(E67:AI67,"N6.4")*6.4/8+COUNTIF(E67:AI67,"Ro1")*1/8+COUNTIF(E67:AI67,"Ro2")*2/8+COUNTIF(E67:AI67,"Ro3")*3/8+COUNTIF(E67:AI67,"Ro4")*4/8+COUNTIF(E67:AI67,"Ro4.0")*4/8+COUNTIF(E67:AI67,"Ro5")*5/8+COUNTIF(E67:AI67,"Ro6")*6/8+COUNTIF(E67:AI67,"Ro6.5")*6.5/8+COUNTIF(E67:AI67,"Ro7")*7/8+COUNTIF(E67:AI67,"Ro7.3")*7.3/8+COUNTIF(E67:AI67,"Ro7.5")*7.5/8+COUNTIF(E67:AI67,"Ro7.8")*7.8/8+COUNTIF(E67:AI67,"Bu1")+COUNTIF(E67:AI67,"Bu2")+COUNTIF(E67:AI67,"Bu3")+COUNTIF(E67:AI67,"Bu4")+COUNTIF(E67:AI67,"Bu5")+COUNTIF(E67:AI67,"Bu6")+COUNTIF(E67:AI67,"Bu7")+COUNTIF(E67:AI67,"P2")*4/8</f>
        <v>13</v>
      </c>
      <c r="AL67" s="325">
        <f>COUNTIF(E67:AI67,"D")+COUNTIF(E67:AI67,"D1")*1/BB67+COUNTIF(E67:AI67,"D2")*2/BB67+COUNTIF(E67:AI67,"D3")*3/BB67+COUNTIF(E67:AI67,"D4")*4/BB67+COUNTIF(E67:AI67,"D5")*5/BB67+COUNTIF(E67:AI67,"D6")*6/BB67+COUNTIF(E67:AI67,"D7")*7/BB67+COUNTIF(E67:AI67,"D8")*8/BB67</f>
        <v>0</v>
      </c>
      <c r="AM67" s="326">
        <f t="shared" si="50"/>
        <v>26</v>
      </c>
      <c r="AN67" s="327">
        <f>AK67+AL67</f>
        <v>13</v>
      </c>
      <c r="AO67" s="327">
        <f>COUNTIF(E67:AI67,"p")+COUNTIF(E67:AI67,"P2")/2+COUNTIF(E67:AI67,"P1")/2</f>
        <v>0</v>
      </c>
      <c r="AP67" s="327">
        <f>COUNTIF(E67:AI67,"k")</f>
        <v>0</v>
      </c>
      <c r="AQ67" s="327">
        <f>COUNTIF(E67:AI67,"KL")+COUNTIF(E67:AI67,"O")+COUNTIF(E67:AI67,"O/")/2+COUNTIF(E67:AI67,"TN")+COUNTIF(E67:AI67,"4P4KL")/2+COUNTIF(E67:AI67,"P1")*0.5+COUNTIF(E67:AI67,"Ro")+COUNTIF(E67:AI67,"Ro1")*7/8+COUNTIF(E67:AI67,"Ro2")*6/8+COUNTIF(E67:AI67,"Ro3")*5/8+COUNTIF(E67:AI67,"Ro4")*4/8+COUNTIF(E67:AI67,"Ro4.0")*4/8+COUNTIF(E67:AI67,"Ro5")*3/8+COUNTIF(E67:AI67,"Ro6")*2/8+COUNTIF(E67:AI67,"Ro6.5")*1.5/8+COUNTIF(E67:AI67,"Ro7")*1/8+COUNTIF(E67:AI67,"Ro7.3")*0.7/8+COUNTIF(E67:AI67,"Ro7.5")*0.5/8+COUNTIF(E67:AI67,"Ro7.8")*0.2/8+COUNTIF(E67:AI67,"N7")*1/8+COUNTIF(E67:AI67,"N6")*2/8+COUNTIF(E67:AI67,"N5")*3/8+COUNTIF(E67:AI67,"N4")*4/8+COUNTIF(E67:AI67,"N3")*5/8+COUNTIF(E67:AI67,"N2")*6/8+COUNTIF(E67:AI67,"N1")*7/8</f>
        <v>0</v>
      </c>
      <c r="AR67" s="327">
        <f>COUNTIF(E67:AI67,"*R")</f>
        <v>0</v>
      </c>
      <c r="AS67" s="327">
        <f>COUNTIF(E67:AI67,"L")*1+COUNTIF(E67:AI67,"0.5L")*0.5</f>
        <v>0</v>
      </c>
      <c r="AT67" s="327"/>
      <c r="AU67" s="327"/>
      <c r="AV67" s="327"/>
      <c r="AW67" s="327"/>
      <c r="AX67" s="327"/>
      <c r="AY67" s="327"/>
      <c r="AZ67" s="327">
        <f>AN67+AO67+AS67+AR67</f>
        <v>13</v>
      </c>
      <c r="BA67" s="331"/>
      <c r="BB67" s="27">
        <v>8</v>
      </c>
      <c r="BC67" s="27" t="str">
        <f>VLOOKUP(B67,'[2]Bang luong_06'!$B$10:$C$333,2,0)</f>
        <v>Võ Văn Lợi</v>
      </c>
      <c r="BE67" s="151" t="str">
        <f>VLOOKUP($B67,'[2]Bang luong_06'!$B$10:$C$333,2,0)</f>
        <v>Võ Văn Lợi</v>
      </c>
      <c r="BF67" s="27" t="b">
        <f>BE67=C67</f>
        <v>1</v>
      </c>
      <c r="BH67" s="332" t="e">
        <f>+VLOOKUP(B67,'[2]Thưởng Lễ 2-9'!$B$5:$G$294,6,0)</f>
        <v>#N/A</v>
      </c>
      <c r="BI67" s="27" t="s">
        <v>638</v>
      </c>
      <c r="BK67" s="27" t="s">
        <v>638</v>
      </c>
      <c r="BN67" s="330">
        <v>4</v>
      </c>
    </row>
    <row r="68" spans="1:66 1544:1544" ht="16.5" customHeight="1" outlineLevel="1" x14ac:dyDescent="0.25">
      <c r="A68" s="88">
        <f t="shared" si="3"/>
        <v>48</v>
      </c>
      <c r="B68" s="333" t="s">
        <v>641</v>
      </c>
      <c r="C68" s="333" t="s">
        <v>642</v>
      </c>
      <c r="D68" s="334">
        <v>45996</v>
      </c>
      <c r="E68" s="323" t="s">
        <v>38</v>
      </c>
      <c r="F68" s="323" t="s">
        <v>38</v>
      </c>
      <c r="G68" s="323" t="s">
        <v>38</v>
      </c>
      <c r="H68" s="323" t="s">
        <v>38</v>
      </c>
      <c r="I68" s="323" t="s">
        <v>38</v>
      </c>
      <c r="J68" s="323" t="s">
        <v>38</v>
      </c>
      <c r="K68" s="323"/>
      <c r="L68" s="323" t="s">
        <v>38</v>
      </c>
      <c r="M68" s="323" t="s">
        <v>38</v>
      </c>
      <c r="N68" s="323" t="s">
        <v>38</v>
      </c>
      <c r="O68" s="323" t="s">
        <v>38</v>
      </c>
      <c r="P68" s="323" t="s">
        <v>38</v>
      </c>
      <c r="Q68" s="323" t="s">
        <v>38</v>
      </c>
      <c r="R68" s="323"/>
      <c r="S68" s="323" t="s">
        <v>38</v>
      </c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323"/>
      <c r="AE68" s="323"/>
      <c r="AF68" s="323"/>
      <c r="AG68" s="323"/>
      <c r="AH68" s="323"/>
      <c r="AI68" s="323"/>
      <c r="AJ68" s="69">
        <v>0</v>
      </c>
      <c r="AK68" s="325">
        <f>COUNTIF(E68:AI68,"H4")+COUNTIF(E68:AI68,"H")+COUNTIF(E68:AI68,"Bu")+COUNTIF(E68:AI68,"N")+COUNTIF(E68:AI68,"N1")*1/8+COUNTIF(E68:AI68,"N2")*2/8+COUNTIF(E68:AI68,"N3")*3/8+COUNTIF(E68:AI68,"N4")*4/8+COUNTIF(E68:AI68,"N5")*5/8+COUNTIF(E68:AI68,"N6")*6/8+COUNTIF(E68:AI68,"N7")*7/8+COUNTIF(E68:AI68,"N8")*8/8+COUNTIF(E68:AI68,"C")+COUNTIF(E68:AI68,"C1")+COUNTIF(E68:AI68,"C2")+COUNTIF(E68:AI68,"C2.9")+COUNTIF(E68:AI68,"C3")+COUNTIF(E68:AI68,"C3.8")+COUNTIF(E68:AI68,"C4")+COUNTIF(E68:AI68,"C4.0")+COUNTIF(E68:AI68,"C4.1")+COUNTIF(E68:AI68,"C4.4")+COUNTIF(E68:AI68,"C4.6")+COUNTIF(E68:AI68,"C4.9")+COUNTIF(E68:AI68,"C5")+COUNTIF(E68:AI68,"C6")+COUNTIF(E68:AI68,"C6.5")+COUNTIF(E68:AI68,"C6.0")+COUNTIF(E68:AI68,"C7")+COUNTIF(E68:AI68,"C7.6")+COUNTIF(E68:AI68,"C7.7")+COUNTIF(E68:AI68,"N6.4")*6.4/8+COUNTIF(E68:AI68,"Ro1")*1/8+COUNTIF(E68:AI68,"Ro2")*2/8+COUNTIF(E68:AI68,"Ro3")*3/8+COUNTIF(E68:AI68,"Ro4")*4/8+COUNTIF(E68:AI68,"Ro4.0")*4/8+COUNTIF(E68:AI68,"Ro5")*5/8+COUNTIF(E68:AI68,"Ro6")*6/8+COUNTIF(E68:AI68,"Ro6.5")*6.5/8+COUNTIF(E68:AI68,"Ro7")*7/8+COUNTIF(E68:AI68,"Ro7.3")*7.3/8+COUNTIF(E68:AI68,"Ro7.5")*7.5/8+COUNTIF(E68:AI68,"Ro7.8")*7.8/8+COUNTIF(E68:AI68,"Bu1")+COUNTIF(E68:AI68,"Bu2")+COUNTIF(E68:AI68,"Bu3")+COUNTIF(E68:AI68,"Bu4")+COUNTIF(E68:AI68,"Bu5")+COUNTIF(E68:AI68,"Bu6")+COUNTIF(E68:AI68,"Bu7")+COUNTIF(E68:AI68,"P2")*4/8</f>
        <v>13</v>
      </c>
      <c r="AL68" s="325">
        <f>COUNTIF(E68:AI68,"D")+COUNTIF(E68:AI68,"D1")*1/BB68+COUNTIF(E68:AI68,"D2")*2/BB68+COUNTIF(E68:AI68,"D3")*3/BB68+COUNTIF(E68:AI68,"D4")*4/BB68+COUNTIF(E68:AI68,"D5")*5/BB68+COUNTIF(E68:AI68,"D6")*6/BB68+COUNTIF(E68:AI68,"D7")*7/BB68+COUNTIF(E68:AI68,"D8")*8/BB68</f>
        <v>0</v>
      </c>
      <c r="AM68" s="326">
        <f t="shared" si="50"/>
        <v>26</v>
      </c>
      <c r="AN68" s="327">
        <f>AK68+AL68</f>
        <v>13</v>
      </c>
      <c r="AO68" s="327">
        <f>COUNTIF(E68:AI68,"p")+COUNTIF(E68:AI68,"P2")/2+COUNTIF(E68:AI68,"P1")/2</f>
        <v>0</v>
      </c>
      <c r="AP68" s="327">
        <f>COUNTIF(E68:AI68,"k")</f>
        <v>0</v>
      </c>
      <c r="AQ68" s="327">
        <f>COUNTIF(E68:AI68,"KL")+COUNTIF(E68:AI68,"O")+COUNTIF(E68:AI68,"O/")/2+COUNTIF(E68:AI68,"TN")+COUNTIF(E68:AI68,"4P4KL")/2+COUNTIF(E68:AI68,"P1")*0.5+COUNTIF(E68:AI68,"Ro")+COUNTIF(E68:AI68,"Ro1")*7/8+COUNTIF(E68:AI68,"Ro2")*6/8+COUNTIF(E68:AI68,"Ro3")*5/8+COUNTIF(E68:AI68,"Ro4")*4/8+COUNTIF(E68:AI68,"Ro4.0")*4/8+COUNTIF(E68:AI68,"Ro5")*3/8+COUNTIF(E68:AI68,"Ro6")*2/8+COUNTIF(E68:AI68,"Ro6.5")*1.5/8+COUNTIF(E68:AI68,"Ro7")*1/8+COUNTIF(E68:AI68,"Ro7.3")*0.7/8+COUNTIF(E68:AI68,"Ro7.5")*0.5/8+COUNTIF(E68:AI68,"Ro7.8")*0.2/8+COUNTIF(E68:AI68,"N7")*1/8+COUNTIF(E68:AI68,"N6")*2/8+COUNTIF(E68:AI68,"N5")*3/8+COUNTIF(E68:AI68,"N4")*4/8+COUNTIF(E68:AI68,"N3")*5/8+COUNTIF(E68:AI68,"N2")*6/8+COUNTIF(E68:AI68,"N1")*7/8</f>
        <v>0</v>
      </c>
      <c r="AR68" s="327">
        <f>COUNTIF(E68:AI68,"*R")</f>
        <v>0</v>
      </c>
      <c r="AS68" s="327">
        <f>COUNTIF(E68:AI68,"L")*1+COUNTIF(E68:AI68,"0.5L")*0.5</f>
        <v>0</v>
      </c>
      <c r="AT68" s="327"/>
      <c r="AU68" s="327"/>
      <c r="AV68" s="327"/>
      <c r="AW68" s="327"/>
      <c r="AX68" s="327"/>
      <c r="AY68" s="327"/>
      <c r="AZ68" s="327">
        <f>AN68+AO68+AS68+AR68</f>
        <v>13</v>
      </c>
      <c r="BA68" s="331"/>
      <c r="BB68" s="27">
        <v>8</v>
      </c>
      <c r="BC68" s="27" t="str">
        <f>VLOOKUP(B68,'[2]Bang luong_06'!$B$10:$C$333,2,0)</f>
        <v>Lê Thị Bạch Tuyết</v>
      </c>
      <c r="BE68" s="151" t="str">
        <f>VLOOKUP($B68,'[2]Bang luong_06'!$B$10:$C$333,2,0)</f>
        <v>Lê Thị Bạch Tuyết</v>
      </c>
      <c r="BF68" s="27" t="b">
        <f>BE68=C68</f>
        <v>1</v>
      </c>
      <c r="BH68" s="332" t="e">
        <f>+VLOOKUP(B68,'[2]Thưởng Lễ 2-9'!$B$5:$G$294,6,0)</f>
        <v>#N/A</v>
      </c>
      <c r="BI68" s="27" t="s">
        <v>638</v>
      </c>
      <c r="BK68" s="27" t="s">
        <v>638</v>
      </c>
      <c r="BN68" s="330">
        <v>4</v>
      </c>
    </row>
    <row r="69" spans="1:66 1544:1544" ht="16.5" customHeight="1" outlineLevel="1" x14ac:dyDescent="0.25">
      <c r="A69" s="88">
        <f t="shared" si="3"/>
        <v>49</v>
      </c>
      <c r="B69" s="333" t="s">
        <v>643</v>
      </c>
      <c r="C69" s="333" t="s">
        <v>644</v>
      </c>
      <c r="D69" s="334">
        <v>45916</v>
      </c>
      <c r="E69" s="323" t="s">
        <v>38</v>
      </c>
      <c r="F69" s="323" t="s">
        <v>38</v>
      </c>
      <c r="G69" s="323" t="s">
        <v>38</v>
      </c>
      <c r="H69" s="323" t="s">
        <v>38</v>
      </c>
      <c r="I69" s="323" t="s">
        <v>38</v>
      </c>
      <c r="J69" s="323" t="s">
        <v>38</v>
      </c>
      <c r="K69" s="323"/>
      <c r="L69" s="323" t="s">
        <v>38</v>
      </c>
      <c r="M69" s="323" t="s">
        <v>38</v>
      </c>
      <c r="N69" s="323" t="s">
        <v>38</v>
      </c>
      <c r="O69" s="323" t="s">
        <v>38</v>
      </c>
      <c r="P69" s="323" t="s">
        <v>38</v>
      </c>
      <c r="Q69" s="323" t="s">
        <v>38</v>
      </c>
      <c r="R69" s="323"/>
      <c r="S69" s="323" t="s">
        <v>38</v>
      </c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69">
        <f>VLOOKUP($B69,[1]NV!$B$9:$DL$219,114,0)</f>
        <v>2</v>
      </c>
      <c r="AK69" s="325">
        <f t="shared" si="27"/>
        <v>13</v>
      </c>
      <c r="AL69" s="325">
        <f>COUNTIF(E69:AI69,"D")+COUNTIF(E69:AI69,"D1")*1/BB69+COUNTIF(E69:AI69,"D2")*2/BB69+COUNTIF(E69:AI69,"D3")*3/BB69+COUNTIF(E69:AI69,"D4")*4/BB69+COUNTIF(E69:AI69,"D5")*5/BB69+COUNTIF(E69:AI69,"D6")*6/BB69+COUNTIF(E69:AI69,"D7")*7/BB69+COUNTIF(E69:AI69,"D8")*8/BB69</f>
        <v>0</v>
      </c>
      <c r="AM69" s="326">
        <f t="shared" si="50"/>
        <v>26</v>
      </c>
      <c r="AN69" s="327">
        <f>AK69+AL69</f>
        <v>13</v>
      </c>
      <c r="AO69" s="327">
        <f>COUNTIF(E69:AI69,"p")+COUNTIF(E69:AI69,"P2")/2+COUNTIF(E69:AI69,"P1")/2</f>
        <v>0</v>
      </c>
      <c r="AP69" s="327">
        <f>COUNTIF(E69:AI69,"k")</f>
        <v>0</v>
      </c>
      <c r="AQ69" s="327">
        <f>COUNTIF(E69:AI69,"KL")+COUNTIF(E69:AI69,"O")+COUNTIF(E69:AI69,"O/")/2+COUNTIF(E69:AI69,"TN")+COUNTIF(E69:AI69,"4P4KL")/2+COUNTIF(E69:AI69,"P1")*0.5+COUNTIF(E69:AI69,"Ro")+COUNTIF(E69:AI69,"Ro1")*7/8+COUNTIF(E69:AI69,"Ro2")*6/8+COUNTIF(E69:AI69,"Ro3")*5/8+COUNTIF(E69:AI69,"Ro4")*4/8+COUNTIF(E69:AI69,"Ro4.0")*4/8+COUNTIF(E69:AI69,"Ro5")*3/8+COUNTIF(E69:AI69,"Ro6")*2/8+COUNTIF(E69:AI69,"Ro6.5")*1.5/8+COUNTIF(E69:AI69,"Ro7")*1/8+COUNTIF(E69:AI69,"Ro7.3")*0.7/8+COUNTIF(E69:AI69,"Ro7.5")*0.5/8+COUNTIF(E69:AI69,"Ro7.8")*0.2/8+COUNTIF(E69:AI69,"N7")*1/8+COUNTIF(E69:AI69,"N6")*2/8+COUNTIF(E69:AI69,"N5")*3/8+COUNTIF(E69:AI69,"N4")*4/8+COUNTIF(E69:AI69,"N3")*5/8+COUNTIF(E69:AI69,"N2")*6/8+COUNTIF(E69:AI69,"N1")*7/8</f>
        <v>0</v>
      </c>
      <c r="AR69" s="327">
        <f>COUNTIF(E69:AI69,"*R")</f>
        <v>0</v>
      </c>
      <c r="AS69" s="327">
        <f>COUNTIF(E69:AI69,"L")*1+COUNTIF(E69:AI69,"0.5L")*0.5</f>
        <v>0</v>
      </c>
      <c r="AT69" s="327"/>
      <c r="AU69" s="327"/>
      <c r="AV69" s="327"/>
      <c r="AW69" s="327"/>
      <c r="AX69" s="327"/>
      <c r="AY69" s="327"/>
      <c r="AZ69" s="327">
        <f>AN69+AO69+AS69+AR69</f>
        <v>13</v>
      </c>
      <c r="BA69" s="331"/>
      <c r="BB69" s="27">
        <v>8</v>
      </c>
      <c r="BC69" s="27" t="str">
        <f>VLOOKUP(B69,'[2]Bang luong_06'!$B$10:$C$333,2,0)</f>
        <v>Lê Thị Hồng Quyến</v>
      </c>
      <c r="BE69" s="151" t="str">
        <f>VLOOKUP($B69,'[2]Bang luong_06'!$B$10:$C$333,2,0)</f>
        <v>Lê Thị Hồng Quyến</v>
      </c>
      <c r="BF69" s="27" t="b">
        <f>BE69=C69</f>
        <v>1</v>
      </c>
      <c r="BH69" s="332" t="e">
        <f>+VLOOKUP(B69,'[2]Thưởng Lễ 2-9'!$B$5:$G$294,6,0)</f>
        <v>#N/A</v>
      </c>
      <c r="BI69" s="27" t="s">
        <v>645</v>
      </c>
      <c r="BK69" s="27" t="s">
        <v>645</v>
      </c>
      <c r="BN69" s="330">
        <v>3.5</v>
      </c>
    </row>
    <row r="70" spans="1:66 1544:1544" ht="16.5" customHeight="1" outlineLevel="1" x14ac:dyDescent="0.25">
      <c r="A70" s="88" t="str">
        <f t="shared" si="3"/>
        <v/>
      </c>
      <c r="B70" s="317"/>
      <c r="C70" s="317" t="s">
        <v>646</v>
      </c>
      <c r="D70" s="313">
        <f>COUNTA(A71:A85)</f>
        <v>15</v>
      </c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  <c r="AI70" s="317"/>
      <c r="AJ70" s="318"/>
      <c r="AK70" s="317"/>
      <c r="AL70" s="317"/>
      <c r="AM70" s="317"/>
      <c r="AN70" s="317"/>
      <c r="AO70" s="317"/>
      <c r="AP70" s="317"/>
      <c r="AQ70" s="317"/>
      <c r="AR70" s="317"/>
      <c r="AS70" s="317"/>
      <c r="AT70" s="317"/>
      <c r="AU70" s="317"/>
      <c r="AV70" s="317"/>
      <c r="AW70" s="317"/>
      <c r="AX70" s="317"/>
      <c r="AY70" s="317"/>
      <c r="AZ70" s="317"/>
      <c r="BA70" s="317"/>
      <c r="BE70" s="151"/>
      <c r="BI70" s="27" t="e">
        <v>#N/A</v>
      </c>
      <c r="BN70" s="337">
        <v>0</v>
      </c>
      <c r="BGJ70" s="27" t="e">
        <v>#REF!</v>
      </c>
    </row>
    <row r="71" spans="1:66 1544:1544" ht="16.5" customHeight="1" outlineLevel="1" x14ac:dyDescent="0.25">
      <c r="A71" s="88">
        <f t="shared" si="3"/>
        <v>50</v>
      </c>
      <c r="B71" s="333" t="s">
        <v>647</v>
      </c>
      <c r="C71" s="333" t="s">
        <v>648</v>
      </c>
      <c r="D71" s="334">
        <v>44984</v>
      </c>
      <c r="E71" s="323" t="s">
        <v>38</v>
      </c>
      <c r="F71" s="323" t="s">
        <v>38</v>
      </c>
      <c r="G71" s="323" t="s">
        <v>38</v>
      </c>
      <c r="H71" s="323" t="s">
        <v>38</v>
      </c>
      <c r="I71" s="323" t="s">
        <v>38</v>
      </c>
      <c r="J71" s="323" t="s">
        <v>107</v>
      </c>
      <c r="K71" s="323"/>
      <c r="L71" s="323" t="s">
        <v>107</v>
      </c>
      <c r="M71" s="323" t="s">
        <v>38</v>
      </c>
      <c r="N71" s="323" t="s">
        <v>38</v>
      </c>
      <c r="O71" s="323" t="s">
        <v>38</v>
      </c>
      <c r="P71" s="323" t="s">
        <v>38</v>
      </c>
      <c r="Q71" s="323" t="s">
        <v>38</v>
      </c>
      <c r="R71" s="323"/>
      <c r="S71" s="323" t="s">
        <v>38</v>
      </c>
      <c r="T71" s="323"/>
      <c r="U71" s="323"/>
      <c r="V71" s="323"/>
      <c r="W71" s="323"/>
      <c r="X71" s="323"/>
      <c r="Y71" s="323"/>
      <c r="Z71" s="323"/>
      <c r="AA71" s="323"/>
      <c r="AB71" s="323"/>
      <c r="AC71" s="323"/>
      <c r="AD71" s="323"/>
      <c r="AE71" s="323"/>
      <c r="AF71" s="323"/>
      <c r="AG71" s="323"/>
      <c r="AH71" s="323"/>
      <c r="AI71" s="323"/>
      <c r="AJ71" s="69">
        <f>VLOOKUP($B71,[1]NV!$B$9:$DL$219,114,0)</f>
        <v>-0.5</v>
      </c>
      <c r="AK71" s="325">
        <f>COUNTIF(E71:AI71,"H4")+COUNTIF(E71:AI71,"H")+COUNTIF(E71:AI71,"Bu")+COUNTIF(E71:AI71,"N")+COUNTIF(E71:AI71,"N1")*1/8+COUNTIF(E71:AI71,"N2")*2/8+COUNTIF(E71:AI71,"N3")*3/8+COUNTIF(E71:AI71,"N4")*4/8+COUNTIF(E71:AI71,"N5")*5/8+COUNTIF(E71:AI71,"N6")*6/8+COUNTIF(E71:AI71,"N7")*7/8+COUNTIF(E71:AI71,"N8")*8/8+COUNTIF(E71:AI71,"C")+COUNTIF(E71:AI71,"C1")+COUNTIF(E71:AI71,"C2")+COUNTIF(E71:AI71,"C2.9")+COUNTIF(E71:AI71,"C3")+COUNTIF(E71:AI71,"C3.8")+COUNTIF(E71:AI71,"C4")+COUNTIF(E71:AI71,"C4.0")+COUNTIF(E71:AI71,"C4.1")+COUNTIF(E71:AI71,"C4.4")+COUNTIF(E71:AI71,"C4.6")+COUNTIF(E71:AI71,"C4.9")+COUNTIF(E71:AI71,"C5")+COUNTIF(E71:AI71,"C6")+COUNTIF(E71:AI71,"C6.5")+COUNTIF(E71:AI71,"C6.0")+COUNTIF(E71:AI71,"C7")+COUNTIF(E71:AI71,"C7.6")+COUNTIF(E71:AI71,"C7.7")+COUNTIF(E71:AI71,"N6.4")*6.4/8+COUNTIF(E71:AI71,"Ro1")*1/8+COUNTIF(E71:AI71,"Ro2")*2/8+COUNTIF(E71:AI71,"Ro3")*3/8+COUNTIF(E71:AI71,"Ro4")*4/8+COUNTIF(E71:AI71,"Ro4.0")*4/8+COUNTIF(E71:AI71,"Ro5")*5/8+COUNTIF(E71:AI71,"Ro6")*6/8+COUNTIF(E71:AI71,"Ro6.5")*6.5/8+COUNTIF(E71:AI71,"Ro7")*7/8+COUNTIF(E71:AI71,"Ro7.3")*7.3/8+COUNTIF(E71:AI71,"Ro7.5")*7.5/8+COUNTIF(E71:AI71,"Ro7.8")*7.8/8+COUNTIF(E71:AI71,"Bu1")+COUNTIF(E71:AI71,"Bu2")+COUNTIF(E71:AI71,"Bu3")+COUNTIF(E71:AI71,"Bu4")+COUNTIF(E71:AI71,"Bu5")+COUNTIF(E71:AI71,"Bu6")+COUNTIF(E71:AI71,"Bu7")+COUNTIF(E71:AI71,"P2")*4/8</f>
        <v>11</v>
      </c>
      <c r="AL71" s="325">
        <f t="shared" ref="AL71:AL85" si="51">COUNTIF(E71:AI71,"D")+COUNTIF(E71:AI71,"D1")*1/BB71+COUNTIF(E71:AI71,"D2")*2/BB71+COUNTIF(E71:AI71,"D3")*3/BB71+COUNTIF(E71:AI71,"D4")*4/BB71+COUNTIF(E71:AI71,"D5")*5/BB71+COUNTIF(E71:AI71,"D6")*6/BB71+COUNTIF(E71:AI71,"D7")*7/BB71+COUNTIF(E71:AI71,"D8")*8/BB71</f>
        <v>0</v>
      </c>
      <c r="AM71" s="326">
        <f t="shared" ref="AM71:AM85" si="52">+$AH$10-$E$10+1-INT(($AH$10-$E$10-WEEKDAY($AH$10)+8)/7)</f>
        <v>26</v>
      </c>
      <c r="AN71" s="327">
        <f t="shared" ref="AN71:AN85" si="53">AK71+AL71</f>
        <v>11</v>
      </c>
      <c r="AO71" s="327">
        <f t="shared" ref="AO71:AO85" si="54">COUNTIF(E71:AI71,"p")+COUNTIF(E71:AI71,"P2")/2+COUNTIF(E71:AI71,"P1")/2</f>
        <v>2</v>
      </c>
      <c r="AP71" s="327">
        <f t="shared" ref="AP71:AP85" si="55">COUNTIF(E71:AI71,"k")</f>
        <v>0</v>
      </c>
      <c r="AQ71" s="327">
        <f t="shared" ref="AQ71:AQ85" si="56">COUNTIF(E71:AI71,"KL")+COUNTIF(E71:AI71,"O")+COUNTIF(E71:AI71,"O/")/2+COUNTIF(E71:AI71,"TN")+COUNTIF(E71:AI71,"4P4KL")/2+COUNTIF(E71:AI71,"P1")*0.5+COUNTIF(E71:AI71,"Ro")+COUNTIF(E71:AI71,"Ro1")*7/8+COUNTIF(E71:AI71,"Ro2")*6/8+COUNTIF(E71:AI71,"Ro3")*5/8+COUNTIF(E71:AI71,"Ro4")*4/8+COUNTIF(E71:AI71,"Ro4.0")*4/8+COUNTIF(E71:AI71,"Ro5")*3/8+COUNTIF(E71:AI71,"Ro6")*2/8+COUNTIF(E71:AI71,"Ro6.5")*1.5/8+COUNTIF(E71:AI71,"Ro7")*1/8+COUNTIF(E71:AI71,"Ro7.3")*0.7/8+COUNTIF(E71:AI71,"Ro7.5")*0.5/8+COUNTIF(E71:AI71,"Ro7.8")*0.2/8+COUNTIF(E71:AI71,"N7")*1/8+COUNTIF(E71:AI71,"N6")*2/8+COUNTIF(E71:AI71,"N5")*3/8+COUNTIF(E71:AI71,"N4")*4/8+COUNTIF(E71:AI71,"N3")*5/8+COUNTIF(E71:AI71,"N2")*6/8+COUNTIF(E71:AI71,"N1")*7/8</f>
        <v>0</v>
      </c>
      <c r="AR71" s="327">
        <f t="shared" ref="AR71:AR85" si="57">COUNTIF(E71:AI71,"*R")</f>
        <v>0</v>
      </c>
      <c r="AS71" s="327">
        <f t="shared" ref="AS71:AS85" si="58">COUNTIF(E71:AI71,"L")*1+COUNTIF(E71:AI71,"0.5L")*0.5</f>
        <v>0</v>
      </c>
      <c r="AT71" s="327"/>
      <c r="AU71" s="327"/>
      <c r="AV71" s="327"/>
      <c r="AW71" s="327"/>
      <c r="AX71" s="327"/>
      <c r="AY71" s="327"/>
      <c r="AZ71" s="327">
        <f t="shared" ref="AZ71:AZ85" si="59">AN71+AO71+AS71+AR71</f>
        <v>13</v>
      </c>
      <c r="BA71" s="331"/>
      <c r="BB71" s="27">
        <v>8</v>
      </c>
      <c r="BC71" s="27" t="str">
        <f>VLOOKUP(B71,'[2]Bang luong_06'!$B$10:$C$333,2,0)</f>
        <v>Nguyễn Thị Nẩn</v>
      </c>
      <c r="BE71" s="151" t="str">
        <f>VLOOKUP($B71,'[2]Bang luong_06'!$B$10:$C$333,2,0)</f>
        <v>Nguyễn Thị Nẩn</v>
      </c>
      <c r="BF71" s="27" t="b">
        <f>BE71=C71</f>
        <v>1</v>
      </c>
      <c r="BH71" s="332">
        <f>+VLOOKUP(B71,'[2]Thưởng Lễ 2-9'!$B$5:$G$294,6,0)</f>
        <v>0</v>
      </c>
      <c r="BI71" s="27" t="s">
        <v>649</v>
      </c>
      <c r="BK71" s="27" t="s">
        <v>648</v>
      </c>
      <c r="BN71" s="330">
        <v>0</v>
      </c>
    </row>
    <row r="72" spans="1:66 1544:1544" s="145" customFormat="1" ht="21.75" customHeight="1" outlineLevel="1" x14ac:dyDescent="0.25">
      <c r="A72" s="88">
        <f t="shared" si="3"/>
        <v>51</v>
      </c>
      <c r="B72" s="333" t="s">
        <v>650</v>
      </c>
      <c r="C72" s="333" t="s">
        <v>651</v>
      </c>
      <c r="D72" s="334">
        <v>46174</v>
      </c>
      <c r="E72" s="323" t="s">
        <v>38</v>
      </c>
      <c r="F72" s="323" t="s">
        <v>38</v>
      </c>
      <c r="G72" s="323" t="s">
        <v>38</v>
      </c>
      <c r="H72" s="323" t="s">
        <v>38</v>
      </c>
      <c r="I72" s="323" t="s">
        <v>38</v>
      </c>
      <c r="J72" s="323" t="s">
        <v>38</v>
      </c>
      <c r="K72" s="323"/>
      <c r="L72" s="323" t="s">
        <v>38</v>
      </c>
      <c r="M72" s="323" t="s">
        <v>38</v>
      </c>
      <c r="N72" s="323" t="s">
        <v>38</v>
      </c>
      <c r="O72" s="323" t="s">
        <v>38</v>
      </c>
      <c r="P72" s="323" t="s">
        <v>38</v>
      </c>
      <c r="Q72" s="323" t="s">
        <v>38</v>
      </c>
      <c r="R72" s="323"/>
      <c r="S72" s="323" t="s">
        <v>38</v>
      </c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69" t="e">
        <f>VLOOKUP($B72,[1]NV!$B$9:$DL$219,114,0)</f>
        <v>#N/A</v>
      </c>
      <c r="AK72" s="325">
        <f t="shared" ref="AK72" si="60">COUNTIF(E72:AI72,"H4")+COUNTIF(E72:AI72,"H")+COUNTIF(E72:AI72,"Bu")+COUNTIF(E72:AI72,"N")+COUNTIF(E72:AI72,"N1")*1/8+COUNTIF(E72:AI72,"N2")*2/8+COUNTIF(E72:AI72,"N3")*3/8+COUNTIF(E72:AI72,"N4")*4/8+COUNTIF(E72:AI72,"N5")*5/8+COUNTIF(E72:AI72,"N6")*6/8+COUNTIF(E72:AI72,"N7")*7/8+COUNTIF(E72:AI72,"N8")*8/8+COUNTIF(E72:AI72,"C")+COUNTIF(E72:AI72,"C1")+COUNTIF(E72:AI72,"C2")+COUNTIF(E72:AI72,"C2.9")+COUNTIF(E72:AI72,"C3")+COUNTIF(E72:AI72,"C3.8")+COUNTIF(E72:AI72,"C4")+COUNTIF(E72:AI72,"C4.0")+COUNTIF(E72:AI72,"C4.1")+COUNTIF(E72:AI72,"C4.4")+COUNTIF(E72:AI72,"C4.6")+COUNTIF(E72:AI72,"C4.9")+COUNTIF(E72:AI72,"C5")+COUNTIF(E72:AI72,"C6")+COUNTIF(E72:AI72,"C6.5")+COUNTIF(E72:AI72,"C6.0")+COUNTIF(E72:AI72,"C7")+COUNTIF(E72:AI72,"C7.6")+COUNTIF(E72:AI72,"C7.7")+COUNTIF(E72:AI72,"N6.4")*6.4/8+COUNTIF(E72:AI72,"Ro1")*1/8+COUNTIF(E72:AI72,"Ro2")*2/8+COUNTIF(E72:AI72,"Ro3")*3/8+COUNTIF(E72:AI72,"Ro4")*4/8+COUNTIF(E72:AI72,"Ro4.0")*4/8+COUNTIF(E72:AI72,"Ro5")*5/8+COUNTIF(E72:AI72,"Ro6")*6/8+COUNTIF(E72:AI72,"Ro6.5")*6.5/8+COUNTIF(E72:AI72,"Ro7")*7/8+COUNTIF(E72:AI72,"Ro7.3")*7.3/8+COUNTIF(E72:AI72,"Ro7.5")*7.5/8+COUNTIF(E72:AI72,"Ro7.8")*7.8/8+COUNTIF(E72:AI72,"Bu1")+COUNTIF(E72:AI72,"Bu2")+COUNTIF(E72:AI72,"Bu3")+COUNTIF(E72:AI72,"Bu4")+COUNTIF(E72:AI72,"Bu5")+COUNTIF(E72:AI72,"Bu6")+COUNTIF(E72:AI72,"Bu7")+COUNTIF(E72:AI72,"P2")*4/8</f>
        <v>13</v>
      </c>
      <c r="AL72" s="325">
        <f t="shared" si="51"/>
        <v>0</v>
      </c>
      <c r="AM72" s="326">
        <f t="shared" si="52"/>
        <v>26</v>
      </c>
      <c r="AN72" s="327">
        <f t="shared" si="53"/>
        <v>13</v>
      </c>
      <c r="AO72" s="327">
        <f t="shared" si="54"/>
        <v>0</v>
      </c>
      <c r="AP72" s="327">
        <f t="shared" si="55"/>
        <v>0</v>
      </c>
      <c r="AQ72" s="327">
        <f>COUNTIF(E72:AI72,"KL")+COUNTIF(E72:AI72,"O")+COUNTIF(E72:AI72,"O/")/2+COUNTIF(E72:AI72,"TN")+COUNTIF(E72:AI72,"4P4KL")/2+COUNTIF(E72:AI72,"P1")*0.5+COUNTIF(E72:AI72,"Ro")+COUNTIF(E72:AI72,"Ro1")*7/8+COUNTIF(E72:AI72,"Ro2")*6/8+COUNTIF(E72:AI72,"Ro3")*5/8+COUNTIF(E72:AI72,"Ro4")*4/8+COUNTIF(E72:AI72,"Ro4.0")*4/8+COUNTIF(E72:AI72,"Ro5")*3/8+COUNTIF(E72:AI72,"Ro6")*2/8+COUNTIF(E72:AI72,"Ro6.5")*1.5/8+COUNTIF(E72:AI72,"Ro7")*1/8+COUNTIF(E72:AI72,"Ro7.3")*0.7/8+COUNTIF(E72:AI72,"Ro7.5")*0.5/8+COUNTIF(E72:AI72,"Ro7.8")*0.2/8+COUNTIF(E72:AI72,"N7")*1/8+COUNTIF(E72:AI72,"N6")*2/8+COUNTIF(E72:AI72,"N5")*3/8+COUNTIF(E72:AI72,"N4")*4/8+COUNTIF(E72:AI72,"N3")*5/8+COUNTIF(E72:AI72,"N2")*6/8+COUNTIF(E72:AI72,"N1")*7/8</f>
        <v>0</v>
      </c>
      <c r="AR72" s="327">
        <f t="shared" si="57"/>
        <v>0</v>
      </c>
      <c r="AS72" s="327">
        <f t="shared" si="58"/>
        <v>0</v>
      </c>
      <c r="AT72" s="327"/>
      <c r="AU72" s="327"/>
      <c r="AV72" s="327"/>
      <c r="AW72" s="327"/>
      <c r="AX72" s="327"/>
      <c r="AY72" s="338"/>
      <c r="AZ72" s="327">
        <f t="shared" si="59"/>
        <v>13</v>
      </c>
      <c r="BA72" s="346"/>
      <c r="BB72" s="27">
        <v>9</v>
      </c>
      <c r="BC72" s="27" t="str">
        <f>VLOOKUP(B72,'[2]Bang luong_06'!$B$10:$C$333,2,0)</f>
        <v>Nguyễn Thị Kim Hoanh</v>
      </c>
      <c r="BE72" s="151" t="str">
        <f>VLOOKUP($B72,'[2]Bang luong_06'!$B$10:$C$333,2,0)</f>
        <v>Nguyễn Thị Kim Hoanh</v>
      </c>
      <c r="BF72" s="27" t="b">
        <f t="shared" ref="BF72:BF85" si="61">BE72=C72</f>
        <v>1</v>
      </c>
      <c r="BH72" s="349" t="e">
        <f>+VLOOKUP(B72,'[2]Thưởng Lễ 2-9'!$B$5:$G$294,6,0)</f>
        <v>#N/A</v>
      </c>
      <c r="BI72" s="27" t="s">
        <v>652</v>
      </c>
      <c r="BK72" s="27" t="e">
        <v>#N/A</v>
      </c>
      <c r="BN72" s="350">
        <v>-1</v>
      </c>
      <c r="BGJ72" s="145" t="s">
        <v>652</v>
      </c>
    </row>
    <row r="73" spans="1:66 1544:1544" s="145" customFormat="1" ht="21.75" customHeight="1" outlineLevel="1" x14ac:dyDescent="0.25">
      <c r="A73" s="88">
        <f t="shared" si="3"/>
        <v>52</v>
      </c>
      <c r="B73" s="333" t="s">
        <v>653</v>
      </c>
      <c r="C73" s="333" t="s">
        <v>652</v>
      </c>
      <c r="D73" s="334">
        <v>39221</v>
      </c>
      <c r="E73" s="323" t="s">
        <v>38</v>
      </c>
      <c r="F73" s="323" t="s">
        <v>38</v>
      </c>
      <c r="G73" s="323" t="s">
        <v>38</v>
      </c>
      <c r="H73" s="323" t="s">
        <v>38</v>
      </c>
      <c r="I73" s="323" t="s">
        <v>38</v>
      </c>
      <c r="J73" s="323" t="s">
        <v>38</v>
      </c>
      <c r="K73" s="323"/>
      <c r="L73" s="323" t="s">
        <v>38</v>
      </c>
      <c r="M73" s="323" t="s">
        <v>38</v>
      </c>
      <c r="N73" s="323" t="s">
        <v>38</v>
      </c>
      <c r="O73" s="323" t="s">
        <v>38</v>
      </c>
      <c r="P73" s="323" t="s">
        <v>38</v>
      </c>
      <c r="Q73" s="323" t="s">
        <v>38</v>
      </c>
      <c r="R73" s="323"/>
      <c r="S73" s="323" t="s">
        <v>38</v>
      </c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69">
        <f>VLOOKUP($B73,[1]NV!$B$9:$DL$219,114,0)</f>
        <v>-2</v>
      </c>
      <c r="AK73" s="325">
        <f t="shared" si="27"/>
        <v>13</v>
      </c>
      <c r="AL73" s="325">
        <f t="shared" si="51"/>
        <v>0</v>
      </c>
      <c r="AM73" s="326">
        <f t="shared" si="52"/>
        <v>26</v>
      </c>
      <c r="AN73" s="327">
        <f t="shared" si="53"/>
        <v>13</v>
      </c>
      <c r="AO73" s="327">
        <f t="shared" si="54"/>
        <v>0</v>
      </c>
      <c r="AP73" s="327">
        <f t="shared" si="55"/>
        <v>0</v>
      </c>
      <c r="AQ73" s="327">
        <f>COUNTIF(E73:AI73,"KL")+COUNTIF(E73:AI73,"O")+COUNTIF(E73:AI73,"O/")/2+COUNTIF(E73:AI73,"TN")+COUNTIF(E73:AI73,"4P4KL")/2+COUNTIF(E73:AI73,"P1")*0.5+COUNTIF(E73:AI73,"Ro")+COUNTIF(E73:AI73,"Ro1")*7/8+COUNTIF(E73:AI73,"Ro2")*6/8+COUNTIF(E73:AI73,"Ro3")*5/8+COUNTIF(E73:AI73,"Ro4")*4/8+COUNTIF(E73:AI73,"Ro4.0")*4/8+COUNTIF(E73:AI73,"Ro5")*3/8+COUNTIF(E73:AI73,"Ro6")*2/8+COUNTIF(E73:AI73,"Ro6.5")*1.5/8+COUNTIF(E73:AI73,"Ro7")*1/8+COUNTIF(E73:AI73,"Ro7.3")*0.7/8+COUNTIF(E73:AI73,"Ro7.5")*0.5/8+COUNTIF(E73:AI73,"Ro7.8")*0.2/8+COUNTIF(E73:AI73,"N7")*1/8+COUNTIF(E73:AI73,"N6")*2/8+COUNTIF(E73:AI73,"N5")*3/8+COUNTIF(E73:AI73,"N4")*4/8+COUNTIF(E73:AI73,"N3")*5/8+COUNTIF(E73:AI73,"N2")*6/8+COUNTIF(E73:AI73,"N1")*7/8</f>
        <v>0</v>
      </c>
      <c r="AR73" s="327">
        <f t="shared" si="57"/>
        <v>0</v>
      </c>
      <c r="AS73" s="327">
        <f t="shared" si="58"/>
        <v>0</v>
      </c>
      <c r="AT73" s="327"/>
      <c r="AU73" s="327"/>
      <c r="AV73" s="327"/>
      <c r="AW73" s="327"/>
      <c r="AX73" s="327"/>
      <c r="AY73" s="338"/>
      <c r="AZ73" s="327">
        <f t="shared" si="59"/>
        <v>13</v>
      </c>
      <c r="BA73" s="346"/>
      <c r="BB73" s="27">
        <v>9</v>
      </c>
      <c r="BC73" s="27" t="str">
        <f>VLOOKUP(B73,'[2]Bang luong_06'!$B$10:$C$333,2,0)</f>
        <v>Phạm Văn Doãn</v>
      </c>
      <c r="BE73" s="151" t="str">
        <f>VLOOKUP($B73,'[2]Bang luong_06'!$B$10:$C$333,2,0)</f>
        <v>Phạm Văn Doãn</v>
      </c>
      <c r="BF73" s="27" t="b">
        <f t="shared" si="61"/>
        <v>1</v>
      </c>
      <c r="BH73" s="349">
        <f>+VLOOKUP(B73,'[2]Thưởng Lễ 2-9'!$B$5:$G$294,6,0)</f>
        <v>0</v>
      </c>
      <c r="BI73" s="27" t="s">
        <v>652</v>
      </c>
      <c r="BK73" s="27" t="e">
        <v>#N/A</v>
      </c>
      <c r="BN73" s="350">
        <v>-1</v>
      </c>
      <c r="BGJ73" s="145" t="s">
        <v>652</v>
      </c>
    </row>
    <row r="74" spans="1:66 1544:1544" s="145" customFormat="1" ht="16.5" customHeight="1" outlineLevel="1" x14ac:dyDescent="0.25">
      <c r="A74" s="88">
        <f>IF(B74="","",MAX(A71:A73)+1)</f>
        <v>53</v>
      </c>
      <c r="B74" s="333" t="s">
        <v>654</v>
      </c>
      <c r="C74" s="333" t="s">
        <v>655</v>
      </c>
      <c r="D74" s="334">
        <v>45278</v>
      </c>
      <c r="E74" s="323" t="s">
        <v>38</v>
      </c>
      <c r="F74" s="323" t="s">
        <v>38</v>
      </c>
      <c r="G74" s="323" t="s">
        <v>38</v>
      </c>
      <c r="H74" s="323" t="s">
        <v>38</v>
      </c>
      <c r="I74" s="323" t="s">
        <v>38</v>
      </c>
      <c r="J74" s="323" t="s">
        <v>38</v>
      </c>
      <c r="K74" s="323"/>
      <c r="L74" s="323" t="s">
        <v>38</v>
      </c>
      <c r="M74" s="323" t="s">
        <v>38</v>
      </c>
      <c r="N74" s="323" t="s">
        <v>38</v>
      </c>
      <c r="O74" s="323" t="s">
        <v>38</v>
      </c>
      <c r="P74" s="323" t="s">
        <v>38</v>
      </c>
      <c r="Q74" s="323" t="s">
        <v>38</v>
      </c>
      <c r="R74" s="323"/>
      <c r="S74" s="323" t="s">
        <v>38</v>
      </c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69">
        <f>VLOOKUP($B74,[1]NV!$B$9:$DL$219,114,0)</f>
        <v>5</v>
      </c>
      <c r="AK74" s="325">
        <f t="shared" si="27"/>
        <v>13</v>
      </c>
      <c r="AL74" s="325">
        <f t="shared" si="51"/>
        <v>0</v>
      </c>
      <c r="AM74" s="326">
        <f t="shared" si="52"/>
        <v>26</v>
      </c>
      <c r="AN74" s="327">
        <f t="shared" si="53"/>
        <v>13</v>
      </c>
      <c r="AO74" s="327">
        <f t="shared" si="54"/>
        <v>0</v>
      </c>
      <c r="AP74" s="327">
        <f t="shared" si="55"/>
        <v>0</v>
      </c>
      <c r="AQ74" s="327">
        <f t="shared" si="56"/>
        <v>0</v>
      </c>
      <c r="AR74" s="327">
        <f t="shared" si="57"/>
        <v>0</v>
      </c>
      <c r="AS74" s="327">
        <f t="shared" si="58"/>
        <v>0</v>
      </c>
      <c r="AT74" s="327"/>
      <c r="AU74" s="327"/>
      <c r="AV74" s="327"/>
      <c r="AW74" s="327"/>
      <c r="AX74" s="327"/>
      <c r="AY74" s="338"/>
      <c r="AZ74" s="327">
        <f t="shared" si="59"/>
        <v>13</v>
      </c>
      <c r="BA74" s="347"/>
      <c r="BB74" s="27">
        <v>8</v>
      </c>
      <c r="BC74" s="27" t="str">
        <f>VLOOKUP(B74,'[2]Bang luong_06'!$B$10:$C$333,2,0)</f>
        <v>Lê Thông</v>
      </c>
      <c r="BE74" s="151" t="str">
        <f>VLOOKUP($B74,'[2]Bang luong_06'!$B$10:$C$333,2,0)</f>
        <v>Lê Thông</v>
      </c>
      <c r="BF74" s="27" t="b">
        <f t="shared" si="61"/>
        <v>1</v>
      </c>
      <c r="BH74" s="332">
        <f>+VLOOKUP(B74,'[2]Thưởng Lễ 2-9'!$B$5:$G$294,6,0)</f>
        <v>0</v>
      </c>
      <c r="BI74" s="27" t="s">
        <v>655</v>
      </c>
      <c r="BK74" s="27" t="e">
        <v>#N/A</v>
      </c>
      <c r="BN74" s="330">
        <v>-1</v>
      </c>
    </row>
    <row r="75" spans="1:66 1544:1544" ht="26.25" customHeight="1" outlineLevel="1" x14ac:dyDescent="0.25">
      <c r="A75" s="88">
        <f t="shared" ref="A75:A113" si="62">IF(B75="","",MAX(A73:A74)+1)</f>
        <v>54</v>
      </c>
      <c r="B75" s="333" t="s">
        <v>656</v>
      </c>
      <c r="C75" s="333" t="s">
        <v>657</v>
      </c>
      <c r="D75" s="334">
        <v>44501</v>
      </c>
      <c r="E75" s="323" t="s">
        <v>38</v>
      </c>
      <c r="F75" s="323" t="s">
        <v>38</v>
      </c>
      <c r="G75" s="323" t="s">
        <v>38</v>
      </c>
      <c r="H75" s="323" t="s">
        <v>38</v>
      </c>
      <c r="I75" s="323" t="s">
        <v>38</v>
      </c>
      <c r="J75" s="323" t="s">
        <v>38</v>
      </c>
      <c r="K75" s="323"/>
      <c r="L75" s="323" t="s">
        <v>38</v>
      </c>
      <c r="M75" s="323" t="s">
        <v>38</v>
      </c>
      <c r="N75" s="323" t="s">
        <v>38</v>
      </c>
      <c r="O75" s="323" t="s">
        <v>38</v>
      </c>
      <c r="P75" s="323" t="s">
        <v>38</v>
      </c>
      <c r="Q75" s="323" t="s">
        <v>38</v>
      </c>
      <c r="R75" s="323"/>
      <c r="S75" s="323" t="s">
        <v>107</v>
      </c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69">
        <f>VLOOKUP($B75,[1]NV!$B$9:$DL$219,114,0)</f>
        <v>-11</v>
      </c>
      <c r="AK75" s="325">
        <f t="shared" si="27"/>
        <v>12</v>
      </c>
      <c r="AL75" s="325">
        <f t="shared" si="51"/>
        <v>0</v>
      </c>
      <c r="AM75" s="326">
        <f t="shared" si="52"/>
        <v>26</v>
      </c>
      <c r="AN75" s="327">
        <f t="shared" si="53"/>
        <v>12</v>
      </c>
      <c r="AO75" s="327">
        <f t="shared" si="54"/>
        <v>1</v>
      </c>
      <c r="AP75" s="327">
        <f t="shared" si="55"/>
        <v>0</v>
      </c>
      <c r="AQ75" s="327">
        <f t="shared" si="56"/>
        <v>0</v>
      </c>
      <c r="AR75" s="327">
        <f t="shared" si="57"/>
        <v>0</v>
      </c>
      <c r="AS75" s="327">
        <f t="shared" si="58"/>
        <v>0</v>
      </c>
      <c r="AT75" s="327"/>
      <c r="AU75" s="327"/>
      <c r="AV75" s="327"/>
      <c r="AW75" s="327"/>
      <c r="AX75" s="327"/>
      <c r="AY75" s="327"/>
      <c r="AZ75" s="327">
        <f t="shared" si="59"/>
        <v>13</v>
      </c>
      <c r="BA75" s="345"/>
      <c r="BB75" s="27">
        <v>8</v>
      </c>
      <c r="BC75" s="27" t="str">
        <f>VLOOKUP(B75,'[2]Bang luong_06'!$B$10:$C$333,2,0)</f>
        <v>Phạm Thành Luân</v>
      </c>
      <c r="BE75" s="151" t="str">
        <f>VLOOKUP($B75,'[2]Bang luong_06'!$B$10:$C$333,2,0)</f>
        <v>Phạm Thành Luân</v>
      </c>
      <c r="BF75" s="27" t="b">
        <f t="shared" si="61"/>
        <v>1</v>
      </c>
      <c r="BH75" s="332">
        <f>+VLOOKUP(B75,'[2]Thưởng Lễ 2-9'!$B$5:$G$294,6,0)</f>
        <v>0</v>
      </c>
      <c r="BI75" s="27" t="s">
        <v>657</v>
      </c>
      <c r="BK75" s="27" t="s">
        <v>657</v>
      </c>
      <c r="BN75" s="330">
        <v>-7.5</v>
      </c>
      <c r="BGJ75" s="27" t="e">
        <v>#REF!</v>
      </c>
    </row>
    <row r="76" spans="1:66 1544:1544" ht="16.5" customHeight="1" outlineLevel="1" x14ac:dyDescent="0.25">
      <c r="A76" s="88">
        <f t="shared" si="62"/>
        <v>55</v>
      </c>
      <c r="B76" s="333" t="s">
        <v>658</v>
      </c>
      <c r="C76" s="333" t="s">
        <v>540</v>
      </c>
      <c r="D76" s="334">
        <v>42086</v>
      </c>
      <c r="E76" s="323" t="s">
        <v>38</v>
      </c>
      <c r="F76" s="323" t="s">
        <v>38</v>
      </c>
      <c r="G76" s="323" t="s">
        <v>38</v>
      </c>
      <c r="H76" s="323" t="s">
        <v>38</v>
      </c>
      <c r="I76" s="323" t="s">
        <v>38</v>
      </c>
      <c r="J76" s="323" t="s">
        <v>38</v>
      </c>
      <c r="K76" s="323"/>
      <c r="L76" s="323" t="s">
        <v>38</v>
      </c>
      <c r="M76" s="323" t="s">
        <v>38</v>
      </c>
      <c r="N76" s="323" t="s">
        <v>38</v>
      </c>
      <c r="O76" s="323" t="s">
        <v>38</v>
      </c>
      <c r="P76" s="323" t="s">
        <v>38</v>
      </c>
      <c r="Q76" s="323" t="s">
        <v>38</v>
      </c>
      <c r="R76" s="323"/>
      <c r="S76" s="323" t="s">
        <v>107</v>
      </c>
      <c r="T76" s="323"/>
      <c r="U76" s="323"/>
      <c r="V76" s="323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  <c r="AI76" s="323"/>
      <c r="AJ76" s="69">
        <f>VLOOKUP($B76,[1]NV!$B$9:$DL$219,114,0)</f>
        <v>5</v>
      </c>
      <c r="AK76" s="325">
        <f t="shared" si="27"/>
        <v>12</v>
      </c>
      <c r="AL76" s="325">
        <f t="shared" si="51"/>
        <v>0</v>
      </c>
      <c r="AM76" s="326">
        <f t="shared" si="52"/>
        <v>26</v>
      </c>
      <c r="AN76" s="327">
        <f t="shared" si="53"/>
        <v>12</v>
      </c>
      <c r="AO76" s="327">
        <f t="shared" si="54"/>
        <v>1</v>
      </c>
      <c r="AP76" s="327">
        <f t="shared" si="55"/>
        <v>0</v>
      </c>
      <c r="AQ76" s="327">
        <f t="shared" si="56"/>
        <v>0</v>
      </c>
      <c r="AR76" s="327">
        <f t="shared" si="57"/>
        <v>0</v>
      </c>
      <c r="AS76" s="327">
        <f t="shared" si="58"/>
        <v>0</v>
      </c>
      <c r="AT76" s="327"/>
      <c r="AU76" s="327"/>
      <c r="AV76" s="327"/>
      <c r="AW76" s="327"/>
      <c r="AX76" s="327"/>
      <c r="AY76" s="327"/>
      <c r="AZ76" s="327">
        <f t="shared" si="59"/>
        <v>13</v>
      </c>
      <c r="BA76" s="331"/>
      <c r="BB76" s="27">
        <v>8</v>
      </c>
      <c r="BC76" s="27" t="str">
        <f>VLOOKUP(B76,'[2]Bang luong_06'!$B$10:$C$333,2,0)</f>
        <v>Nguyễn Công Uẩn</v>
      </c>
      <c r="BE76" s="151" t="str">
        <f>VLOOKUP($B76,'[2]Bang luong_06'!$B$10:$C$333,2,0)</f>
        <v>Nguyễn Công Uẩn</v>
      </c>
      <c r="BF76" s="27" t="b">
        <f t="shared" si="61"/>
        <v>1</v>
      </c>
      <c r="BH76" s="332">
        <f>+VLOOKUP(B76,'[2]Thưởng Lễ 2-9'!$B$5:$G$294,6,0)</f>
        <v>0</v>
      </c>
      <c r="BI76" s="27" t="s">
        <v>540</v>
      </c>
      <c r="BK76" s="27" t="s">
        <v>540</v>
      </c>
      <c r="BN76" s="330">
        <v>9.5</v>
      </c>
      <c r="BGJ76" s="27" t="e">
        <v>#REF!</v>
      </c>
    </row>
    <row r="77" spans="1:66 1544:1544" ht="16.5" customHeight="1" outlineLevel="1" x14ac:dyDescent="0.25">
      <c r="A77" s="88">
        <f t="shared" si="62"/>
        <v>56</v>
      </c>
      <c r="B77" s="333" t="s">
        <v>659</v>
      </c>
      <c r="C77" s="333" t="s">
        <v>660</v>
      </c>
      <c r="D77" s="334">
        <v>44623</v>
      </c>
      <c r="E77" s="323" t="s">
        <v>38</v>
      </c>
      <c r="F77" s="323" t="s">
        <v>38</v>
      </c>
      <c r="G77" s="323" t="s">
        <v>38</v>
      </c>
      <c r="H77" s="323" t="s">
        <v>38</v>
      </c>
      <c r="I77" s="323" t="s">
        <v>38</v>
      </c>
      <c r="J77" s="323" t="s">
        <v>38</v>
      </c>
      <c r="K77" s="323"/>
      <c r="L77" s="323" t="s">
        <v>38</v>
      </c>
      <c r="M77" s="323" t="s">
        <v>38</v>
      </c>
      <c r="N77" s="323" t="s">
        <v>107</v>
      </c>
      <c r="O77" s="323" t="s">
        <v>38</v>
      </c>
      <c r="P77" s="323" t="s">
        <v>38</v>
      </c>
      <c r="Q77" s="323" t="s">
        <v>38</v>
      </c>
      <c r="R77" s="323"/>
      <c r="S77" s="323" t="s">
        <v>38</v>
      </c>
      <c r="T77" s="323"/>
      <c r="U77" s="323"/>
      <c r="V77" s="323"/>
      <c r="W77" s="323"/>
      <c r="X77" s="323"/>
      <c r="Y77" s="323"/>
      <c r="Z77" s="323"/>
      <c r="AA77" s="323"/>
      <c r="AB77" s="323"/>
      <c r="AC77" s="323"/>
      <c r="AD77" s="323"/>
      <c r="AE77" s="323"/>
      <c r="AF77" s="323"/>
      <c r="AG77" s="323"/>
      <c r="AH77" s="323"/>
      <c r="AI77" s="323"/>
      <c r="AJ77" s="69">
        <f>VLOOKUP($B77,[1]NV!$B$9:$DL$219,114,0)</f>
        <v>5</v>
      </c>
      <c r="AK77" s="325">
        <f t="shared" si="27"/>
        <v>12</v>
      </c>
      <c r="AL77" s="325">
        <f t="shared" si="51"/>
        <v>0</v>
      </c>
      <c r="AM77" s="326">
        <f t="shared" si="52"/>
        <v>26</v>
      </c>
      <c r="AN77" s="327">
        <f t="shared" si="53"/>
        <v>12</v>
      </c>
      <c r="AO77" s="327">
        <f t="shared" si="54"/>
        <v>1</v>
      </c>
      <c r="AP77" s="327">
        <f t="shared" si="55"/>
        <v>0</v>
      </c>
      <c r="AQ77" s="327">
        <f t="shared" si="56"/>
        <v>0</v>
      </c>
      <c r="AR77" s="327">
        <f t="shared" si="57"/>
        <v>0</v>
      </c>
      <c r="AS77" s="327">
        <f t="shared" si="58"/>
        <v>0</v>
      </c>
      <c r="AT77" s="327"/>
      <c r="AU77" s="327"/>
      <c r="AV77" s="327"/>
      <c r="AW77" s="327"/>
      <c r="AX77" s="327"/>
      <c r="AY77" s="327"/>
      <c r="AZ77" s="327">
        <f t="shared" si="59"/>
        <v>13</v>
      </c>
      <c r="BA77" s="331"/>
      <c r="BB77" s="27">
        <v>8</v>
      </c>
      <c r="BC77" s="27" t="str">
        <f>VLOOKUP(B77,'[2]Bang luong_06'!$B$10:$C$333,2,0)</f>
        <v>Nguyễn Thị Yến Nhi</v>
      </c>
      <c r="BE77" s="151" t="str">
        <f>VLOOKUP($B77,'[2]Bang luong_06'!$B$10:$C$333,2,0)</f>
        <v>Nguyễn Thị Yến Nhi</v>
      </c>
      <c r="BF77" s="27" t="b">
        <f t="shared" si="61"/>
        <v>1</v>
      </c>
      <c r="BH77" s="332">
        <f>+VLOOKUP(B77,'[2]Thưởng Lễ 2-9'!$B$5:$G$294,6,0)</f>
        <v>0</v>
      </c>
      <c r="BI77" s="27" t="s">
        <v>660</v>
      </c>
      <c r="BK77" s="27" t="s">
        <v>660</v>
      </c>
      <c r="BN77" s="330">
        <v>7</v>
      </c>
    </row>
    <row r="78" spans="1:66 1544:1544" s="145" customFormat="1" ht="16.5" customHeight="1" outlineLevel="1" x14ac:dyDescent="0.25">
      <c r="A78" s="88">
        <f t="shared" si="62"/>
        <v>57</v>
      </c>
      <c r="B78" s="333" t="s">
        <v>661</v>
      </c>
      <c r="C78" s="333" t="s">
        <v>662</v>
      </c>
      <c r="D78" s="343">
        <v>45544</v>
      </c>
      <c r="E78" s="323" t="s">
        <v>38</v>
      </c>
      <c r="F78" s="323" t="s">
        <v>38</v>
      </c>
      <c r="G78" s="323" t="s">
        <v>38</v>
      </c>
      <c r="H78" s="323" t="s">
        <v>38</v>
      </c>
      <c r="I78" s="323" t="s">
        <v>38</v>
      </c>
      <c r="J78" s="323" t="s">
        <v>38</v>
      </c>
      <c r="K78" s="323"/>
      <c r="L78" s="323" t="s">
        <v>38</v>
      </c>
      <c r="M78" s="323" t="s">
        <v>38</v>
      </c>
      <c r="N78" s="323" t="s">
        <v>38</v>
      </c>
      <c r="O78" s="323" t="s">
        <v>38</v>
      </c>
      <c r="P78" s="323" t="s">
        <v>38</v>
      </c>
      <c r="Q78" s="323" t="s">
        <v>38</v>
      </c>
      <c r="R78" s="323"/>
      <c r="S78" s="323" t="s">
        <v>38</v>
      </c>
      <c r="T78" s="323"/>
      <c r="U78" s="323"/>
      <c r="V78" s="323"/>
      <c r="W78" s="323"/>
      <c r="X78" s="323"/>
      <c r="Y78" s="323"/>
      <c r="Z78" s="323"/>
      <c r="AA78" s="323"/>
      <c r="AB78" s="323"/>
      <c r="AC78" s="323"/>
      <c r="AD78" s="323"/>
      <c r="AE78" s="323"/>
      <c r="AF78" s="323"/>
      <c r="AG78" s="323"/>
      <c r="AH78" s="323"/>
      <c r="AI78" s="323"/>
      <c r="AJ78" s="69">
        <f>VLOOKUP($B78,[1]NV!$B$9:$DL$219,114,0)</f>
        <v>5</v>
      </c>
      <c r="AK78" s="325">
        <f t="shared" si="27"/>
        <v>13</v>
      </c>
      <c r="AL78" s="325">
        <f t="shared" si="51"/>
        <v>0</v>
      </c>
      <c r="AM78" s="326">
        <f t="shared" si="52"/>
        <v>26</v>
      </c>
      <c r="AN78" s="327">
        <f t="shared" si="53"/>
        <v>13</v>
      </c>
      <c r="AO78" s="327">
        <f t="shared" si="54"/>
        <v>0</v>
      </c>
      <c r="AP78" s="327">
        <f t="shared" si="55"/>
        <v>0</v>
      </c>
      <c r="AQ78" s="327">
        <f t="shared" si="56"/>
        <v>0</v>
      </c>
      <c r="AR78" s="327">
        <f t="shared" si="57"/>
        <v>0</v>
      </c>
      <c r="AS78" s="327">
        <f t="shared" si="58"/>
        <v>0</v>
      </c>
      <c r="AT78" s="327"/>
      <c r="AU78" s="327"/>
      <c r="AV78" s="327"/>
      <c r="AW78" s="327"/>
      <c r="AX78" s="327"/>
      <c r="AY78" s="338"/>
      <c r="AZ78" s="327">
        <f t="shared" si="59"/>
        <v>13</v>
      </c>
      <c r="BA78" s="347"/>
      <c r="BB78" s="27">
        <v>8</v>
      </c>
      <c r="BC78" s="27" t="str">
        <f>VLOOKUP(B78,'[2]Bang luong_06'!$B$10:$C$333,2,0)</f>
        <v>Lê Văn Phụ</v>
      </c>
      <c r="BE78" s="151" t="str">
        <f>VLOOKUP($B78,'[2]Bang luong_06'!$B$10:$C$333,2,0)</f>
        <v>Lê Văn Phụ</v>
      </c>
      <c r="BF78" s="27" t="b">
        <f t="shared" si="61"/>
        <v>1</v>
      </c>
      <c r="BH78" s="329">
        <v>0</v>
      </c>
      <c r="BI78" s="27" t="s">
        <v>662</v>
      </c>
      <c r="BK78" s="27" t="e">
        <v>#N/A</v>
      </c>
      <c r="BN78" s="330">
        <v>0</v>
      </c>
    </row>
    <row r="79" spans="1:66 1544:1544" s="145" customFormat="1" ht="16.5" customHeight="1" outlineLevel="1" x14ac:dyDescent="0.25">
      <c r="A79" s="88">
        <f t="shared" si="62"/>
        <v>58</v>
      </c>
      <c r="B79" s="333" t="s">
        <v>663</v>
      </c>
      <c r="C79" s="333" t="s">
        <v>664</v>
      </c>
      <c r="D79" s="343">
        <v>45762</v>
      </c>
      <c r="E79" s="323" t="s">
        <v>38</v>
      </c>
      <c r="F79" s="323" t="s">
        <v>38</v>
      </c>
      <c r="G79" s="323" t="s">
        <v>38</v>
      </c>
      <c r="H79" s="323" t="s">
        <v>38</v>
      </c>
      <c r="I79" s="323" t="s">
        <v>38</v>
      </c>
      <c r="J79" s="323" t="s">
        <v>38</v>
      </c>
      <c r="K79" s="323"/>
      <c r="L79" s="323" t="s">
        <v>38</v>
      </c>
      <c r="M79" s="323" t="s">
        <v>38</v>
      </c>
      <c r="N79" s="323" t="s">
        <v>38</v>
      </c>
      <c r="O79" s="323" t="s">
        <v>38</v>
      </c>
      <c r="P79" s="323" t="s">
        <v>107</v>
      </c>
      <c r="Q79" s="323" t="s">
        <v>38</v>
      </c>
      <c r="R79" s="323"/>
      <c r="S79" s="323" t="s">
        <v>38</v>
      </c>
      <c r="T79" s="323"/>
      <c r="U79" s="323"/>
      <c r="V79" s="323"/>
      <c r="W79" s="323"/>
      <c r="X79" s="323"/>
      <c r="Y79" s="323"/>
      <c r="Z79" s="323"/>
      <c r="AA79" s="323"/>
      <c r="AB79" s="323"/>
      <c r="AC79" s="323"/>
      <c r="AD79" s="323"/>
      <c r="AE79" s="323"/>
      <c r="AF79" s="323"/>
      <c r="AG79" s="323"/>
      <c r="AH79" s="323"/>
      <c r="AI79" s="323"/>
      <c r="AJ79" s="69">
        <f>VLOOKUP($B79,[1]NV!$B$9:$DL$219,114,0)</f>
        <v>3</v>
      </c>
      <c r="AK79" s="351">
        <f>COUNTIF(E79:AI79,"N")+COUNTIF(E79:AI79,"N1")*1/BB79+COUNTIF(E79:AI79,"N2")*2/BB79+COUNTIF(E79:AI79,"N3")*3/BB79+COUNTIF(E79:AI79,"N4")*4/BB79+COUNTIF(E79:AI79,"N5")*5/BB79+COUNTIF(E79:AI79,"N6")*6/BB79+COUNTIF(E79:AI79,"N7")*7/BB79+COUNTIF(E79:AI79,"N8")*8/BB79+COUNTIF(E79:AI79,"N9")*9/BB79+COUNTIF(E79:AI79,"N10")*10/BB79+COUNTIF(E79:AI79,"N11")*11/BB79+COUNTIF(E79:AI79,"N12")*12/BB79+COUNTIF(E79:AI79,"Ro1")*1/BB79+COUNTIF(E79:AI79,"Ro2")*2/BB79+COUNTIF(E79:AI79,"Ro3")*3/BB79+COUNTIF(E79:AI79,"Ro3.0")*3/BB79+COUNTIF(E79:AI79,"Ro4")*4/BB79+COUNTIF(E79:AI79,"Ro4.0")*4/BB79+COUNTIF(E79:AI79,"Ro4.5")*4.5/BB79+COUNTIF(E79:AI79,"Ro5")*5/BB79+COUNTIF(E79:AI79,"Ro5.0")*5/BB79+COUNTIF(E79:AI79,"Ro5.5")*5.5/BB79+COUNTIF(E79:AI79,"Ro6")*6/BB79+COUNTIF(E79:AI79,"Ro7")*7/BB79+COUNTIF(E79:AI79,"Ro8")*8/BB79+COUNTIF(E79:AI79,"Ro8.0")*8/BB79+COUNTIF(E79:AI79,"Ro8.3")*8.3/BB79+COUNTIF(E79:AI79,"Ro8.5")*8.5/BB79+COUNTIF(E79:AI79,"Ro9")*9/BB79+COUNTIF(E79:AI79,"Ro9.5")*9.5/BB79+COUNTIF(E79:AI79,"Ro10")*10/BB79+COUNTIF(E79:AI79,"Ro10.0")*10/BB79+COUNTIF(E79:AI79,"Ro10.5")*10.5/BB79+COUNTIF(E79:AI79,"Ro11")*11/BB79+COUNTIF(E79:AI79,"Ro11.0")*11/BB79+COUNTIF(E79:AI79,"Ro11.5")*11.5/BB79+COUNTIF(E79:AI79,"Bu1")+COUNTIF(E79:AI79,"Bu2")+COUNTIF(E79:AI79,"Bu3")+COUNTIF(E79:AI79,"Bu4")+COUNTIF(E79:AI79,"Bu5")+COUNTIF(E79:AI79,"Bu6")+COUNTIF(E79:AI79,"Bu7")+COUNTIF(E79:AI79,"Bu8")+COUNTIF(E79:AI79,"Bu9")+COUNTIF(E79:AI79,"Bu10")+COUNTIF(E79:AI79,"Bu11")+COUNTIF(E79:AI79,"Bu")+COUNTIF(E79:AI79,"P2")*0.5</f>
        <v>12</v>
      </c>
      <c r="AL79" s="325">
        <f>COUNTIF(E79:AI79,"D")+COUNTIF(E79:AI79,"D1")*1/BB79+COUNTIF(E79:AI79,"D2")*2/BB79+COUNTIF(E79:AI79,"D3")*3/BB79+COUNTIF(E79:AI79,"D4")*4/BB79+COUNTIF(E79:AI79,"D5")*5/BB79+COUNTIF(E79:AI79,"D6")*6/BB79+COUNTIF(E79:AI79,"D7")*7/BB79+COUNTIF(E79:AI79,"D8")*8/BB79</f>
        <v>0</v>
      </c>
      <c r="AM79" s="326">
        <f t="shared" si="52"/>
        <v>26</v>
      </c>
      <c r="AN79" s="327">
        <f>AK79+AL79</f>
        <v>12</v>
      </c>
      <c r="AO79" s="327">
        <f>COUNTIF(E79:AI79,"p")+COUNTIF(E79:AI79,"P2")/2+COUNTIF(E79:AI79,"P1")/2</f>
        <v>1</v>
      </c>
      <c r="AP79" s="327">
        <f>COUNTIF(E79:AI79,"k")</f>
        <v>0</v>
      </c>
      <c r="AQ79" s="327">
        <f>COUNTIF(E79:AI79,"KL")+COUNTIF(E79:AI79,"O")+COUNTIF(E79:AI79,"O/")/2+COUNTIF(E79:AI79,"TN")+COUNTIF(E79:AI79,"4P4KL")/2+COUNTIF(E79:AI79,"P1")*0.5+COUNTIF(E79:AI79,"Ro")+COUNTIF(E79:AI79,"Ro1")*7/8+COUNTIF(E79:AI79,"Ro2")*6/8+COUNTIF(E79:AI79,"Ro3")*5/8+COUNTIF(E79:AI79,"Ro4")*4/8+COUNTIF(E79:AI79,"Ro4.0")*4/8+COUNTIF(E79:AI79,"Ro5")*3/8+COUNTIF(E79:AI79,"Ro6")*2/8+COUNTIF(E79:AI79,"Ro6.5")*1.5/8+COUNTIF(E79:AI79,"Ro7")*1/8+COUNTIF(E79:AI79,"Ro7.3")*0.7/8+COUNTIF(E79:AI79,"Ro7.5")*0.5/8+COUNTIF(E79:AI79,"Ro7.8")*0.2/8+COUNTIF(E79:AI79,"N7")*1/8+COUNTIF(E79:AI79,"N6")*2/8+COUNTIF(E79:AI79,"N5")*3/8+COUNTIF(E79:AI79,"N4")*4/8+COUNTIF(E79:AI79,"N3")*5/8+COUNTIF(E79:AI79,"N2")*6/8+COUNTIF(E79:AI79,"N1")*7/8</f>
        <v>0</v>
      </c>
      <c r="AR79" s="327">
        <f>COUNTIF(E79:AI79,"*R")</f>
        <v>0</v>
      </c>
      <c r="AS79" s="327">
        <f>COUNTIF(E79:AI79,"L")*1+COUNTIF(E79:AI79,"0.5L")*0.5</f>
        <v>0</v>
      </c>
      <c r="AT79" s="327"/>
      <c r="AU79" s="327"/>
      <c r="AV79" s="327"/>
      <c r="AW79" s="327"/>
      <c r="AX79" s="327"/>
      <c r="AY79" s="338"/>
      <c r="AZ79" s="327">
        <f>AN79+AO79+AS79+AR79</f>
        <v>13</v>
      </c>
      <c r="BA79" s="347"/>
      <c r="BB79" s="27">
        <v>8</v>
      </c>
      <c r="BC79" s="27" t="str">
        <f>VLOOKUP(B79,'[2]Bang luong_06'!$B$10:$C$333,2,0)</f>
        <v>Nguyễn Minh Tài</v>
      </c>
      <c r="BE79" s="151" t="str">
        <f>VLOOKUP($B79,'[2]Bang luong_06'!$B$10:$C$333,2,0)</f>
        <v>Nguyễn Minh Tài</v>
      </c>
      <c r="BF79" s="27" t="b">
        <f>BE79=C79</f>
        <v>1</v>
      </c>
      <c r="BH79" s="329">
        <v>0</v>
      </c>
      <c r="BI79" s="27" t="s">
        <v>662</v>
      </c>
      <c r="BK79" s="27" t="e">
        <v>#N/A</v>
      </c>
      <c r="BN79" s="330" t="e">
        <v>#N/A</v>
      </c>
    </row>
    <row r="80" spans="1:66 1544:1544" s="145" customFormat="1" ht="16.5" customHeight="1" outlineLevel="1" x14ac:dyDescent="0.25">
      <c r="A80" s="88">
        <f t="shared" si="62"/>
        <v>59</v>
      </c>
      <c r="B80" s="333" t="s">
        <v>665</v>
      </c>
      <c r="C80" s="333" t="s">
        <v>666</v>
      </c>
      <c r="D80" s="343">
        <v>45791</v>
      </c>
      <c r="E80" s="323" t="s">
        <v>38</v>
      </c>
      <c r="F80" s="323" t="s">
        <v>38</v>
      </c>
      <c r="G80" s="323" t="s">
        <v>38</v>
      </c>
      <c r="H80" s="323" t="s">
        <v>38</v>
      </c>
      <c r="I80" s="323" t="s">
        <v>38</v>
      </c>
      <c r="J80" s="323" t="s">
        <v>38</v>
      </c>
      <c r="K80" s="323"/>
      <c r="L80" s="323" t="s">
        <v>38</v>
      </c>
      <c r="M80" s="323" t="s">
        <v>38</v>
      </c>
      <c r="N80" s="323" t="s">
        <v>38</v>
      </c>
      <c r="O80" s="323" t="s">
        <v>38</v>
      </c>
      <c r="P80" s="323" t="s">
        <v>38</v>
      </c>
      <c r="Q80" s="323" t="s">
        <v>38</v>
      </c>
      <c r="R80" s="323"/>
      <c r="S80" s="323" t="s">
        <v>38</v>
      </c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69">
        <f>VLOOKUP($B80,[1]NV!$B$9:$DL$219,114,0)</f>
        <v>4.5</v>
      </c>
      <c r="AK80" s="325">
        <f>COUNTIF(E80:AI80,"H4")+COUNTIF(E80:AI80,"H")+COUNTIF(E80:AI80,"Bu")+COUNTIF(E80:AI80,"N")+COUNTIF(E80:AI80,"N1")*1/8+COUNTIF(E80:AI80,"N2")*2/8+COUNTIF(E80:AI80,"N3")*3/8+COUNTIF(E80:AI80,"N4")*4/8+COUNTIF(E80:AI80,"N5")*5/8+COUNTIF(E80:AI80,"N6")*6/8+COUNTIF(E80:AI80,"N7")*7/8+COUNTIF(E80:AI80,"N8")*8/8+COUNTIF(E80:AI80,"C")+COUNTIF(E80:AI80,"C1")+COUNTIF(E80:AI80,"C2")+COUNTIF(E80:AI80,"C2.9")+COUNTIF(E80:AI80,"C3")+COUNTIF(E80:AI80,"C3.8")+COUNTIF(E80:AI80,"C4")+COUNTIF(E80:AI80,"C4.0")+COUNTIF(E80:AI80,"C4.1")+COUNTIF(E80:AI80,"C4.4")+COUNTIF(E80:AI80,"C4.6")+COUNTIF(E80:AI80,"C4.9")+COUNTIF(E80:AI80,"C5")+COUNTIF(E80:AI80,"C6")+COUNTIF(E80:AI80,"C6.5")+COUNTIF(E80:AI80,"C6.0")+COUNTIF(E80:AI80,"C7")+COUNTIF(E80:AI80,"C7.6")+COUNTIF(E80:AI80,"C7.7")+COUNTIF(E80:AI80,"N6.4")*6.4/8+COUNTIF(E80:AI80,"Ro1")*1/8+COUNTIF(E80:AI80,"Ro2")*2/8+COUNTIF(E80:AI80,"Ro3")*3/8+COUNTIF(E80:AI80,"Ro4")*4/8+COUNTIF(E80:AI80,"Ro4.0")*4/8+COUNTIF(E80:AI80,"Ro5")*5/8+COUNTIF(E80:AI80,"Ro6")*6/8+COUNTIF(E80:AI80,"Ro6.5")*6.5/8+COUNTIF(E80:AI80,"Ro7")*7/8+COUNTIF(E80:AI80,"Ro7.3")*7.3/8+COUNTIF(E80:AI80,"Ro7.5")*7.5/8+COUNTIF(E80:AI80,"Ro7.8")*7.8/8+COUNTIF(E80:AI80,"Bu1")+COUNTIF(E80:AI80,"Bu2")+COUNTIF(E80:AI80,"Bu3")+COUNTIF(E80:AI80,"Bu4")+COUNTIF(E80:AI80,"Bu5")+COUNTIF(E80:AI80,"Bu6")+COUNTIF(E80:AI80,"Bu7")+COUNTIF(E80:AI80,"P2")*4/8</f>
        <v>13</v>
      </c>
      <c r="AL80" s="325">
        <f>COUNTIF(E80:AI80,"D")+COUNTIF(E80:AI80,"D1")*1/BB80+COUNTIF(E80:AI80,"D2")*2/BB80+COUNTIF(E80:AI80,"D3")*3/BB80+COUNTIF(E80:AI80,"D4")*4/BB80+COUNTIF(E80:AI80,"D5")*5/BB80+COUNTIF(E80:AI80,"D6")*6/BB80+COUNTIF(E80:AI80,"D7")*7/BB80+COUNTIF(E80:AI80,"D8")*8/BB80</f>
        <v>0</v>
      </c>
      <c r="AM80" s="326">
        <f t="shared" si="52"/>
        <v>26</v>
      </c>
      <c r="AN80" s="327">
        <f>AK80+AL80</f>
        <v>13</v>
      </c>
      <c r="AO80" s="327">
        <f>COUNTIF(E80:AI80,"p")+COUNTIF(E80:AI80,"P2")/2+COUNTIF(E80:AI80,"P1")/2</f>
        <v>0</v>
      </c>
      <c r="AP80" s="327">
        <f>COUNTIF(E80:AI80,"k")</f>
        <v>0</v>
      </c>
      <c r="AQ80" s="327">
        <f>COUNTIF(E80:AI80,"KL")+COUNTIF(E80:AI80,"O")+COUNTIF(E80:AI80,"O/")/2+COUNTIF(E80:AI80,"TN")+COUNTIF(E80:AI80,"4P4KL")/2+COUNTIF(E80:AI80,"P1")*0.5+COUNTIF(E80:AI80,"Ro")+COUNTIF(E80:AI80,"Ro1")*7/8+COUNTIF(E80:AI80,"Ro2")*6/8+COUNTIF(E80:AI80,"Ro3")*5/8+COUNTIF(E80:AI80,"Ro4")*4/8+COUNTIF(E80:AI80,"Ro4.0")*4/8+COUNTIF(E80:AI80,"Ro5")*3/8+COUNTIF(E80:AI80,"Ro6")*2/8+COUNTIF(E80:AI80,"Ro6.5")*1.5/8+COUNTIF(E80:AI80,"Ro7")*1/8+COUNTIF(E80:AI80,"Ro7.3")*0.7/8+COUNTIF(E80:AI80,"Ro7.5")*0.5/8+COUNTIF(E80:AI80,"Ro7.8")*0.2/8+COUNTIF(E80:AI80,"N7")*1/8+COUNTIF(E80:AI80,"N6")*2/8+COUNTIF(E80:AI80,"N5")*3/8+COUNTIF(E80:AI80,"N4")*4/8+COUNTIF(E80:AI80,"N3")*5/8+COUNTIF(E80:AI80,"N2")*6/8+COUNTIF(E80:AI80,"N1")*7/8</f>
        <v>0</v>
      </c>
      <c r="AR80" s="327">
        <f>COUNTIF(E80:AI80,"*R")</f>
        <v>0</v>
      </c>
      <c r="AS80" s="327">
        <f>COUNTIF(E80:AI80,"L")*1+COUNTIF(E80:AI80,"0.5L")*0.5</f>
        <v>0</v>
      </c>
      <c r="AT80" s="327"/>
      <c r="AU80" s="327"/>
      <c r="AV80" s="327"/>
      <c r="AW80" s="327"/>
      <c r="AX80" s="327"/>
      <c r="AY80" s="338"/>
      <c r="AZ80" s="327">
        <f>AN80+AO80+AS80+AR80</f>
        <v>13</v>
      </c>
      <c r="BA80" s="347"/>
      <c r="BB80" s="27">
        <v>8</v>
      </c>
      <c r="BC80" s="27" t="str">
        <f>VLOOKUP(B80,'[2]Bang luong_06'!$B$10:$C$333,2,0)</f>
        <v>Phạm Minh Nhựt</v>
      </c>
      <c r="BE80" s="151" t="str">
        <f>VLOOKUP($B80,'[2]Bang luong_06'!$B$10:$C$333,2,0)</f>
        <v>Phạm Minh Nhựt</v>
      </c>
      <c r="BF80" s="27" t="b">
        <f>BE80=C80</f>
        <v>1</v>
      </c>
      <c r="BH80" s="329">
        <v>0</v>
      </c>
      <c r="BI80" s="27" t="s">
        <v>662</v>
      </c>
      <c r="BK80" s="27" t="e">
        <v>#N/A</v>
      </c>
      <c r="BN80" s="330" t="e">
        <v>#N/A</v>
      </c>
    </row>
    <row r="81" spans="1:66 1544:1544" s="145" customFormat="1" ht="16.5" customHeight="1" outlineLevel="1" x14ac:dyDescent="0.25">
      <c r="A81" s="88">
        <f t="shared" si="62"/>
        <v>60</v>
      </c>
      <c r="B81" s="333" t="s">
        <v>667</v>
      </c>
      <c r="C81" s="333" t="s">
        <v>668</v>
      </c>
      <c r="D81" s="343">
        <v>45890</v>
      </c>
      <c r="E81" s="323" t="s">
        <v>38</v>
      </c>
      <c r="F81" s="323" t="s">
        <v>38</v>
      </c>
      <c r="G81" s="323" t="s">
        <v>38</v>
      </c>
      <c r="H81" s="323" t="s">
        <v>38</v>
      </c>
      <c r="I81" s="323" t="s">
        <v>38</v>
      </c>
      <c r="J81" s="323" t="s">
        <v>38</v>
      </c>
      <c r="K81" s="323"/>
      <c r="L81" s="323" t="s">
        <v>38</v>
      </c>
      <c r="M81" s="323" t="s">
        <v>38</v>
      </c>
      <c r="N81" s="323" t="s">
        <v>38</v>
      </c>
      <c r="O81" s="323" t="s">
        <v>38</v>
      </c>
      <c r="P81" s="323" t="s">
        <v>38</v>
      </c>
      <c r="Q81" s="323" t="s">
        <v>38</v>
      </c>
      <c r="R81" s="323"/>
      <c r="S81" s="323" t="s">
        <v>38</v>
      </c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323"/>
      <c r="AH81" s="323"/>
      <c r="AI81" s="323"/>
      <c r="AJ81" s="69">
        <f>VLOOKUP($B81,[1]NV!$B$9:$DL$219,114,0)</f>
        <v>1.5</v>
      </c>
      <c r="AK81" s="325">
        <f>COUNTIF(E81:AI81,"H4")+COUNTIF(E81:AI81,"H")+COUNTIF(E81:AI81,"Bu")+COUNTIF(E81:AI81,"N")+COUNTIF(E81:AI81,"N1")*1/8+COUNTIF(E81:AI81,"N2")*2/8+COUNTIF(E81:AI81,"N3")*3/8+COUNTIF(E81:AI81,"N4")*4/8+COUNTIF(E81:AI81,"N5")*5/8+COUNTIF(E81:AI81,"N6")*6/8+COUNTIF(E81:AI81,"N7")*7/8+COUNTIF(E81:AI81,"N8")*8/8+COUNTIF(E81:AI81,"C")+COUNTIF(E81:AI81,"C1")+COUNTIF(E81:AI81,"C2")+COUNTIF(E81:AI81,"C2.9")+COUNTIF(E81:AI81,"C3")+COUNTIF(E81:AI81,"C3.8")+COUNTIF(E81:AI81,"C4")+COUNTIF(E81:AI81,"C4.0")+COUNTIF(E81:AI81,"C4.1")+COUNTIF(E81:AI81,"C4.4")+COUNTIF(E81:AI81,"C4.6")+COUNTIF(E81:AI81,"C4.9")+COUNTIF(E81:AI81,"C5")+COUNTIF(E81:AI81,"C6")+COUNTIF(E81:AI81,"C6.5")+COUNTIF(E81:AI81,"C6.0")+COUNTIF(E81:AI81,"C7")+COUNTIF(E81:AI81,"C7.6")+COUNTIF(E81:AI81,"C7.7")+COUNTIF(E81:AI81,"N6.4")*6.4/8+COUNTIF(E81:AI81,"Ro1")*1/8+COUNTIF(E81:AI81,"Ro2")*2/8+COUNTIF(E81:AI81,"Ro3")*3/8+COUNTIF(E81:AI81,"Ro4")*4/8+COUNTIF(E81:AI81,"Ro4.0")*4/8+COUNTIF(E81:AI81,"Ro5")*5/8+COUNTIF(E81:AI81,"Ro6")*6/8+COUNTIF(E81:AI81,"Ro6.5")*6.5/8+COUNTIF(E81:AI81,"Ro7")*7/8+COUNTIF(E81:AI81,"Ro7.3")*7.3/8+COUNTIF(E81:AI81,"Ro7.5")*7.5/8+COUNTIF(E81:AI81,"Ro7.8")*7.8/8+COUNTIF(E81:AI81,"Bu1")+COUNTIF(E81:AI81,"Bu2")+COUNTIF(E81:AI81,"Bu3")+COUNTIF(E81:AI81,"Bu4")+COUNTIF(E81:AI81,"Bu5")+COUNTIF(E81:AI81,"Bu6")+COUNTIF(E81:AI81,"Bu7")+COUNTIF(E81:AI81,"P2")*4/8</f>
        <v>13</v>
      </c>
      <c r="AL81" s="325">
        <f>COUNTIF(E81:AI81,"D")+COUNTIF(E81:AI81,"D1")*1/BB81+COUNTIF(E81:AI81,"D2")*2/BB81+COUNTIF(E81:AI81,"D3")*3/BB81+COUNTIF(E81:AI81,"D4")*4/BB81+COUNTIF(E81:AI81,"D5")*5/BB81+COUNTIF(E81:AI81,"D6")*6/BB81+COUNTIF(E81:AI81,"D7")*7/BB81+COUNTIF(E81:AI81,"D8")*8/BB81</f>
        <v>0</v>
      </c>
      <c r="AM81" s="326">
        <f t="shared" si="52"/>
        <v>26</v>
      </c>
      <c r="AN81" s="327">
        <f>AK81+AL81</f>
        <v>13</v>
      </c>
      <c r="AO81" s="327">
        <f>COUNTIF(E81:AI81,"p")+COUNTIF(E81:AI81,"P2")/2+COUNTIF(E81:AI81,"P1")/2</f>
        <v>0</v>
      </c>
      <c r="AP81" s="327">
        <f>COUNTIF(E81:AI81,"k")</f>
        <v>0</v>
      </c>
      <c r="AQ81" s="327">
        <f>COUNTIF(E81:AI81,"KL")+COUNTIF(E81:AI81,"O")+COUNTIF(E81:AI81,"O/")/2+COUNTIF(E81:AI81,"TN")+COUNTIF(E81:AI81,"4P4KL")/2+COUNTIF(E81:AI81,"P1")*0.5+COUNTIF(E81:AI81,"Ro")+COUNTIF(E81:AI81,"Ro1")*7/8+COUNTIF(E81:AI81,"Ro2")*6/8+COUNTIF(E81:AI81,"Ro3")*5/8+COUNTIF(E81:AI81,"Ro4")*4/8+COUNTIF(E81:AI81,"Ro4.0")*4/8+COUNTIF(E81:AI81,"Ro5")*3/8+COUNTIF(E81:AI81,"Ro6")*2/8+COUNTIF(E81:AI81,"Ro6.5")*1.5/8+COUNTIF(E81:AI81,"Ro7")*1/8+COUNTIF(E81:AI81,"Ro7.3")*0.7/8+COUNTIF(E81:AI81,"Ro7.5")*0.5/8+COUNTIF(E81:AI81,"Ro7.8")*0.2/8+COUNTIF(E81:AI81,"N7")*1/8+COUNTIF(E81:AI81,"N6")*2/8+COUNTIF(E81:AI81,"N5")*3/8+COUNTIF(E81:AI81,"N4")*4/8+COUNTIF(E81:AI81,"N3")*5/8+COUNTIF(E81:AI81,"N2")*6/8+COUNTIF(E81:AI81,"N1")*7/8</f>
        <v>0</v>
      </c>
      <c r="AR81" s="327">
        <f>COUNTIF(E81:AI81,"*R")</f>
        <v>0</v>
      </c>
      <c r="AS81" s="327">
        <f>COUNTIF(E81:AI81,"L")*1+COUNTIF(E81:AI81,"0.5L")*0.5</f>
        <v>0</v>
      </c>
      <c r="AT81" s="327"/>
      <c r="AU81" s="327"/>
      <c r="AV81" s="327"/>
      <c r="AW81" s="327"/>
      <c r="AX81" s="327"/>
      <c r="AY81" s="338"/>
      <c r="AZ81" s="327">
        <f>AN81+AO81+AS81+AR81</f>
        <v>13</v>
      </c>
      <c r="BA81" s="331"/>
      <c r="BB81" s="27">
        <v>8</v>
      </c>
      <c r="BC81" s="27" t="str">
        <f>VLOOKUP(B81,'[2]Bang luong_06'!$B$10:$C$333,2,0)</f>
        <v>Trần Lan Anh</v>
      </c>
      <c r="BE81" s="151" t="str">
        <f>VLOOKUP($B81,'[2]Bang luong_06'!$B$10:$C$333,2,0)</f>
        <v>Trần Lan Anh</v>
      </c>
      <c r="BF81" s="27" t="b">
        <f>BE81=C81</f>
        <v>1</v>
      </c>
      <c r="BH81" s="329">
        <v>0</v>
      </c>
      <c r="BI81" s="27" t="s">
        <v>662</v>
      </c>
      <c r="BK81" s="27" t="e">
        <v>#N/A</v>
      </c>
      <c r="BN81" s="330" t="e">
        <v>#N/A</v>
      </c>
    </row>
    <row r="82" spans="1:66 1544:1544" s="145" customFormat="1" ht="16.5" customHeight="1" outlineLevel="1" x14ac:dyDescent="0.25">
      <c r="A82" s="88">
        <f>IF(B82="","",MAX(A81:A81)+1)</f>
        <v>61</v>
      </c>
      <c r="B82" s="333" t="s">
        <v>669</v>
      </c>
      <c r="C82" s="333" t="s">
        <v>670</v>
      </c>
      <c r="D82" s="343">
        <v>46006</v>
      </c>
      <c r="E82" s="323" t="s">
        <v>38</v>
      </c>
      <c r="F82" s="323" t="s">
        <v>38</v>
      </c>
      <c r="G82" s="323" t="s">
        <v>38</v>
      </c>
      <c r="H82" s="323" t="s">
        <v>38</v>
      </c>
      <c r="I82" s="323" t="s">
        <v>38</v>
      </c>
      <c r="J82" s="323" t="s">
        <v>38</v>
      </c>
      <c r="K82" s="323"/>
      <c r="L82" s="323" t="s">
        <v>38</v>
      </c>
      <c r="M82" s="323" t="s">
        <v>38</v>
      </c>
      <c r="N82" s="323" t="s">
        <v>38</v>
      </c>
      <c r="O82" s="323" t="s">
        <v>38</v>
      </c>
      <c r="P82" s="323" t="s">
        <v>38</v>
      </c>
      <c r="Q82" s="323" t="s">
        <v>38</v>
      </c>
      <c r="R82" s="323"/>
      <c r="S82" s="323" t="s">
        <v>38</v>
      </c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323"/>
      <c r="AI82" s="323"/>
      <c r="AJ82" s="69">
        <f>VLOOKUP($B82,[1]NV!$B$9:$DL$219,114,0)</f>
        <v>5</v>
      </c>
      <c r="AK82" s="325">
        <f>COUNTIF(E82:AI82,"H4")+COUNTIF(E82:AI82,"H")+COUNTIF(E82:AI82,"Bu")+COUNTIF(E82:AI82,"N")+COUNTIF(E82:AI82,"N1")*1/8+COUNTIF(E82:AI82,"N2")*2/8+COUNTIF(E82:AI82,"N3")*3/8+COUNTIF(E82:AI82,"N4")*4/8+COUNTIF(E82:AI82,"N5")*5/8+COUNTIF(E82:AI82,"N6")*6/8+COUNTIF(E82:AI82,"N7")*7/8+COUNTIF(E82:AI82,"N8")*8/8+COUNTIF(E82:AI82,"C")+COUNTIF(E82:AI82,"C1")+COUNTIF(E82:AI82,"C2")+COUNTIF(E82:AI82,"C2.9")+COUNTIF(E82:AI82,"C3")+COUNTIF(E82:AI82,"C3.8")+COUNTIF(E82:AI82,"C4")+COUNTIF(E82:AI82,"C4.0")+COUNTIF(E82:AI82,"C4.1")+COUNTIF(E82:AI82,"C4.4")+COUNTIF(E82:AI82,"C4.6")+COUNTIF(E82:AI82,"C4.9")+COUNTIF(E82:AI82,"C5")+COUNTIF(E82:AI82,"C6")+COUNTIF(E82:AI82,"C6.5")+COUNTIF(E82:AI82,"C6.0")+COUNTIF(E82:AI82,"C7")+COUNTIF(E82:AI82,"C7.6")+COUNTIF(E82:AI82,"C7.7")+COUNTIF(E82:AI82,"N6.4")*6.4/8+COUNTIF(E82:AI82,"Ro1")*1/8+COUNTIF(E82:AI82,"Ro2")*2/8+COUNTIF(E82:AI82,"Ro3")*3/8+COUNTIF(E82:AI82,"Ro4")*4/8+COUNTIF(E82:AI82,"Ro4.0")*4/8+COUNTIF(E82:AI82,"Ro5")*5/8+COUNTIF(E82:AI82,"Ro6")*6/8+COUNTIF(E82:AI82,"Ro6.5")*6.5/8+COUNTIF(E82:AI82,"Ro7")*7/8+COUNTIF(E82:AI82,"Ro7.3")*7.3/8+COUNTIF(E82:AI82,"Ro7.5")*7.5/8+COUNTIF(E82:AI82,"Ro7.8")*7.8/8+COUNTIF(E82:AI82,"Bu1")+COUNTIF(E82:AI82,"Bu2")+COUNTIF(E82:AI82,"Bu3")+COUNTIF(E82:AI82,"Bu4")+COUNTIF(E82:AI82,"Bu5")+COUNTIF(E82:AI82,"Bu6")+COUNTIF(E82:AI82,"Bu7")+COUNTIF(E82:AI82,"P2")*4/8</f>
        <v>13</v>
      </c>
      <c r="AL82" s="325">
        <f>COUNTIF(E82:AI82,"D")+COUNTIF(E82:AI82,"D1")*1/BB82+COUNTIF(E82:AI82,"D2")*2/BB82+COUNTIF(E82:AI82,"D3")*3/BB82+COUNTIF(E82:AI82,"D4")*4/BB82+COUNTIF(E82:AI82,"D5")*5/BB82+COUNTIF(E82:AI82,"D6")*6/BB82+COUNTIF(E82:AI82,"D7")*7/BB82+COUNTIF(E82:AI82,"D8")*8/BB82</f>
        <v>0</v>
      </c>
      <c r="AM82" s="326">
        <f t="shared" si="52"/>
        <v>26</v>
      </c>
      <c r="AN82" s="327">
        <f>AK82+AL82</f>
        <v>13</v>
      </c>
      <c r="AO82" s="327">
        <f>COUNTIF(E82:AI82,"p")+COUNTIF(E82:AI82,"P2")/2+COUNTIF(E82:AI82,"P1")/2</f>
        <v>0</v>
      </c>
      <c r="AP82" s="327">
        <f>COUNTIF(E82:AI82,"k")</f>
        <v>0</v>
      </c>
      <c r="AQ82" s="327">
        <f>COUNTIF(E82:AI82,"KL")+COUNTIF(E82:AI82,"O")+COUNTIF(E82:AI82,"O/")/2+COUNTIF(E82:AI82,"TN")+COUNTIF(E82:AI82,"4P4KL")/2+COUNTIF(E82:AI82,"P1")*0.5+COUNTIF(E82:AI82,"Ro")+COUNTIF(E82:AI82,"Ro1")*7/8+COUNTIF(E82:AI82,"Ro2")*6/8+COUNTIF(E82:AI82,"Ro3")*5/8+COUNTIF(E82:AI82,"Ro4")*4/8+COUNTIF(E82:AI82,"Ro4.0")*4/8+COUNTIF(E82:AI82,"Ro5")*3/8+COUNTIF(E82:AI82,"Ro6")*2/8+COUNTIF(E82:AI82,"Ro6.5")*1.5/8+COUNTIF(E82:AI82,"Ro7")*1/8+COUNTIF(E82:AI82,"Ro7.3")*0.7/8+COUNTIF(E82:AI82,"Ro7.5")*0.5/8+COUNTIF(E82:AI82,"Ro7.8")*0.2/8+COUNTIF(E82:AI82,"N7")*1/8+COUNTIF(E82:AI82,"N6")*2/8+COUNTIF(E82:AI82,"N5")*3/8+COUNTIF(E82:AI82,"N4")*4/8+COUNTIF(E82:AI82,"N3")*5/8+COUNTIF(E82:AI82,"N2")*6/8+COUNTIF(E82:AI82,"N1")*7/8</f>
        <v>0</v>
      </c>
      <c r="AR82" s="327">
        <f>COUNTIF(E82:AI82,"*R")</f>
        <v>0</v>
      </c>
      <c r="AS82" s="327">
        <f>COUNTIF(E82:AI82,"L")*1+COUNTIF(E82:AI82,"0.5L")*0.5</f>
        <v>0</v>
      </c>
      <c r="AT82" s="327"/>
      <c r="AU82" s="327"/>
      <c r="AV82" s="327"/>
      <c r="AW82" s="327"/>
      <c r="AX82" s="327"/>
      <c r="AY82" s="338"/>
      <c r="AZ82" s="327">
        <f>AN82+AO82+AS82+AR82</f>
        <v>13</v>
      </c>
      <c r="BA82" s="347"/>
      <c r="BB82" s="27">
        <v>8</v>
      </c>
      <c r="BC82" s="27" t="str">
        <f>VLOOKUP(B82,'[2]Bang luong_06'!$B$10:$C$333,2,0)</f>
        <v>Nguyễn Viết Thanh Tùng</v>
      </c>
      <c r="BE82" s="151" t="str">
        <f>VLOOKUP($B82,'[2]Bang luong_06'!$B$10:$C$333,2,0)</f>
        <v>Nguyễn Viết Thanh Tùng</v>
      </c>
      <c r="BF82" s="27" t="b">
        <f>BE82=C82</f>
        <v>1</v>
      </c>
      <c r="BH82" s="329">
        <v>0</v>
      </c>
      <c r="BI82" s="27" t="s">
        <v>662</v>
      </c>
      <c r="BK82" s="27" t="e">
        <v>#N/A</v>
      </c>
      <c r="BN82" s="330" t="e">
        <v>#N/A</v>
      </c>
    </row>
    <row r="83" spans="1:66 1544:1544" s="145" customFormat="1" ht="16.5" customHeight="1" outlineLevel="1" x14ac:dyDescent="0.25">
      <c r="A83" s="88">
        <f>IF(B83="","",MAX(A82:A82)+1)</f>
        <v>62</v>
      </c>
      <c r="B83" s="333" t="s">
        <v>671</v>
      </c>
      <c r="C83" s="333" t="s">
        <v>672</v>
      </c>
      <c r="D83" s="343">
        <v>46030</v>
      </c>
      <c r="E83" s="323" t="s">
        <v>38</v>
      </c>
      <c r="F83" s="323" t="s">
        <v>38</v>
      </c>
      <c r="G83" s="323" t="s">
        <v>38</v>
      </c>
      <c r="H83" s="323" t="s">
        <v>38</v>
      </c>
      <c r="I83" s="323" t="s">
        <v>38</v>
      </c>
      <c r="J83" s="323" t="s">
        <v>38</v>
      </c>
      <c r="K83" s="323"/>
      <c r="L83" s="323" t="s">
        <v>38</v>
      </c>
      <c r="M83" s="323" t="s">
        <v>38</v>
      </c>
      <c r="N83" s="323" t="s">
        <v>38</v>
      </c>
      <c r="O83" s="323" t="s">
        <v>38</v>
      </c>
      <c r="P83" s="323" t="s">
        <v>38</v>
      </c>
      <c r="Q83" s="323" t="s">
        <v>38</v>
      </c>
      <c r="R83" s="323"/>
      <c r="S83" s="323" t="s">
        <v>38</v>
      </c>
      <c r="T83" s="323"/>
      <c r="U83" s="323"/>
      <c r="V83" s="323"/>
      <c r="W83" s="323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69">
        <f>VLOOKUP($B83,[1]NV!$B$9:$DL$219,114,0)</f>
        <v>5</v>
      </c>
      <c r="AK83" s="325">
        <f t="shared" ref="AK83:AK84" si="63">COUNTIF(E83:AI83,"H4")+COUNTIF(E83:AI83,"H")+COUNTIF(E83:AI83,"Bu")+COUNTIF(E83:AI83,"N")+COUNTIF(E83:AI83,"N1")*1/8+COUNTIF(E83:AI83,"N2")*2/8+COUNTIF(E83:AI83,"N3")*3/8+COUNTIF(E83:AI83,"N4")*4/8+COUNTIF(E83:AI83,"N5")*5/8+COUNTIF(E83:AI83,"N6")*6/8+COUNTIF(E83:AI83,"N7")*7/8+COUNTIF(E83:AI83,"N8")*8/8+COUNTIF(E83:AI83,"C")+COUNTIF(E83:AI83,"C1")+COUNTIF(E83:AI83,"C2")+COUNTIF(E83:AI83,"C2.9")+COUNTIF(E83:AI83,"C3")+COUNTIF(E83:AI83,"C3.8")+COUNTIF(E83:AI83,"C4")+COUNTIF(E83:AI83,"C4.0")+COUNTIF(E83:AI83,"C4.1")+COUNTIF(E83:AI83,"C4.4")+COUNTIF(E83:AI83,"C4.6")+COUNTIF(E83:AI83,"C4.9")+COUNTIF(E83:AI83,"C5")+COUNTIF(E83:AI83,"C6")+COUNTIF(E83:AI83,"C6.5")+COUNTIF(E83:AI83,"C6.0")+COUNTIF(E83:AI83,"C7")+COUNTIF(E83:AI83,"C7.6")+COUNTIF(E83:AI83,"C7.7")+COUNTIF(E83:AI83,"N6.4")*6.4/8+COUNTIF(E83:AI83,"Ro1")*1/8+COUNTIF(E83:AI83,"Ro2")*2/8+COUNTIF(E83:AI83,"Ro3")*3/8+COUNTIF(E83:AI83,"Ro4")*4/8+COUNTIF(E83:AI83,"Ro4.0")*4/8+COUNTIF(E83:AI83,"Ro5")*5/8+COUNTIF(E83:AI83,"Ro6")*6/8+COUNTIF(E83:AI83,"Ro6.5")*6.5/8+COUNTIF(E83:AI83,"Ro7")*7/8+COUNTIF(E83:AI83,"Ro7.3")*7.3/8+COUNTIF(E83:AI83,"Ro7.5")*7.5/8+COUNTIF(E83:AI83,"Ro7.8")*7.8/8+COUNTIF(E83:AI83,"Bu1")+COUNTIF(E83:AI83,"Bu2")+COUNTIF(E83:AI83,"Bu3")+COUNTIF(E83:AI83,"Bu4")+COUNTIF(E83:AI83,"Bu5")+COUNTIF(E83:AI83,"Bu6")+COUNTIF(E83:AI83,"Bu7")+COUNTIF(E83:AI83,"P2")*4/8</f>
        <v>13</v>
      </c>
      <c r="AL83" s="325">
        <f t="shared" ref="AL83:AL84" si="64">COUNTIF(E83:AI83,"D")+COUNTIF(E83:AI83,"D1")*1/BB83+COUNTIF(E83:AI83,"D2")*2/BB83+COUNTIF(E83:AI83,"D3")*3/BB83+COUNTIF(E83:AI83,"D4")*4/BB83+COUNTIF(E83:AI83,"D5")*5/BB83+COUNTIF(E83:AI83,"D6")*6/BB83+COUNTIF(E83:AI83,"D7")*7/BB83+COUNTIF(E83:AI83,"D8")*8/BB83</f>
        <v>0</v>
      </c>
      <c r="AM83" s="326">
        <f t="shared" si="52"/>
        <v>26</v>
      </c>
      <c r="AN83" s="327">
        <f t="shared" ref="AN83:AN84" si="65">AK83+AL83</f>
        <v>13</v>
      </c>
      <c r="AO83" s="327">
        <f t="shared" ref="AO83:AO84" si="66">COUNTIF(E83:AI83,"p")+COUNTIF(E83:AI83,"P2")/2+COUNTIF(E83:AI83,"P1")/2</f>
        <v>0</v>
      </c>
      <c r="AP83" s="327">
        <f t="shared" ref="AP83:AP84" si="67">COUNTIF(E83:AI83,"k")</f>
        <v>0</v>
      </c>
      <c r="AQ83" s="327">
        <f t="shared" ref="AQ83:AQ84" si="68">COUNTIF(E83:AI83,"KL")+COUNTIF(E83:AI83,"O")+COUNTIF(E83:AI83,"O/")/2+COUNTIF(E83:AI83,"TN")+COUNTIF(E83:AI83,"4P4KL")/2+COUNTIF(E83:AI83,"P1")*0.5+COUNTIF(E83:AI83,"Ro")+COUNTIF(E83:AI83,"Ro1")*7/8+COUNTIF(E83:AI83,"Ro2")*6/8+COUNTIF(E83:AI83,"Ro3")*5/8+COUNTIF(E83:AI83,"Ro4")*4/8+COUNTIF(E83:AI83,"Ro4.0")*4/8+COUNTIF(E83:AI83,"Ro5")*3/8+COUNTIF(E83:AI83,"Ro6")*2/8+COUNTIF(E83:AI83,"Ro6.5")*1.5/8+COUNTIF(E83:AI83,"Ro7")*1/8+COUNTIF(E83:AI83,"Ro7.3")*0.7/8+COUNTIF(E83:AI83,"Ro7.5")*0.5/8+COUNTIF(E83:AI83,"Ro7.8")*0.2/8+COUNTIF(E83:AI83,"N7")*1/8+COUNTIF(E83:AI83,"N6")*2/8+COUNTIF(E83:AI83,"N5")*3/8+COUNTIF(E83:AI83,"N4")*4/8+COUNTIF(E83:AI83,"N3")*5/8+COUNTIF(E83:AI83,"N2")*6/8+COUNTIF(E83:AI83,"N1")*7/8</f>
        <v>0</v>
      </c>
      <c r="AR83" s="327">
        <f t="shared" ref="AR83:AR84" si="69">COUNTIF(E83:AI83,"*R")</f>
        <v>0</v>
      </c>
      <c r="AS83" s="327">
        <f t="shared" ref="AS83:AS84" si="70">COUNTIF(E83:AI83,"L")*1+COUNTIF(E83:AI83,"0.5L")*0.5</f>
        <v>0</v>
      </c>
      <c r="AT83" s="327"/>
      <c r="AU83" s="327"/>
      <c r="AV83" s="327"/>
      <c r="AW83" s="327"/>
      <c r="AX83" s="327"/>
      <c r="AY83" s="338"/>
      <c r="AZ83" s="327">
        <f t="shared" ref="AZ83:AZ84" si="71">AN83+AO83+AS83+AR83</f>
        <v>13</v>
      </c>
      <c r="BA83" s="347"/>
      <c r="BB83" s="27">
        <v>8</v>
      </c>
      <c r="BC83" s="27" t="str">
        <f>VLOOKUP(B83,'[2]Bang luong_06'!$B$10:$C$333,2,0)</f>
        <v>Nguyễn Trọng Hoàng</v>
      </c>
      <c r="BE83" s="151" t="str">
        <f>VLOOKUP($B83,'[2]Bang luong_06'!$B$10:$C$333,2,0)</f>
        <v>Nguyễn Trọng Hoàng</v>
      </c>
      <c r="BF83" s="27" t="b">
        <f t="shared" ref="BF83:BF84" si="72">BE83=C83</f>
        <v>1</v>
      </c>
      <c r="BH83" s="329">
        <v>0</v>
      </c>
      <c r="BI83" s="27" t="s">
        <v>662</v>
      </c>
      <c r="BK83" s="27" t="e">
        <v>#N/A</v>
      </c>
      <c r="BN83" s="330" t="e">
        <v>#N/A</v>
      </c>
    </row>
    <row r="84" spans="1:66 1544:1544" s="145" customFormat="1" ht="16.5" customHeight="1" outlineLevel="1" x14ac:dyDescent="0.25">
      <c r="A84" s="88">
        <f t="shared" si="62"/>
        <v>63</v>
      </c>
      <c r="B84" s="333" t="s">
        <v>673</v>
      </c>
      <c r="C84" s="333" t="s">
        <v>674</v>
      </c>
      <c r="D84" s="343">
        <v>46127</v>
      </c>
      <c r="E84" s="323" t="s">
        <v>38</v>
      </c>
      <c r="F84" s="323" t="s">
        <v>38</v>
      </c>
      <c r="G84" s="323" t="s">
        <v>38</v>
      </c>
      <c r="H84" s="323" t="s">
        <v>38</v>
      </c>
      <c r="I84" s="323" t="s">
        <v>38</v>
      </c>
      <c r="J84" s="323" t="s">
        <v>38</v>
      </c>
      <c r="K84" s="323"/>
      <c r="L84" s="323" t="s">
        <v>38</v>
      </c>
      <c r="M84" s="323" t="s">
        <v>38</v>
      </c>
      <c r="N84" s="323" t="s">
        <v>38</v>
      </c>
      <c r="O84" s="323" t="s">
        <v>38</v>
      </c>
      <c r="P84" s="323" t="s">
        <v>38</v>
      </c>
      <c r="Q84" s="323" t="s">
        <v>38</v>
      </c>
      <c r="R84" s="323"/>
      <c r="S84" s="323" t="s">
        <v>38</v>
      </c>
      <c r="T84" s="323"/>
      <c r="U84" s="323"/>
      <c r="V84" s="323"/>
      <c r="W84" s="323"/>
      <c r="X84" s="323"/>
      <c r="Y84" s="323"/>
      <c r="Z84" s="323"/>
      <c r="AA84" s="323"/>
      <c r="AB84" s="323"/>
      <c r="AC84" s="323"/>
      <c r="AD84" s="323"/>
      <c r="AE84" s="323"/>
      <c r="AF84" s="323"/>
      <c r="AG84" s="323"/>
      <c r="AH84" s="323"/>
      <c r="AI84" s="323"/>
      <c r="AJ84" s="69">
        <f>VLOOKUP($B84,[1]NV!$B$9:$DL$219,114,0)</f>
        <v>0</v>
      </c>
      <c r="AK84" s="325">
        <f t="shared" si="63"/>
        <v>13</v>
      </c>
      <c r="AL84" s="325">
        <f t="shared" si="64"/>
        <v>0</v>
      </c>
      <c r="AM84" s="326">
        <f t="shared" si="52"/>
        <v>26</v>
      </c>
      <c r="AN84" s="327">
        <f t="shared" si="65"/>
        <v>13</v>
      </c>
      <c r="AO84" s="327">
        <f t="shared" si="66"/>
        <v>0</v>
      </c>
      <c r="AP84" s="327">
        <f t="shared" si="67"/>
        <v>0</v>
      </c>
      <c r="AQ84" s="327">
        <f t="shared" si="68"/>
        <v>0</v>
      </c>
      <c r="AR84" s="327">
        <f t="shared" si="69"/>
        <v>0</v>
      </c>
      <c r="AS84" s="327">
        <f t="shared" si="70"/>
        <v>0</v>
      </c>
      <c r="AT84" s="327"/>
      <c r="AU84" s="327"/>
      <c r="AV84" s="327"/>
      <c r="AW84" s="327"/>
      <c r="AX84" s="327"/>
      <c r="AY84" s="338"/>
      <c r="AZ84" s="327">
        <f t="shared" si="71"/>
        <v>13</v>
      </c>
      <c r="BA84" s="347"/>
      <c r="BB84" s="27">
        <v>8</v>
      </c>
      <c r="BC84" s="27" t="str">
        <f>VLOOKUP(B84,'[2]Bang luong_06'!$B$10:$C$333,2,0)</f>
        <v>Trần Hồng Thủy</v>
      </c>
      <c r="BE84" s="151" t="str">
        <f>VLOOKUP($B84,'[2]Bang luong_06'!$B$10:$C$333,2,0)</f>
        <v>Trần Hồng Thủy</v>
      </c>
      <c r="BF84" s="27" t="b">
        <f t="shared" si="72"/>
        <v>1</v>
      </c>
      <c r="BH84" s="329">
        <v>0</v>
      </c>
      <c r="BI84" s="27" t="s">
        <v>662</v>
      </c>
      <c r="BK84" s="27" t="e">
        <v>#N/A</v>
      </c>
      <c r="BN84" s="330" t="e">
        <v>#N/A</v>
      </c>
    </row>
    <row r="85" spans="1:66 1544:1544" s="145" customFormat="1" ht="16.5" customHeight="1" outlineLevel="1" x14ac:dyDescent="0.25">
      <c r="A85" s="88">
        <f t="shared" si="62"/>
        <v>64</v>
      </c>
      <c r="B85" s="333" t="s">
        <v>675</v>
      </c>
      <c r="C85" s="333" t="s">
        <v>676</v>
      </c>
      <c r="D85" s="343">
        <v>46132</v>
      </c>
      <c r="E85" s="323" t="s">
        <v>38</v>
      </c>
      <c r="F85" s="323" t="s">
        <v>38</v>
      </c>
      <c r="G85" s="323" t="s">
        <v>38</v>
      </c>
      <c r="H85" s="323" t="s">
        <v>38</v>
      </c>
      <c r="I85" s="323" t="s">
        <v>38</v>
      </c>
      <c r="J85" s="323" t="s">
        <v>38</v>
      </c>
      <c r="K85" s="323"/>
      <c r="L85" s="323" t="s">
        <v>38</v>
      </c>
      <c r="M85" s="323" t="s">
        <v>38</v>
      </c>
      <c r="N85" s="323" t="s">
        <v>38</v>
      </c>
      <c r="O85" s="323" t="s">
        <v>38</v>
      </c>
      <c r="P85" s="323" t="s">
        <v>38</v>
      </c>
      <c r="Q85" s="323" t="s">
        <v>38</v>
      </c>
      <c r="R85" s="323"/>
      <c r="S85" s="323" t="s">
        <v>38</v>
      </c>
      <c r="T85" s="323"/>
      <c r="U85" s="323"/>
      <c r="V85" s="323"/>
      <c r="W85" s="323"/>
      <c r="X85" s="323"/>
      <c r="Y85" s="323"/>
      <c r="Z85" s="323"/>
      <c r="AA85" s="323"/>
      <c r="AB85" s="323"/>
      <c r="AC85" s="323"/>
      <c r="AD85" s="323"/>
      <c r="AE85" s="323"/>
      <c r="AF85" s="323"/>
      <c r="AG85" s="323"/>
      <c r="AH85" s="323"/>
      <c r="AI85" s="323"/>
      <c r="AJ85" s="69">
        <f>VLOOKUP($B85,[1]NV!$B$9:$DL$219,114,0)</f>
        <v>0</v>
      </c>
      <c r="AK85" s="325">
        <f t="shared" si="27"/>
        <v>13</v>
      </c>
      <c r="AL85" s="325">
        <f t="shared" si="51"/>
        <v>0</v>
      </c>
      <c r="AM85" s="326">
        <f t="shared" si="52"/>
        <v>26</v>
      </c>
      <c r="AN85" s="327">
        <f t="shared" si="53"/>
        <v>13</v>
      </c>
      <c r="AO85" s="327">
        <f t="shared" si="54"/>
        <v>0</v>
      </c>
      <c r="AP85" s="327">
        <f t="shared" si="55"/>
        <v>0</v>
      </c>
      <c r="AQ85" s="327">
        <f t="shared" si="56"/>
        <v>0</v>
      </c>
      <c r="AR85" s="327">
        <f t="shared" si="57"/>
        <v>0</v>
      </c>
      <c r="AS85" s="327">
        <f t="shared" si="58"/>
        <v>0</v>
      </c>
      <c r="AT85" s="327"/>
      <c r="AU85" s="327"/>
      <c r="AV85" s="327"/>
      <c r="AW85" s="327"/>
      <c r="AX85" s="327"/>
      <c r="AY85" s="338"/>
      <c r="AZ85" s="327">
        <f t="shared" si="59"/>
        <v>13</v>
      </c>
      <c r="BA85" s="347"/>
      <c r="BB85" s="27">
        <v>8</v>
      </c>
      <c r="BC85" s="27" t="str">
        <f>VLOOKUP(B85,'[2]Bang luong_06'!$B$10:$C$333,2,0)</f>
        <v>Nguyễn Thành Trung</v>
      </c>
      <c r="BE85" s="151" t="str">
        <f>VLOOKUP($B85,'[2]Bang luong_06'!$B$10:$C$333,2,0)</f>
        <v>Nguyễn Thành Trung</v>
      </c>
      <c r="BF85" s="27" t="b">
        <f t="shared" si="61"/>
        <v>1</v>
      </c>
      <c r="BH85" s="329">
        <v>0</v>
      </c>
      <c r="BI85" s="27" t="s">
        <v>662</v>
      </c>
      <c r="BK85" s="27" t="e">
        <v>#N/A</v>
      </c>
      <c r="BN85" s="330" t="e">
        <v>#N/A</v>
      </c>
    </row>
    <row r="86" spans="1:66 1544:1544" ht="16.5" customHeight="1" outlineLevel="1" x14ac:dyDescent="0.25">
      <c r="A86" s="88" t="str">
        <f t="shared" si="62"/>
        <v/>
      </c>
      <c r="B86" s="317"/>
      <c r="C86" s="317" t="s">
        <v>677</v>
      </c>
      <c r="D86" s="313">
        <f>COUNTA(A87:A97)</f>
        <v>11</v>
      </c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17"/>
      <c r="AH86" s="317"/>
      <c r="AI86" s="317"/>
      <c r="AJ86" s="318"/>
      <c r="AK86" s="317"/>
      <c r="AL86" s="317"/>
      <c r="AM86" s="317"/>
      <c r="AN86" s="317"/>
      <c r="AO86" s="317"/>
      <c r="AP86" s="317"/>
      <c r="AQ86" s="317"/>
      <c r="AR86" s="317"/>
      <c r="AS86" s="317"/>
      <c r="AT86" s="317"/>
      <c r="AU86" s="317"/>
      <c r="AV86" s="317"/>
      <c r="AW86" s="317"/>
      <c r="AX86" s="317"/>
      <c r="AY86" s="317"/>
      <c r="AZ86" s="317"/>
      <c r="BA86" s="317"/>
      <c r="BE86" s="151"/>
      <c r="BI86" s="27" t="e">
        <v>#N/A</v>
      </c>
      <c r="BN86" s="337">
        <v>0</v>
      </c>
      <c r="BGJ86" s="27" t="s">
        <v>544</v>
      </c>
    </row>
    <row r="87" spans="1:66 1544:1544" s="145" customFormat="1" ht="25.5" customHeight="1" outlineLevel="1" x14ac:dyDescent="0.25">
      <c r="A87" s="88">
        <f t="shared" si="62"/>
        <v>65</v>
      </c>
      <c r="B87" s="333" t="s">
        <v>678</v>
      </c>
      <c r="C87" s="333" t="s">
        <v>679</v>
      </c>
      <c r="D87" s="334">
        <v>45355</v>
      </c>
      <c r="E87" s="323" t="s">
        <v>38</v>
      </c>
      <c r="F87" s="323" t="s">
        <v>38</v>
      </c>
      <c r="G87" s="323" t="s">
        <v>38</v>
      </c>
      <c r="H87" s="323" t="s">
        <v>38</v>
      </c>
      <c r="I87" s="323" t="s">
        <v>38</v>
      </c>
      <c r="J87" s="323" t="s">
        <v>38</v>
      </c>
      <c r="K87" s="323"/>
      <c r="L87" s="323" t="s">
        <v>38</v>
      </c>
      <c r="M87" s="323" t="s">
        <v>38</v>
      </c>
      <c r="N87" s="323" t="s">
        <v>38</v>
      </c>
      <c r="O87" s="323" t="s">
        <v>38</v>
      </c>
      <c r="P87" s="323" t="s">
        <v>38</v>
      </c>
      <c r="Q87" s="323" t="s">
        <v>38</v>
      </c>
      <c r="R87" s="323"/>
      <c r="S87" s="323" t="s">
        <v>38</v>
      </c>
      <c r="T87" s="323"/>
      <c r="U87" s="323"/>
      <c r="V87" s="323"/>
      <c r="W87" s="323"/>
      <c r="X87" s="323"/>
      <c r="Y87" s="323"/>
      <c r="Z87" s="323"/>
      <c r="AA87" s="323"/>
      <c r="AB87" s="323"/>
      <c r="AC87" s="323"/>
      <c r="AD87" s="323"/>
      <c r="AE87" s="323"/>
      <c r="AF87" s="323"/>
      <c r="AG87" s="323"/>
      <c r="AH87" s="323"/>
      <c r="AI87" s="323"/>
      <c r="AJ87" s="69">
        <f>VLOOKUP($B87,[1]NV!$B$9:$DL$219,114,0)</f>
        <v>-1</v>
      </c>
      <c r="AK87" s="325">
        <f t="shared" si="27"/>
        <v>13</v>
      </c>
      <c r="AL87" s="325">
        <f t="shared" ref="AL87:AL97" si="73">COUNTIF(E87:AI87,"D")+COUNTIF(E87:AI87,"D1")*1/BB87+COUNTIF(E87:AI87,"D2")*2/BB87+COUNTIF(E87:AI87,"D3")*3/BB87+COUNTIF(E87:AI87,"D4")*4/BB87+COUNTIF(E87:AI87,"D5")*5/BB87+COUNTIF(E87:AI87,"D6")*6/BB87+COUNTIF(E87:AI87,"D7")*7/BB87+COUNTIF(E87:AI87,"D8")*8/BB87</f>
        <v>0</v>
      </c>
      <c r="AM87" s="326">
        <f t="shared" ref="AM87:AM97" si="74">+$AH$10-$E$10+1-INT(($AH$10-$E$10-WEEKDAY($AH$10)+8)/7)</f>
        <v>26</v>
      </c>
      <c r="AN87" s="327">
        <f t="shared" ref="AN87:AN97" si="75">AK87+AL87</f>
        <v>13</v>
      </c>
      <c r="AO87" s="327">
        <f t="shared" ref="AO87:AO97" si="76">COUNTIF(E87:AI87,"p")+COUNTIF(E87:AI87,"P2")/2+COUNTIF(E87:AI87,"P1")/2</f>
        <v>0</v>
      </c>
      <c r="AP87" s="327">
        <f t="shared" ref="AP87:AP97" si="77">COUNTIF(E87:AI87,"k")</f>
        <v>0</v>
      </c>
      <c r="AQ87" s="327">
        <f t="shared" ref="AQ87:AQ97" si="78">COUNTIF(E87:AI87,"KL")+COUNTIF(E87:AI87,"O")+COUNTIF(E87:AI87,"O/")/2+COUNTIF(E87:AI87,"TN")+COUNTIF(E87:AI87,"4P4KL")/2+COUNTIF(E87:AI87,"P1")*0.5+COUNTIF(E87:AI87,"Ro")+COUNTIF(E87:AI87,"Ro1")*7/8+COUNTIF(E87:AI87,"Ro2")*6/8+COUNTIF(E87:AI87,"Ro3")*5/8+COUNTIF(E87:AI87,"Ro4")*4/8+COUNTIF(E87:AI87,"Ro4.0")*4/8+COUNTIF(E87:AI87,"Ro5")*3/8+COUNTIF(E87:AI87,"Ro6")*2/8+COUNTIF(E87:AI87,"Ro6.5")*1.5/8+COUNTIF(E87:AI87,"Ro7")*1/8+COUNTIF(E87:AI87,"Ro7.3")*0.7/8+COUNTIF(E87:AI87,"Ro7.5")*0.5/8+COUNTIF(E87:AI87,"Ro7.8")*0.2/8+COUNTIF(E87:AI87,"N7")*1/8+COUNTIF(E87:AI87,"N6")*2/8+COUNTIF(E87:AI87,"N5")*3/8+COUNTIF(E87:AI87,"N4")*4/8+COUNTIF(E87:AI87,"N3")*5/8+COUNTIF(E87:AI87,"N2")*6/8+COUNTIF(E87:AI87,"N1")*7/8</f>
        <v>0</v>
      </c>
      <c r="AR87" s="327">
        <f t="shared" ref="AR87:AR97" si="79">COUNTIF(E87:AI87,"*R")</f>
        <v>0</v>
      </c>
      <c r="AS87" s="327">
        <f t="shared" ref="AS87:AS97" si="80">COUNTIF(E87:AI87,"L")*1+COUNTIF(E87:AI87,"0.5L")*0.5</f>
        <v>0</v>
      </c>
      <c r="AT87" s="327"/>
      <c r="AU87" s="327"/>
      <c r="AV87" s="327"/>
      <c r="AW87" s="327"/>
      <c r="AX87" s="327"/>
      <c r="AY87" s="338"/>
      <c r="AZ87" s="327">
        <f t="shared" ref="AZ87:AZ97" si="81">AN87+AO87+AS87+AR87</f>
        <v>13</v>
      </c>
      <c r="BA87" s="347"/>
      <c r="BB87" s="27">
        <v>8</v>
      </c>
      <c r="BC87" s="27" t="str">
        <f>VLOOKUP(B87,'[2]Bang luong_06'!$B$10:$C$333,2,0)</f>
        <v>Anurag Sarin</v>
      </c>
      <c r="BE87" s="151" t="str">
        <f>VLOOKUP($B87,'[2]Bang luong_06'!$B$10:$C$333,2,0)</f>
        <v>Anurag Sarin</v>
      </c>
      <c r="BF87" s="27" t="b">
        <f t="shared" ref="BF87:BF94" si="82">BE87=C87</f>
        <v>1</v>
      </c>
      <c r="BH87" s="332">
        <f>+VLOOKUP(B87,'[2]Thưởng Lễ 2-9'!$B$5:$G$294,6,0)</f>
        <v>0</v>
      </c>
      <c r="BI87" s="27" t="s">
        <v>680</v>
      </c>
      <c r="BK87" s="27" t="s">
        <v>679</v>
      </c>
      <c r="BN87" s="330">
        <v>-2</v>
      </c>
    </row>
    <row r="88" spans="1:66 1544:1544" s="145" customFormat="1" ht="16.5" customHeight="1" outlineLevel="1" x14ac:dyDescent="0.25">
      <c r="A88" s="88">
        <f>IF(B88="","",MAX(A87:A87)+1)</f>
        <v>66</v>
      </c>
      <c r="B88" s="333" t="s">
        <v>681</v>
      </c>
      <c r="C88" s="333" t="s">
        <v>682</v>
      </c>
      <c r="D88" s="334">
        <v>45474</v>
      </c>
      <c r="E88" s="323" t="s">
        <v>38</v>
      </c>
      <c r="F88" s="323" t="s">
        <v>38</v>
      </c>
      <c r="G88" s="323" t="s">
        <v>38</v>
      </c>
      <c r="H88" s="323" t="s">
        <v>107</v>
      </c>
      <c r="I88" s="323" t="s">
        <v>107</v>
      </c>
      <c r="J88" s="323" t="s">
        <v>107</v>
      </c>
      <c r="K88" s="323"/>
      <c r="L88" s="323" t="s">
        <v>38</v>
      </c>
      <c r="M88" s="323" t="s">
        <v>38</v>
      </c>
      <c r="N88" s="323" t="s">
        <v>38</v>
      </c>
      <c r="O88" s="323" t="s">
        <v>38</v>
      </c>
      <c r="P88" s="323" t="s">
        <v>38</v>
      </c>
      <c r="Q88" s="323" t="s">
        <v>38</v>
      </c>
      <c r="R88" s="323"/>
      <c r="S88" s="323" t="s">
        <v>38</v>
      </c>
      <c r="T88" s="323"/>
      <c r="U88" s="323"/>
      <c r="V88" s="323"/>
      <c r="W88" s="323"/>
      <c r="X88" s="323"/>
      <c r="Y88" s="323"/>
      <c r="Z88" s="323"/>
      <c r="AA88" s="323"/>
      <c r="AB88" s="323"/>
      <c r="AC88" s="323"/>
      <c r="AD88" s="323"/>
      <c r="AE88" s="323"/>
      <c r="AF88" s="323"/>
      <c r="AG88" s="323"/>
      <c r="AH88" s="323"/>
      <c r="AI88" s="323"/>
      <c r="AJ88" s="69">
        <f>VLOOKUP($B88,[1]NV!$B$9:$DL$219,114,0)</f>
        <v>4</v>
      </c>
      <c r="AK88" s="325">
        <f t="shared" si="27"/>
        <v>10</v>
      </c>
      <c r="AL88" s="325">
        <f t="shared" si="73"/>
        <v>0</v>
      </c>
      <c r="AM88" s="326">
        <f t="shared" si="74"/>
        <v>26</v>
      </c>
      <c r="AN88" s="327">
        <f t="shared" si="75"/>
        <v>10</v>
      </c>
      <c r="AO88" s="327">
        <f t="shared" si="76"/>
        <v>3</v>
      </c>
      <c r="AP88" s="327">
        <f t="shared" si="77"/>
        <v>0</v>
      </c>
      <c r="AQ88" s="327">
        <f t="shared" si="78"/>
        <v>0</v>
      </c>
      <c r="AR88" s="327">
        <f t="shared" si="79"/>
        <v>0</v>
      </c>
      <c r="AS88" s="327">
        <f t="shared" si="80"/>
        <v>0</v>
      </c>
      <c r="AT88" s="327"/>
      <c r="AU88" s="327"/>
      <c r="AV88" s="327"/>
      <c r="AW88" s="327"/>
      <c r="AX88" s="327"/>
      <c r="AY88" s="338"/>
      <c r="AZ88" s="327">
        <f t="shared" si="81"/>
        <v>13</v>
      </c>
      <c r="BA88" s="347"/>
      <c r="BB88" s="27">
        <v>8</v>
      </c>
      <c r="BC88" s="27" t="str">
        <f>VLOOKUP(B88,'[2]Bang luong_06'!$B$10:$C$333,2,0)</f>
        <v>Nguyễn Thị Quyên</v>
      </c>
      <c r="BE88" s="151" t="str">
        <f>VLOOKUP($B88,'[2]Bang luong_06'!$B$10:$C$333,2,0)</f>
        <v>Nguyễn Thị Quyên</v>
      </c>
      <c r="BF88" s="27" t="b">
        <f t="shared" si="82"/>
        <v>1</v>
      </c>
      <c r="BH88" s="332">
        <f>+VLOOKUP(B88,'[2]Thưởng Lễ 2-9'!$B$5:$G$294,6,0)</f>
        <v>0</v>
      </c>
      <c r="BI88" s="27" t="s">
        <v>682</v>
      </c>
      <c r="BK88" s="27" t="s">
        <v>682</v>
      </c>
      <c r="BN88" s="330">
        <v>1.5</v>
      </c>
    </row>
    <row r="89" spans="1:66 1544:1544" s="145" customFormat="1" ht="16.5" customHeight="1" outlineLevel="1" x14ac:dyDescent="0.25">
      <c r="A89" s="88">
        <f t="shared" si="62"/>
        <v>67</v>
      </c>
      <c r="B89" s="333" t="s">
        <v>683</v>
      </c>
      <c r="C89" s="333" t="s">
        <v>684</v>
      </c>
      <c r="D89" s="322">
        <v>39167</v>
      </c>
      <c r="E89" s="323" t="s">
        <v>38</v>
      </c>
      <c r="F89" s="323" t="s">
        <v>38</v>
      </c>
      <c r="G89" s="323" t="s">
        <v>38</v>
      </c>
      <c r="H89" s="323" t="s">
        <v>38</v>
      </c>
      <c r="I89" s="323" t="s">
        <v>38</v>
      </c>
      <c r="J89" s="323" t="s">
        <v>38</v>
      </c>
      <c r="K89" s="323"/>
      <c r="L89" s="323" t="s">
        <v>38</v>
      </c>
      <c r="M89" s="323" t="s">
        <v>38</v>
      </c>
      <c r="N89" s="323" t="s">
        <v>38</v>
      </c>
      <c r="O89" s="323" t="s">
        <v>38</v>
      </c>
      <c r="P89" s="323" t="s">
        <v>38</v>
      </c>
      <c r="Q89" s="323" t="s">
        <v>38</v>
      </c>
      <c r="R89" s="323"/>
      <c r="S89" s="323" t="s">
        <v>38</v>
      </c>
      <c r="T89" s="323"/>
      <c r="U89" s="323"/>
      <c r="V89" s="323"/>
      <c r="W89" s="323"/>
      <c r="X89" s="323"/>
      <c r="Y89" s="323"/>
      <c r="Z89" s="323"/>
      <c r="AA89" s="323"/>
      <c r="AB89" s="323"/>
      <c r="AC89" s="323"/>
      <c r="AD89" s="323"/>
      <c r="AE89" s="323"/>
      <c r="AF89" s="323"/>
      <c r="AG89" s="323"/>
      <c r="AH89" s="323"/>
      <c r="AI89" s="323"/>
      <c r="AJ89" s="69">
        <f>VLOOKUP($B89,[1]NV!$B$9:$DL$219,114,0)</f>
        <v>0</v>
      </c>
      <c r="AK89" s="325">
        <f t="shared" si="27"/>
        <v>13</v>
      </c>
      <c r="AL89" s="325">
        <f t="shared" si="73"/>
        <v>0</v>
      </c>
      <c r="AM89" s="326">
        <f t="shared" si="74"/>
        <v>26</v>
      </c>
      <c r="AN89" s="327">
        <f t="shared" si="75"/>
        <v>13</v>
      </c>
      <c r="AO89" s="327">
        <f t="shared" si="76"/>
        <v>0</v>
      </c>
      <c r="AP89" s="327">
        <f t="shared" si="77"/>
        <v>0</v>
      </c>
      <c r="AQ89" s="327">
        <f t="shared" si="78"/>
        <v>0</v>
      </c>
      <c r="AR89" s="327">
        <f t="shared" si="79"/>
        <v>0</v>
      </c>
      <c r="AS89" s="327">
        <f t="shared" si="80"/>
        <v>0</v>
      </c>
      <c r="AT89" s="327"/>
      <c r="AU89" s="327"/>
      <c r="AV89" s="327"/>
      <c r="AW89" s="327"/>
      <c r="AX89" s="327"/>
      <c r="AY89" s="338"/>
      <c r="AZ89" s="327">
        <f t="shared" si="81"/>
        <v>13</v>
      </c>
      <c r="BA89" s="352" t="s">
        <v>685</v>
      </c>
      <c r="BB89" s="27">
        <v>8</v>
      </c>
      <c r="BC89" s="27" t="str">
        <f>VLOOKUP(B89,'[2]Bang luong_06'!$B$10:$C$333,2,0)</f>
        <v>Trịnh Văn Dũng</v>
      </c>
      <c r="BE89" s="151" t="str">
        <f>VLOOKUP($B89,'[2]Bang luong_06'!$B$10:$C$333,2,0)</f>
        <v>Trịnh Văn Dũng</v>
      </c>
      <c r="BF89" s="27" t="b">
        <f t="shared" si="82"/>
        <v>1</v>
      </c>
      <c r="BH89" s="332">
        <f>+VLOOKUP(B89,'[2]Thưởng Lễ 2-9'!$B$5:$G$294,6,0)</f>
        <v>0</v>
      </c>
      <c r="BI89" s="27" t="s">
        <v>684</v>
      </c>
      <c r="BK89" s="27" t="s">
        <v>684</v>
      </c>
      <c r="BN89" s="330">
        <v>1</v>
      </c>
      <c r="BGJ89" s="145" t="s">
        <v>684</v>
      </c>
    </row>
    <row r="90" spans="1:66 1544:1544" s="145" customFormat="1" ht="16.5" customHeight="1" outlineLevel="1" x14ac:dyDescent="0.25">
      <c r="A90" s="88">
        <f t="shared" si="62"/>
        <v>68</v>
      </c>
      <c r="B90" s="333" t="s">
        <v>686</v>
      </c>
      <c r="C90" s="333" t="s">
        <v>687</v>
      </c>
      <c r="D90" s="334">
        <v>46027</v>
      </c>
      <c r="E90" s="323" t="s">
        <v>38</v>
      </c>
      <c r="F90" s="323" t="s">
        <v>38</v>
      </c>
      <c r="G90" s="323" t="s">
        <v>38</v>
      </c>
      <c r="H90" s="323" t="s">
        <v>107</v>
      </c>
      <c r="I90" s="323" t="s">
        <v>38</v>
      </c>
      <c r="J90" s="323" t="s">
        <v>38</v>
      </c>
      <c r="K90" s="323"/>
      <c r="L90" s="323" t="s">
        <v>38</v>
      </c>
      <c r="M90" s="323" t="s">
        <v>38</v>
      </c>
      <c r="N90" s="323" t="s">
        <v>38</v>
      </c>
      <c r="O90" s="323" t="s">
        <v>38</v>
      </c>
      <c r="P90" s="323" t="s">
        <v>38</v>
      </c>
      <c r="Q90" s="323" t="s">
        <v>38</v>
      </c>
      <c r="R90" s="323"/>
      <c r="S90" s="323" t="s">
        <v>38</v>
      </c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69">
        <f>VLOOKUP($B90,[1]NV!$B$9:$DL$219,114,0)</f>
        <v>3</v>
      </c>
      <c r="AK90" s="325">
        <f>COUNTIF(E90:AI90,"H4")+COUNTIF(E90:AI90,"H")+COUNTIF(E90:AI90,"Bu")+COUNTIF(E90:AI90,"N")+COUNTIF(E90:AI90,"N1")*1/8+COUNTIF(E90:AI90,"N2")*2/8+COUNTIF(E90:AI90,"N3")*3/8+COUNTIF(E90:AI90,"N4")*4/8+COUNTIF(E90:AI90,"N5")*5/8+COUNTIF(E90:AI90,"N6")*6/8+COUNTIF(E90:AI90,"N7")*7/8+COUNTIF(E90:AI90,"N8")*8/8+COUNTIF(E90:AI90,"C")+COUNTIF(E90:AI90,"C1")+COUNTIF(E90:AI90,"C2")+COUNTIF(E90:AI90,"C2.9")+COUNTIF(E90:AI90,"C3")+COUNTIF(E90:AI90,"C3.8")+COUNTIF(E90:AI90,"C4")+COUNTIF(E90:AI90,"C4.0")+COUNTIF(E90:AI90,"C4.1")+COUNTIF(E90:AI90,"C4.4")+COUNTIF(E90:AI90,"C4.6")+COUNTIF(E90:AI90,"C4.9")+COUNTIF(E90:AI90,"C5")+COUNTIF(E90:AI90,"C6")+COUNTIF(E90:AI90,"C6.5")+COUNTIF(E90:AI90,"C6.0")+COUNTIF(E90:AI90,"C7")+COUNTIF(E90:AI90,"C7.6")+COUNTIF(E90:AI90,"C7.7")+COUNTIF(E90:AI90,"N6.4")*6.4/8+COUNTIF(E90:AI90,"Ro1")*1/8+COUNTIF(E90:AI90,"Ro2")*2/8+COUNTIF(E90:AI90,"Ro3")*3/8+COUNTIF(E90:AI90,"Ro4")*4/8+COUNTIF(E90:AI90,"Ro4.0")*4/8+COUNTIF(E90:AI90,"Ro5")*5/8+COUNTIF(E90:AI90,"Ro6")*6/8+COUNTIF(E90:AI90,"Ro6.5")*6.5/8+COUNTIF(E90:AI90,"Ro7")*7/8+COUNTIF(E90:AI90,"Ro7.3")*7.3/8+COUNTIF(E90:AI90,"Ro7.5")*7.5/8+COUNTIF(E90:AI90,"Ro7.8")*7.8/8+COUNTIF(E90:AI90,"Bu1")+COUNTIF(E90:AI90,"Bu2")+COUNTIF(E90:AI90,"Bu3")+COUNTIF(E90:AI90,"Bu4")+COUNTIF(E90:AI90,"Bu5")+COUNTIF(E90:AI90,"Bu6")+COUNTIF(E90:AI90,"Bu7")+COUNTIF(E90:AI90,"P2")*4/8</f>
        <v>12</v>
      </c>
      <c r="AL90" s="325">
        <f>COUNTIF(E90:AI90,"D")+COUNTIF(E90:AI90,"D1")*1/BB90+COUNTIF(E90:AI90,"D2")*2/BB90+COUNTIF(E90:AI90,"D3")*3/BB90+COUNTIF(E90:AI90,"D4")*4/BB90+COUNTIF(E90:AI90,"D5")*5/BB90+COUNTIF(E90:AI90,"D6")*6/BB90+COUNTIF(E90:AI90,"D7")*7/BB90+COUNTIF(E90:AI90,"D8")*8/BB90</f>
        <v>0</v>
      </c>
      <c r="AM90" s="326">
        <f t="shared" si="74"/>
        <v>26</v>
      </c>
      <c r="AN90" s="327">
        <f>AK90+AL90</f>
        <v>12</v>
      </c>
      <c r="AO90" s="327">
        <f>COUNTIF(E90:AI90,"p")+COUNTIF(E90:AI90,"P2")/2+COUNTIF(E90:AI90,"P1")/2</f>
        <v>1</v>
      </c>
      <c r="AP90" s="327">
        <f>COUNTIF(E90:AI90,"k")</f>
        <v>0</v>
      </c>
      <c r="AQ90" s="327">
        <f>COUNTIF(E90:AI90,"KL")+COUNTIF(E90:AI90,"O")+COUNTIF(E90:AI90,"O/")/2+COUNTIF(E90:AI90,"TN")+COUNTIF(E90:AI90,"4P4KL")/2+COUNTIF(E90:AI90,"P1")*0.5+COUNTIF(E90:AI90,"Ro")+COUNTIF(E90:AI90,"Ro1")*7/8+COUNTIF(E90:AI90,"Ro2")*6/8+COUNTIF(E90:AI90,"Ro3")*5/8+COUNTIF(E90:AI90,"Ro4")*4/8+COUNTIF(E90:AI90,"Ro4.0")*4/8+COUNTIF(E90:AI90,"Ro5")*3/8+COUNTIF(E90:AI90,"Ro6")*2/8+COUNTIF(E90:AI90,"Ro6.5")*1.5/8+COUNTIF(E90:AI90,"Ro7")*1/8+COUNTIF(E90:AI90,"Ro7.3")*0.7/8+COUNTIF(E90:AI90,"Ro7.5")*0.5/8+COUNTIF(E90:AI90,"Ro7.8")*0.2/8+COUNTIF(E90:AI90,"N7")*1/8+COUNTIF(E90:AI90,"N6")*2/8+COUNTIF(E90:AI90,"N5")*3/8+COUNTIF(E90:AI90,"N4")*4/8+COUNTIF(E90:AI90,"N3")*5/8+COUNTIF(E90:AI90,"N2")*6/8+COUNTIF(E90:AI90,"N1")*7/8</f>
        <v>0</v>
      </c>
      <c r="AR90" s="327">
        <f>COUNTIF(E90:AI90,"*R")</f>
        <v>0</v>
      </c>
      <c r="AS90" s="327">
        <f>COUNTIF(E90:AI90,"L")*1+COUNTIF(E90:AI90,"0.5L")*0.5</f>
        <v>0</v>
      </c>
      <c r="AT90" s="327"/>
      <c r="AU90" s="327"/>
      <c r="AV90" s="327"/>
      <c r="AW90" s="327"/>
      <c r="AX90" s="327"/>
      <c r="AY90" s="338"/>
      <c r="AZ90" s="327">
        <f>AN90+AO90+AS90+AR90</f>
        <v>13</v>
      </c>
      <c r="BA90" s="347"/>
      <c r="BB90" s="27">
        <v>9</v>
      </c>
      <c r="BC90" s="27" t="str">
        <f>VLOOKUP(B90,'[2]Bang luong_06'!$B$10:$C$333,2,0)</f>
        <v>Trần Thị Ngọc Hân</v>
      </c>
      <c r="BE90" s="151" t="str">
        <f>VLOOKUP($B90,'[2]Bang luong_06'!$B$10:$C$333,2,0)</f>
        <v>Trần Thị Ngọc Hân</v>
      </c>
      <c r="BF90" s="27" t="b">
        <f>BE90=C90</f>
        <v>1</v>
      </c>
      <c r="BH90" s="332" t="e">
        <f>+VLOOKUP(B90,'[2]Thưởng Lễ 2-9'!$B$5:$G$294,6,0)</f>
        <v>#N/A</v>
      </c>
      <c r="BI90" s="27" t="s">
        <v>688</v>
      </c>
      <c r="BK90" s="27" t="s">
        <v>688</v>
      </c>
      <c r="BN90" s="330">
        <v>4</v>
      </c>
    </row>
    <row r="91" spans="1:66 1544:1544" s="145" customFormat="1" ht="16.5" customHeight="1" outlineLevel="1" x14ac:dyDescent="0.25">
      <c r="A91" s="88">
        <f t="shared" si="62"/>
        <v>69</v>
      </c>
      <c r="B91" s="333" t="s">
        <v>689</v>
      </c>
      <c r="C91" s="333" t="s">
        <v>688</v>
      </c>
      <c r="D91" s="334">
        <v>41792</v>
      </c>
      <c r="E91" s="323" t="s">
        <v>38</v>
      </c>
      <c r="F91" s="323" t="s">
        <v>38</v>
      </c>
      <c r="G91" s="323" t="s">
        <v>38</v>
      </c>
      <c r="H91" s="323" t="s">
        <v>38</v>
      </c>
      <c r="I91" s="323" t="s">
        <v>38</v>
      </c>
      <c r="J91" s="323" t="s">
        <v>38</v>
      </c>
      <c r="K91" s="323"/>
      <c r="L91" s="323" t="s">
        <v>38</v>
      </c>
      <c r="M91" s="323" t="s">
        <v>38</v>
      </c>
      <c r="N91" s="323" t="s">
        <v>38</v>
      </c>
      <c r="O91" s="323" t="s">
        <v>38</v>
      </c>
      <c r="P91" s="323" t="s">
        <v>38</v>
      </c>
      <c r="Q91" s="323" t="s">
        <v>38</v>
      </c>
      <c r="R91" s="323"/>
      <c r="S91" s="323" t="s">
        <v>38</v>
      </c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69">
        <f>VLOOKUP($B91,[1]NV!$B$9:$DL$219,114,0)</f>
        <v>3.5</v>
      </c>
      <c r="AK91" s="325">
        <f t="shared" si="27"/>
        <v>13</v>
      </c>
      <c r="AL91" s="325">
        <f t="shared" si="73"/>
        <v>0</v>
      </c>
      <c r="AM91" s="326">
        <f t="shared" si="74"/>
        <v>26</v>
      </c>
      <c r="AN91" s="327">
        <f t="shared" si="75"/>
        <v>13</v>
      </c>
      <c r="AO91" s="327">
        <f t="shared" si="76"/>
        <v>0</v>
      </c>
      <c r="AP91" s="327">
        <f t="shared" si="77"/>
        <v>0</v>
      </c>
      <c r="AQ91" s="327">
        <f t="shared" si="78"/>
        <v>0</v>
      </c>
      <c r="AR91" s="327">
        <f t="shared" si="79"/>
        <v>0</v>
      </c>
      <c r="AS91" s="327">
        <f t="shared" si="80"/>
        <v>0</v>
      </c>
      <c r="AT91" s="327"/>
      <c r="AU91" s="327"/>
      <c r="AV91" s="327"/>
      <c r="AW91" s="327"/>
      <c r="AX91" s="327"/>
      <c r="AY91" s="338"/>
      <c r="AZ91" s="327">
        <f t="shared" si="81"/>
        <v>13</v>
      </c>
      <c r="BA91" s="347"/>
      <c r="BB91" s="27">
        <v>9</v>
      </c>
      <c r="BC91" s="27" t="str">
        <f>VLOOKUP(B91,'[2]Bang luong_06'!$B$10:$C$333,2,0)</f>
        <v>Nguyễn Thanh Sang</v>
      </c>
      <c r="BE91" s="151" t="str">
        <f>VLOOKUP($B91,'[2]Bang luong_06'!$B$10:$C$333,2,0)</f>
        <v>Nguyễn Thanh Sang</v>
      </c>
      <c r="BF91" s="27" t="b">
        <f t="shared" si="82"/>
        <v>1</v>
      </c>
      <c r="BH91" s="332">
        <f>+VLOOKUP(B91,'[2]Thưởng Lễ 2-9'!$B$5:$G$294,6,0)</f>
        <v>0</v>
      </c>
      <c r="BI91" s="27" t="s">
        <v>688</v>
      </c>
      <c r="BK91" s="27" t="s">
        <v>688</v>
      </c>
      <c r="BN91" s="330">
        <v>4</v>
      </c>
    </row>
    <row r="92" spans="1:66 1544:1544" s="145" customFormat="1" ht="16.5" customHeight="1" outlineLevel="1" x14ac:dyDescent="0.25">
      <c r="A92" s="88">
        <f>IF(B92="","",MAX(A91:A91)+1)</f>
        <v>70</v>
      </c>
      <c r="B92" s="333" t="s">
        <v>690</v>
      </c>
      <c r="C92" s="333" t="s">
        <v>691</v>
      </c>
      <c r="D92" s="334">
        <v>45035</v>
      </c>
      <c r="E92" s="323" t="s">
        <v>38</v>
      </c>
      <c r="F92" s="323" t="s">
        <v>38</v>
      </c>
      <c r="G92" s="323" t="s">
        <v>38</v>
      </c>
      <c r="H92" s="323" t="s">
        <v>38</v>
      </c>
      <c r="I92" s="323" t="s">
        <v>38</v>
      </c>
      <c r="J92" s="323" t="s">
        <v>38</v>
      </c>
      <c r="K92" s="323"/>
      <c r="L92" s="323" t="s">
        <v>38</v>
      </c>
      <c r="M92" s="323" t="s">
        <v>38</v>
      </c>
      <c r="N92" s="323" t="s">
        <v>38</v>
      </c>
      <c r="O92" s="323" t="s">
        <v>38</v>
      </c>
      <c r="P92" s="323" t="s">
        <v>38</v>
      </c>
      <c r="Q92" s="323" t="s">
        <v>38</v>
      </c>
      <c r="R92" s="323"/>
      <c r="S92" s="323" t="s">
        <v>38</v>
      </c>
      <c r="T92" s="323"/>
      <c r="U92" s="323"/>
      <c r="V92" s="323"/>
      <c r="W92" s="323"/>
      <c r="X92" s="323"/>
      <c r="Y92" s="323"/>
      <c r="Z92" s="323"/>
      <c r="AA92" s="323"/>
      <c r="AB92" s="323"/>
      <c r="AC92" s="323"/>
      <c r="AD92" s="323"/>
      <c r="AE92" s="323"/>
      <c r="AF92" s="323"/>
      <c r="AG92" s="323"/>
      <c r="AH92" s="323"/>
      <c r="AI92" s="323"/>
      <c r="AJ92" s="69">
        <f>VLOOKUP($B92,[1]NV!$B$9:$DL$219,114,0)</f>
        <v>0</v>
      </c>
      <c r="AK92" s="325">
        <f t="shared" si="27"/>
        <v>13</v>
      </c>
      <c r="AL92" s="325">
        <f t="shared" si="73"/>
        <v>0</v>
      </c>
      <c r="AM92" s="326">
        <f t="shared" si="74"/>
        <v>26</v>
      </c>
      <c r="AN92" s="327">
        <f t="shared" si="75"/>
        <v>13</v>
      </c>
      <c r="AO92" s="327">
        <f t="shared" si="76"/>
        <v>0</v>
      </c>
      <c r="AP92" s="327">
        <f t="shared" si="77"/>
        <v>0</v>
      </c>
      <c r="AQ92" s="327">
        <f t="shared" si="78"/>
        <v>0</v>
      </c>
      <c r="AR92" s="327">
        <f t="shared" si="79"/>
        <v>0</v>
      </c>
      <c r="AS92" s="327">
        <f t="shared" si="80"/>
        <v>0</v>
      </c>
      <c r="AT92" s="327"/>
      <c r="AU92" s="327"/>
      <c r="AV92" s="327"/>
      <c r="AW92" s="327"/>
      <c r="AX92" s="327"/>
      <c r="AY92" s="338"/>
      <c r="AZ92" s="327">
        <f t="shared" si="81"/>
        <v>13</v>
      </c>
      <c r="BA92" s="347"/>
      <c r="BB92" s="27">
        <v>8</v>
      </c>
      <c r="BC92" s="27" t="str">
        <f>VLOOKUP(B92,'[2]Bang luong_06'!$B$10:$C$333,2,0)</f>
        <v>Trần Thị Xuân Thùy</v>
      </c>
      <c r="BE92" s="151" t="str">
        <f>VLOOKUP($B92,'[2]Bang luong_06'!$B$10:$C$333,2,0)</f>
        <v>Trần Thị Xuân Thùy</v>
      </c>
      <c r="BF92" s="27" t="b">
        <f t="shared" si="82"/>
        <v>1</v>
      </c>
      <c r="BH92" s="332">
        <f>+VLOOKUP(B92,'[2]Thưởng Lễ 2-9'!$B$5:$G$294,6,0)</f>
        <v>0</v>
      </c>
      <c r="BI92" s="27" t="s">
        <v>691</v>
      </c>
      <c r="BK92" s="27" t="s">
        <v>691</v>
      </c>
      <c r="BN92" s="330">
        <v>1</v>
      </c>
      <c r="BGJ92" s="145" t="s">
        <v>688</v>
      </c>
    </row>
    <row r="93" spans="1:66 1544:1544" s="145" customFormat="1" ht="23.25" customHeight="1" outlineLevel="1" x14ac:dyDescent="0.25">
      <c r="A93" s="88">
        <f>IF(B93="","",MAX(A92:A92)+1)</f>
        <v>71</v>
      </c>
      <c r="B93" s="333" t="s">
        <v>692</v>
      </c>
      <c r="C93" s="333" t="s">
        <v>693</v>
      </c>
      <c r="D93" s="334">
        <v>44994</v>
      </c>
      <c r="E93" s="323" t="s">
        <v>38</v>
      </c>
      <c r="F93" s="323" t="s">
        <v>38</v>
      </c>
      <c r="G93" s="323" t="s">
        <v>38</v>
      </c>
      <c r="H93" s="323" t="s">
        <v>38</v>
      </c>
      <c r="I93" s="323" t="s">
        <v>38</v>
      </c>
      <c r="J93" s="323" t="s">
        <v>38</v>
      </c>
      <c r="K93" s="323"/>
      <c r="L93" s="323" t="s">
        <v>38</v>
      </c>
      <c r="M93" s="323" t="s">
        <v>38</v>
      </c>
      <c r="N93" s="323" t="s">
        <v>38</v>
      </c>
      <c r="O93" s="323" t="s">
        <v>38</v>
      </c>
      <c r="P93" s="323" t="s">
        <v>38</v>
      </c>
      <c r="Q93" s="323" t="s">
        <v>38</v>
      </c>
      <c r="R93" s="323"/>
      <c r="S93" s="323" t="s">
        <v>38</v>
      </c>
      <c r="T93" s="323"/>
      <c r="U93" s="323"/>
      <c r="V93" s="323"/>
      <c r="W93" s="323"/>
      <c r="X93" s="323"/>
      <c r="Y93" s="323"/>
      <c r="Z93" s="323"/>
      <c r="AA93" s="323"/>
      <c r="AB93" s="323"/>
      <c r="AC93" s="323"/>
      <c r="AD93" s="323"/>
      <c r="AE93" s="323"/>
      <c r="AF93" s="323"/>
      <c r="AG93" s="323"/>
      <c r="AH93" s="323"/>
      <c r="AI93" s="323"/>
      <c r="AJ93" s="69">
        <f>VLOOKUP($B93,[1]NV!$B$9:$DL$219,114,0)</f>
        <v>2</v>
      </c>
      <c r="AK93" s="325">
        <f t="shared" si="27"/>
        <v>13</v>
      </c>
      <c r="AL93" s="325">
        <f t="shared" si="73"/>
        <v>0</v>
      </c>
      <c r="AM93" s="326">
        <f t="shared" si="74"/>
        <v>26</v>
      </c>
      <c r="AN93" s="327">
        <f t="shared" si="75"/>
        <v>13</v>
      </c>
      <c r="AO93" s="327">
        <f t="shared" si="76"/>
        <v>0</v>
      </c>
      <c r="AP93" s="327">
        <f t="shared" si="77"/>
        <v>0</v>
      </c>
      <c r="AQ93" s="327">
        <f t="shared" si="78"/>
        <v>0</v>
      </c>
      <c r="AR93" s="327">
        <f t="shared" si="79"/>
        <v>0</v>
      </c>
      <c r="AS93" s="327">
        <f t="shared" si="80"/>
        <v>0</v>
      </c>
      <c r="AT93" s="327"/>
      <c r="AU93" s="327"/>
      <c r="AV93" s="327"/>
      <c r="AW93" s="327"/>
      <c r="AX93" s="327"/>
      <c r="AY93" s="338"/>
      <c r="AZ93" s="327">
        <f t="shared" si="81"/>
        <v>13</v>
      </c>
      <c r="BA93" s="347"/>
      <c r="BB93" s="27">
        <v>9</v>
      </c>
      <c r="BC93" s="27" t="str">
        <f>VLOOKUP(B93,'[2]Bang luong_06'!$B$10:$C$333,2,0)</f>
        <v>Phùng Thị Thúy Quỳnh</v>
      </c>
      <c r="BE93" s="151" t="str">
        <f>VLOOKUP($B93,'[2]Bang luong_06'!$B$10:$C$333,2,0)</f>
        <v>Phùng Thị Thúy Quỳnh</v>
      </c>
      <c r="BF93" s="27" t="b">
        <f t="shared" si="82"/>
        <v>1</v>
      </c>
      <c r="BH93" s="332">
        <f>+VLOOKUP(B93,'[2]Thưởng Lễ 2-9'!$B$5:$G$294,6,0)</f>
        <v>0</v>
      </c>
      <c r="BI93" s="27" t="s">
        <v>693</v>
      </c>
      <c r="BK93" s="27" t="s">
        <v>693</v>
      </c>
      <c r="BN93" s="330">
        <v>-0.5</v>
      </c>
      <c r="BGJ93" s="145" t="s">
        <v>652</v>
      </c>
    </row>
    <row r="94" spans="1:66 1544:1544" ht="31.5" customHeight="1" outlineLevel="1" x14ac:dyDescent="0.25">
      <c r="A94" s="88">
        <f t="shared" si="62"/>
        <v>72</v>
      </c>
      <c r="B94" s="333" t="s">
        <v>694</v>
      </c>
      <c r="C94" s="333" t="s">
        <v>695</v>
      </c>
      <c r="D94" s="334">
        <v>44774</v>
      </c>
      <c r="E94" s="323" t="s">
        <v>38</v>
      </c>
      <c r="F94" s="323" t="s">
        <v>38</v>
      </c>
      <c r="G94" s="323" t="s">
        <v>38</v>
      </c>
      <c r="H94" s="323" t="s">
        <v>38</v>
      </c>
      <c r="I94" s="323" t="s">
        <v>38</v>
      </c>
      <c r="J94" s="323" t="s">
        <v>38</v>
      </c>
      <c r="K94" s="323"/>
      <c r="L94" s="323" t="s">
        <v>38</v>
      </c>
      <c r="M94" s="323" t="s">
        <v>38</v>
      </c>
      <c r="N94" s="323" t="s">
        <v>38</v>
      </c>
      <c r="O94" s="323" t="s">
        <v>38</v>
      </c>
      <c r="P94" s="323" t="s">
        <v>38</v>
      </c>
      <c r="Q94" s="323" t="s">
        <v>38</v>
      </c>
      <c r="R94" s="323"/>
      <c r="S94" s="323" t="s">
        <v>38</v>
      </c>
      <c r="T94" s="323"/>
      <c r="U94" s="323"/>
      <c r="V94" s="323"/>
      <c r="W94" s="323"/>
      <c r="X94" s="323"/>
      <c r="Y94" s="323"/>
      <c r="Z94" s="323"/>
      <c r="AA94" s="323"/>
      <c r="AB94" s="323"/>
      <c r="AC94" s="323"/>
      <c r="AD94" s="323"/>
      <c r="AE94" s="323"/>
      <c r="AF94" s="323"/>
      <c r="AG94" s="323"/>
      <c r="AH94" s="323"/>
      <c r="AI94" s="323"/>
      <c r="AJ94" s="69">
        <f>VLOOKUP($B94,[1]NV!$B$9:$DL$219,114,0)</f>
        <v>2.5</v>
      </c>
      <c r="AK94" s="325">
        <f t="shared" si="27"/>
        <v>13</v>
      </c>
      <c r="AL94" s="325">
        <f t="shared" si="73"/>
        <v>0</v>
      </c>
      <c r="AM94" s="326">
        <f t="shared" si="74"/>
        <v>26</v>
      </c>
      <c r="AN94" s="327">
        <f t="shared" si="75"/>
        <v>13</v>
      </c>
      <c r="AO94" s="327">
        <f t="shared" si="76"/>
        <v>0</v>
      </c>
      <c r="AP94" s="327">
        <f t="shared" si="77"/>
        <v>0</v>
      </c>
      <c r="AQ94" s="327">
        <f t="shared" si="78"/>
        <v>0</v>
      </c>
      <c r="AR94" s="327">
        <f t="shared" si="79"/>
        <v>0</v>
      </c>
      <c r="AS94" s="327">
        <f t="shared" si="80"/>
        <v>0</v>
      </c>
      <c r="AT94" s="327"/>
      <c r="AU94" s="327"/>
      <c r="AV94" s="327"/>
      <c r="AW94" s="327"/>
      <c r="AX94" s="327"/>
      <c r="AY94" s="327"/>
      <c r="AZ94" s="327">
        <f t="shared" si="81"/>
        <v>13</v>
      </c>
      <c r="BA94" s="353" t="s">
        <v>696</v>
      </c>
      <c r="BB94" s="27">
        <v>9</v>
      </c>
      <c r="BC94" s="27" t="str">
        <f>VLOOKUP(B94,'[2]Bang luong_06'!$B$10:$C$333,2,0)</f>
        <v>Đỗ Thị Kim Phượng</v>
      </c>
      <c r="BE94" s="151" t="str">
        <f>VLOOKUP($B94,'[2]Bang luong_06'!$B$10:$C$333,2,0)</f>
        <v>Đỗ Thị Kim Phượng</v>
      </c>
      <c r="BF94" s="27" t="b">
        <f t="shared" si="82"/>
        <v>1</v>
      </c>
      <c r="BH94" s="332">
        <f>+VLOOKUP(B94,'[2]Thưởng Lễ 2-9'!$B$5:$G$294,6,0)</f>
        <v>0</v>
      </c>
      <c r="BI94" s="27" t="s">
        <v>695</v>
      </c>
      <c r="BK94" s="27" t="s">
        <v>695</v>
      </c>
      <c r="BN94" s="330">
        <v>6.5</v>
      </c>
      <c r="BGJ94" s="27" t="e">
        <v>#N/A</v>
      </c>
    </row>
    <row r="95" spans="1:66 1544:1544" ht="16.5" customHeight="1" outlineLevel="1" x14ac:dyDescent="0.25">
      <c r="A95" s="88">
        <f t="shared" si="62"/>
        <v>73</v>
      </c>
      <c r="B95" s="333" t="s">
        <v>697</v>
      </c>
      <c r="C95" s="333" t="s">
        <v>698</v>
      </c>
      <c r="D95" s="334">
        <v>45616</v>
      </c>
      <c r="E95" s="323" t="s">
        <v>38</v>
      </c>
      <c r="F95" s="323" t="s">
        <v>38</v>
      </c>
      <c r="G95" s="323" t="s">
        <v>38</v>
      </c>
      <c r="H95" s="323" t="s">
        <v>38</v>
      </c>
      <c r="I95" s="323" t="s">
        <v>38</v>
      </c>
      <c r="J95" s="323" t="s">
        <v>38</v>
      </c>
      <c r="K95" s="323"/>
      <c r="L95" s="323" t="s">
        <v>38</v>
      </c>
      <c r="M95" s="323" t="s">
        <v>38</v>
      </c>
      <c r="N95" s="323" t="s">
        <v>38</v>
      </c>
      <c r="O95" s="323" t="s">
        <v>38</v>
      </c>
      <c r="P95" s="323" t="s">
        <v>38</v>
      </c>
      <c r="Q95" s="323" t="s">
        <v>38</v>
      </c>
      <c r="R95" s="323"/>
      <c r="S95" s="323" t="s">
        <v>38</v>
      </c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69">
        <f>VLOOKUP($B95,[1]NV!$B$9:$DL$219,114,0)</f>
        <v>4</v>
      </c>
      <c r="AK95" s="325">
        <f t="shared" si="27"/>
        <v>13</v>
      </c>
      <c r="AL95" s="325">
        <f>COUNTIF(E95:AI95,"D")+COUNTIF(E95:AI95,"D1")*1/BB95+COUNTIF(E95:AI95,"D2")*2/BB95+COUNTIF(E95:AI95,"D3")*3/BB95+COUNTIF(E95:AI95,"D4")*4/BB95+COUNTIF(E95:AI95,"D5")*5/BB95+COUNTIF(E95:AI95,"D6")*6/BB95+COUNTIF(E95:AI95,"D7")*7/BB95+COUNTIF(E95:AI95,"D8")*8/BB95</f>
        <v>0</v>
      </c>
      <c r="AM95" s="326">
        <f t="shared" si="74"/>
        <v>26</v>
      </c>
      <c r="AN95" s="327">
        <f t="shared" si="75"/>
        <v>13</v>
      </c>
      <c r="AO95" s="327">
        <f t="shared" si="76"/>
        <v>0</v>
      </c>
      <c r="AP95" s="327">
        <f t="shared" si="77"/>
        <v>0</v>
      </c>
      <c r="AQ95" s="327">
        <f t="shared" si="78"/>
        <v>0</v>
      </c>
      <c r="AR95" s="327">
        <f t="shared" si="79"/>
        <v>0</v>
      </c>
      <c r="AS95" s="327">
        <f t="shared" si="80"/>
        <v>0</v>
      </c>
      <c r="AT95" s="327"/>
      <c r="AU95" s="327"/>
      <c r="AV95" s="327"/>
      <c r="AW95" s="327"/>
      <c r="AX95" s="327"/>
      <c r="AY95" s="327"/>
      <c r="AZ95" s="327">
        <f t="shared" si="81"/>
        <v>13</v>
      </c>
      <c r="BA95" s="331"/>
      <c r="BB95" s="27">
        <v>9</v>
      </c>
      <c r="BC95" s="27" t="str">
        <f>VLOOKUP(B95,'[2]Bang luong_06'!$B$10:$C$333,2,0)</f>
        <v>Phan Thúy Quyên</v>
      </c>
      <c r="BE95" s="151" t="str">
        <f>VLOOKUP($B95,'[2]Bang luong_06'!$B$10:$C$333,2,0)</f>
        <v>Phan Thúy Quyên</v>
      </c>
      <c r="BF95" s="27" t="b">
        <f>BE95=C95</f>
        <v>1</v>
      </c>
      <c r="BH95" s="332" t="e">
        <f>+VLOOKUP(B95,'[2]Thưởng Lễ 2-9'!$B$5:$G$294,6,0)</f>
        <v>#N/A</v>
      </c>
      <c r="BI95" s="27" t="s">
        <v>695</v>
      </c>
      <c r="BK95" s="27" t="s">
        <v>695</v>
      </c>
      <c r="BN95" s="330">
        <v>0</v>
      </c>
      <c r="BGJ95" s="27" t="e">
        <v>#N/A</v>
      </c>
    </row>
    <row r="96" spans="1:66 1544:1544" ht="16.5" customHeight="1" outlineLevel="1" x14ac:dyDescent="0.25">
      <c r="A96" s="88">
        <f t="shared" si="62"/>
        <v>74</v>
      </c>
      <c r="B96" s="333" t="s">
        <v>699</v>
      </c>
      <c r="C96" s="333" t="s">
        <v>700</v>
      </c>
      <c r="D96" s="334">
        <v>45852</v>
      </c>
      <c r="E96" s="323" t="s">
        <v>38</v>
      </c>
      <c r="F96" s="323" t="s">
        <v>38</v>
      </c>
      <c r="G96" s="323" t="s">
        <v>38</v>
      </c>
      <c r="H96" s="323" t="s">
        <v>38</v>
      </c>
      <c r="I96" s="323" t="s">
        <v>38</v>
      </c>
      <c r="J96" s="323" t="s">
        <v>38</v>
      </c>
      <c r="K96" s="323"/>
      <c r="L96" s="323" t="s">
        <v>38</v>
      </c>
      <c r="M96" s="323" t="s">
        <v>38</v>
      </c>
      <c r="N96" s="323" t="s">
        <v>38</v>
      </c>
      <c r="O96" s="323" t="s">
        <v>38</v>
      </c>
      <c r="P96" s="323" t="s">
        <v>38</v>
      </c>
      <c r="Q96" s="323" t="s">
        <v>38</v>
      </c>
      <c r="R96" s="323"/>
      <c r="S96" s="323" t="s">
        <v>107</v>
      </c>
      <c r="T96" s="323" t="s">
        <v>107</v>
      </c>
      <c r="U96" s="323"/>
      <c r="V96" s="323"/>
      <c r="W96" s="323"/>
      <c r="X96" s="323"/>
      <c r="Y96" s="323"/>
      <c r="Z96" s="323"/>
      <c r="AA96" s="323"/>
      <c r="AB96" s="323"/>
      <c r="AC96" s="323"/>
      <c r="AD96" s="323"/>
      <c r="AE96" s="323"/>
      <c r="AF96" s="323"/>
      <c r="AG96" s="323"/>
      <c r="AH96" s="323"/>
      <c r="AI96" s="323"/>
      <c r="AJ96" s="69">
        <f>VLOOKUP($B96,[1]NV!$B$9:$DL$219,114,0)</f>
        <v>4</v>
      </c>
      <c r="AK96" s="325">
        <f>COUNTIF(E96:AI96,"H4")+COUNTIF(E96:AI96,"H")+COUNTIF(E96:AI96,"Bu")+COUNTIF(E96:AI96,"N")+COUNTIF(E96:AI96,"N1")*1/8+COUNTIF(E96:AI96,"N2")*2/8+COUNTIF(E96:AI96,"N3")*3/8+COUNTIF(E96:AI96,"N4")*4/8+COUNTIF(E96:AI96,"N5")*5/8+COUNTIF(E96:AI96,"N6")*6/8+COUNTIF(E96:AI96,"N7")*7/8+COUNTIF(E96:AI96,"N8")*8/8+COUNTIF(E96:AI96,"C")+COUNTIF(E96:AI96,"C1")+COUNTIF(E96:AI96,"C2")+COUNTIF(E96:AI96,"C2.9")+COUNTIF(E96:AI96,"C3")+COUNTIF(E96:AI96,"C3.8")+COUNTIF(E96:AI96,"C4")+COUNTIF(E96:AI96,"C4.0")+COUNTIF(E96:AI96,"C4.1")+COUNTIF(E96:AI96,"C4.4")+COUNTIF(E96:AI96,"C4.6")+COUNTIF(E96:AI96,"C4.9")+COUNTIF(E96:AI96,"C5")+COUNTIF(E96:AI96,"C6")+COUNTIF(E96:AI96,"C6.5")+COUNTIF(E96:AI96,"C6.0")+COUNTIF(E96:AI96,"C7")+COUNTIF(E96:AI96,"C7.6")+COUNTIF(E96:AI96,"C7.7")+COUNTIF(E96:AI96,"N6.4")*6.4/8+COUNTIF(E96:AI96,"Ro1")*1/8+COUNTIF(E96:AI96,"Ro2")*2/8+COUNTIF(E96:AI96,"Ro3")*3/8+COUNTIF(E96:AI96,"Ro4")*4/8+COUNTIF(E96:AI96,"Ro4.0")*4/8+COUNTIF(E96:AI96,"Ro5")*5/8+COUNTIF(E96:AI96,"Ro6")*6/8+COUNTIF(E96:AI96,"Ro6.5")*6.5/8+COUNTIF(E96:AI96,"Ro7")*7/8+COUNTIF(E96:AI96,"Ro7.3")*7.3/8+COUNTIF(E96:AI96,"Ro7.5")*7.5/8+COUNTIF(E96:AI96,"Ro7.8")*7.8/8+COUNTIF(E96:AI96,"Bu1")+COUNTIF(E96:AI96,"Bu2")+COUNTIF(E96:AI96,"Bu3")+COUNTIF(E96:AI96,"Bu4")+COUNTIF(E96:AI96,"Bu5")+COUNTIF(E96:AI96,"Bu6")+COUNTIF(E96:AI96,"Bu7")+COUNTIF(E96:AI96,"P2")*4/8</f>
        <v>12</v>
      </c>
      <c r="AL96" s="325">
        <f>COUNTIF(E96:AI96,"D")+COUNTIF(E96:AI96,"D1")*1/BB96+COUNTIF(E96:AI96,"D2")*2/BB96+COUNTIF(E96:AI96,"D3")*3/BB96+COUNTIF(E96:AI96,"D4")*4/BB96+COUNTIF(E96:AI96,"D5")*5/BB96+COUNTIF(E96:AI96,"D6")*6/BB96+COUNTIF(E96:AI96,"D7")*7/BB96+COUNTIF(E96:AI96,"D8")*8/BB96</f>
        <v>0</v>
      </c>
      <c r="AM96" s="326">
        <f t="shared" si="74"/>
        <v>26</v>
      </c>
      <c r="AN96" s="327">
        <f>AK96+AL96</f>
        <v>12</v>
      </c>
      <c r="AO96" s="327">
        <f>COUNTIF(E96:AI96,"p")+COUNTIF(E96:AI96,"P2")/2+COUNTIF(E96:AI96,"P1")/2</f>
        <v>2</v>
      </c>
      <c r="AP96" s="327">
        <f>COUNTIF(E96:AI96,"k")</f>
        <v>0</v>
      </c>
      <c r="AQ96" s="327">
        <f>COUNTIF(E96:AI96,"KL")+COUNTIF(E96:AI96,"O")+COUNTIF(E96:AI96,"O/")/2+COUNTIF(E96:AI96,"TN")+COUNTIF(E96:AI96,"4P4KL")/2+COUNTIF(E96:AI96,"P1")*0.5+COUNTIF(E96:AI96,"Ro")+COUNTIF(E96:AI96,"Ro1")*7/8+COUNTIF(E96:AI96,"Ro2")*6/8+COUNTIF(E96:AI96,"Ro3")*5/8+COUNTIF(E96:AI96,"Ro4")*4/8+COUNTIF(E96:AI96,"Ro4.0")*4/8+COUNTIF(E96:AI96,"Ro5")*3/8+COUNTIF(E96:AI96,"Ro6")*2/8+COUNTIF(E96:AI96,"Ro6.5")*1.5/8+COUNTIF(E96:AI96,"Ro7")*1/8+COUNTIF(E96:AI96,"Ro7.3")*0.7/8+COUNTIF(E96:AI96,"Ro7.5")*0.5/8+COUNTIF(E96:AI96,"Ro7.8")*0.2/8+COUNTIF(E96:AI96,"N7")*1/8+COUNTIF(E96:AI96,"N6")*2/8+COUNTIF(E96:AI96,"N5")*3/8+COUNTIF(E96:AI96,"N4")*4/8+COUNTIF(E96:AI96,"N3")*5/8+COUNTIF(E96:AI96,"N2")*6/8+COUNTIF(E96:AI96,"N1")*7/8</f>
        <v>0</v>
      </c>
      <c r="AR96" s="327">
        <f>COUNTIF(E96:AI96,"*R")</f>
        <v>0</v>
      </c>
      <c r="AS96" s="327">
        <f>COUNTIF(E96:AI96,"L")*1+COUNTIF(E96:AI96,"0.5L")*0.5</f>
        <v>0</v>
      </c>
      <c r="AT96" s="327"/>
      <c r="AU96" s="327"/>
      <c r="AV96" s="327"/>
      <c r="AW96" s="327"/>
      <c r="AX96" s="327"/>
      <c r="AY96" s="327"/>
      <c r="AZ96" s="327">
        <f>AN96+AO96+AS96+AR96</f>
        <v>14</v>
      </c>
      <c r="BA96" s="331"/>
      <c r="BB96" s="27">
        <v>9</v>
      </c>
      <c r="BC96" s="27" t="str">
        <f>VLOOKUP(B96,'[2]Bang luong_06'!$B$10:$C$333,2,0)</f>
        <v>Nguyễn Hoàng Hà</v>
      </c>
      <c r="BE96" s="151" t="str">
        <f>VLOOKUP($B96,'[2]Bang luong_06'!$B$10:$C$333,2,0)</f>
        <v>Nguyễn Hoàng Hà</v>
      </c>
      <c r="BF96" s="27" t="b">
        <f>BE96=C96</f>
        <v>1</v>
      </c>
      <c r="BH96" s="332" t="e">
        <f>+VLOOKUP(B96,'[2]Thưởng Lễ 2-9'!$B$5:$G$294,6,0)</f>
        <v>#N/A</v>
      </c>
      <c r="BI96" s="27" t="s">
        <v>695</v>
      </c>
      <c r="BK96" s="27" t="s">
        <v>695</v>
      </c>
      <c r="BN96" s="330">
        <v>0</v>
      </c>
      <c r="BGJ96" s="27" t="e">
        <v>#N/A</v>
      </c>
    </row>
    <row r="97" spans="1:66 1544:1544" ht="16.5" customHeight="1" outlineLevel="1" x14ac:dyDescent="0.25">
      <c r="A97" s="88">
        <f t="shared" si="62"/>
        <v>75</v>
      </c>
      <c r="B97" s="333" t="s">
        <v>701</v>
      </c>
      <c r="C97" s="333" t="s">
        <v>702</v>
      </c>
      <c r="D97" s="334">
        <v>46177</v>
      </c>
      <c r="E97" s="323" t="s">
        <v>38</v>
      </c>
      <c r="F97" s="323" t="s">
        <v>38</v>
      </c>
      <c r="G97" s="323" t="s">
        <v>38</v>
      </c>
      <c r="H97" s="323" t="s">
        <v>38</v>
      </c>
      <c r="I97" s="323" t="s">
        <v>38</v>
      </c>
      <c r="J97" s="323" t="s">
        <v>38</v>
      </c>
      <c r="K97" s="323"/>
      <c r="L97" s="323" t="s">
        <v>38</v>
      </c>
      <c r="M97" s="323" t="s">
        <v>38</v>
      </c>
      <c r="N97" s="323" t="s">
        <v>38</v>
      </c>
      <c r="O97" s="323" t="s">
        <v>38</v>
      </c>
      <c r="P97" s="323" t="s">
        <v>38</v>
      </c>
      <c r="Q97" s="323" t="s">
        <v>38</v>
      </c>
      <c r="R97" s="323"/>
      <c r="S97" s="323" t="s">
        <v>38</v>
      </c>
      <c r="T97" s="323"/>
      <c r="U97" s="323"/>
      <c r="V97" s="323"/>
      <c r="W97" s="323"/>
      <c r="X97" s="323"/>
      <c r="Y97" s="323"/>
      <c r="Z97" s="323"/>
      <c r="AA97" s="323"/>
      <c r="AB97" s="323"/>
      <c r="AC97" s="323"/>
      <c r="AD97" s="323"/>
      <c r="AE97" s="323"/>
      <c r="AF97" s="323"/>
      <c r="AG97" s="323"/>
      <c r="AH97" s="323"/>
      <c r="AI97" s="323"/>
      <c r="AJ97" s="69">
        <v>0</v>
      </c>
      <c r="AK97" s="325">
        <f t="shared" si="27"/>
        <v>13</v>
      </c>
      <c r="AL97" s="325">
        <f t="shared" si="73"/>
        <v>0</v>
      </c>
      <c r="AM97" s="326">
        <f t="shared" si="74"/>
        <v>26</v>
      </c>
      <c r="AN97" s="327">
        <f t="shared" si="75"/>
        <v>13</v>
      </c>
      <c r="AO97" s="327">
        <f t="shared" si="76"/>
        <v>0</v>
      </c>
      <c r="AP97" s="327">
        <f t="shared" si="77"/>
        <v>0</v>
      </c>
      <c r="AQ97" s="327">
        <f t="shared" si="78"/>
        <v>0</v>
      </c>
      <c r="AR97" s="327">
        <f t="shared" si="79"/>
        <v>0</v>
      </c>
      <c r="AS97" s="327">
        <f t="shared" si="80"/>
        <v>0</v>
      </c>
      <c r="AT97" s="327"/>
      <c r="AU97" s="327"/>
      <c r="AV97" s="327"/>
      <c r="AW97" s="327"/>
      <c r="AX97" s="327"/>
      <c r="AY97" s="327"/>
      <c r="AZ97" s="327">
        <f t="shared" si="81"/>
        <v>13</v>
      </c>
      <c r="BA97" s="331"/>
      <c r="BB97" s="27">
        <v>9</v>
      </c>
      <c r="BC97" s="27" t="str">
        <f>VLOOKUP(B97,'[2]Bang luong_06'!$B$10:$C$333,2,0)</f>
        <v>Nguyễn Hữu Lộc</v>
      </c>
      <c r="BE97" s="151" t="str">
        <f>VLOOKUP($B97,'[2]Bang luong_06'!$B$10:$C$333,2,0)</f>
        <v>Nguyễn Hữu Lộc</v>
      </c>
      <c r="BF97" s="27" t="b">
        <f>BE97=C97</f>
        <v>1</v>
      </c>
      <c r="BH97" s="332" t="e">
        <f>+VLOOKUP(B97,'[2]Thưởng Lễ 2-9'!$B$5:$G$294,6,0)</f>
        <v>#N/A</v>
      </c>
      <c r="BI97" s="27" t="s">
        <v>695</v>
      </c>
      <c r="BK97" s="27" t="s">
        <v>695</v>
      </c>
      <c r="BN97" s="330">
        <v>0</v>
      </c>
      <c r="BGJ97" s="27" t="e">
        <v>#N/A</v>
      </c>
    </row>
    <row r="98" spans="1:66 1544:1544" ht="16.5" customHeight="1" outlineLevel="1" x14ac:dyDescent="0.25">
      <c r="A98" s="88" t="str">
        <f t="shared" si="62"/>
        <v/>
      </c>
      <c r="B98" s="317"/>
      <c r="C98" s="317" t="s">
        <v>703</v>
      </c>
      <c r="D98" s="313">
        <f>COUNTA(A99:A114)</f>
        <v>16</v>
      </c>
      <c r="E98" s="317"/>
      <c r="F98" s="317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 s="317"/>
      <c r="AJ98" s="318"/>
      <c r="AK98" s="317"/>
      <c r="AL98" s="317"/>
      <c r="AM98" s="317"/>
      <c r="AN98" s="317"/>
      <c r="AO98" s="317"/>
      <c r="AP98" s="317"/>
      <c r="AQ98" s="317"/>
      <c r="AR98" s="317"/>
      <c r="AS98" s="317"/>
      <c r="AT98" s="317"/>
      <c r="AU98" s="317"/>
      <c r="AV98" s="317"/>
      <c r="AW98" s="317"/>
      <c r="AX98" s="317"/>
      <c r="AY98" s="317"/>
      <c r="AZ98" s="317"/>
      <c r="BA98" s="317"/>
      <c r="BE98" s="151"/>
      <c r="BI98" s="27" t="e">
        <v>#N/A</v>
      </c>
      <c r="BN98" s="337">
        <v>0</v>
      </c>
      <c r="BGJ98" s="27" t="s">
        <v>544</v>
      </c>
    </row>
    <row r="99" spans="1:66 1544:1544" ht="21.75" customHeight="1" outlineLevel="1" x14ac:dyDescent="0.25">
      <c r="A99" s="88">
        <f t="shared" si="62"/>
        <v>76</v>
      </c>
      <c r="B99" s="320" t="s">
        <v>704</v>
      </c>
      <c r="C99" s="321" t="s">
        <v>705</v>
      </c>
      <c r="D99" s="334">
        <v>45208</v>
      </c>
      <c r="E99" s="323" t="s">
        <v>38</v>
      </c>
      <c r="F99" s="323" t="s">
        <v>38</v>
      </c>
      <c r="G99" s="323" t="s">
        <v>38</v>
      </c>
      <c r="H99" s="323" t="s">
        <v>38</v>
      </c>
      <c r="I99" s="323" t="s">
        <v>38</v>
      </c>
      <c r="J99" s="323" t="s">
        <v>38</v>
      </c>
      <c r="K99" s="323"/>
      <c r="L99" s="323" t="s">
        <v>38</v>
      </c>
      <c r="M99" s="323" t="s">
        <v>38</v>
      </c>
      <c r="N99" s="323" t="s">
        <v>38</v>
      </c>
      <c r="O99" s="323" t="s">
        <v>38</v>
      </c>
      <c r="P99" s="323" t="s">
        <v>38</v>
      </c>
      <c r="Q99" s="323" t="s">
        <v>38</v>
      </c>
      <c r="R99" s="323"/>
      <c r="S99" s="323" t="s">
        <v>38</v>
      </c>
      <c r="T99" s="323"/>
      <c r="U99" s="323"/>
      <c r="V99" s="323"/>
      <c r="W99" s="323"/>
      <c r="X99" s="323"/>
      <c r="Y99" s="323"/>
      <c r="Z99" s="323"/>
      <c r="AA99" s="323"/>
      <c r="AB99" s="323"/>
      <c r="AC99" s="323"/>
      <c r="AD99" s="323"/>
      <c r="AE99" s="323"/>
      <c r="AF99" s="323"/>
      <c r="AG99" s="323"/>
      <c r="AH99" s="323"/>
      <c r="AI99" s="323"/>
      <c r="AJ99" s="69">
        <f>VLOOKUP($B99,[1]NV!$B$9:$DL$219,114,0)</f>
        <v>3.5</v>
      </c>
      <c r="AK99" s="325">
        <f t="shared" ref="AK99:AK110" si="83">COUNTIF(E99:AI99,"H4")+COUNTIF(E99:AI99,"H")+COUNTIF(E99:AI99,"Bu")+COUNTIF(E99:AI99,"N")+COUNTIF(E99:AI99,"N1")*1/8+COUNTIF(E99:AI99,"N2")*2/8+COUNTIF(E99:AI99,"N3")*3/8+COUNTIF(E99:AI99,"N4")*4/8+COUNTIF(E99:AI99,"N5")*5/8+COUNTIF(E99:AI99,"N6")*6/8+COUNTIF(E99:AI99,"N7")*7/8+COUNTIF(E99:AI99,"N8")*8/8+COUNTIF(E99:AI99,"C")+COUNTIF(E99:AI99,"C1")+COUNTIF(E99:AI99,"C2")+COUNTIF(E99:AI99,"C2.9")+COUNTIF(E99:AI99,"C3")+COUNTIF(E99:AI99,"C3.8")+COUNTIF(E99:AI99,"C4")+COUNTIF(E99:AI99,"C4.0")+COUNTIF(E99:AI99,"C4.1")+COUNTIF(E99:AI99,"C4.4")+COUNTIF(E99:AI99,"C4.6")+COUNTIF(E99:AI99,"C4.9")+COUNTIF(E99:AI99,"C5")+COUNTIF(E99:AI99,"C6")+COUNTIF(E99:AI99,"C6.5")+COUNTIF(E99:AI99,"C6.0")+COUNTIF(E99:AI99,"C7")+COUNTIF(E99:AI99,"C7.6")+COUNTIF(E99:AI99,"C7.7")+COUNTIF(E99:AI99,"N6.4")*6.4/8+COUNTIF(E99:AI99,"Ro1")*1/8+COUNTIF(E99:AI99,"Ro2")*2/8+COUNTIF(E99:AI99,"Ro3")*3/8+COUNTIF(E99:AI99,"Ro4")*4/8+COUNTIF(E99:AI99,"Ro4.0")*4/8+COUNTIF(E99:AI99,"Ro5")*5/8+COUNTIF(E99:AI99,"Ro6")*6/8+COUNTIF(E99:AI99,"Ro6.5")*6.5/8+COUNTIF(E99:AI99,"Ro7")*7/8+COUNTIF(E99:AI99,"Ro7.3")*7.3/8+COUNTIF(E99:AI99,"Ro7.5")*7.5/8+COUNTIF(E99:AI99,"Ro7.8")*7.8/8+COUNTIF(E99:AI99,"Bu1")+COUNTIF(E99:AI99,"Bu2")+COUNTIF(E99:AI99,"Bu3")+COUNTIF(E99:AI99,"Bu4")+COUNTIF(E99:AI99,"Bu5")+COUNTIF(E99:AI99,"Bu6")+COUNTIF(E99:AI99,"Bu7")+COUNTIF(E99:AI99,"P2")*4/8</f>
        <v>13</v>
      </c>
      <c r="AL99" s="325">
        <f t="shared" ref="AL99:AL110" si="84">COUNTIF(E99:AI99,"D")+COUNTIF(E99:AI99,"D1")*1/BB99+COUNTIF(E99:AI99,"D2")*2/BB99+COUNTIF(E99:AI99,"D3")*3/BB99+COUNTIF(E99:AI99,"D4")*4/BB99+COUNTIF(E99:AI99,"D5")*5/BB99+COUNTIF(E99:AI99,"D6")*6/BB99+COUNTIF(E99:AI99,"D7")*7/BB99+COUNTIF(E99:AI99,"D8")*8/BB99</f>
        <v>0</v>
      </c>
      <c r="AM99" s="326">
        <f t="shared" ref="AM99:AM114" si="85">+$AH$10-$E$10+1-INT(($AH$10-$E$10-WEEKDAY($AH$10)+8)/7)</f>
        <v>26</v>
      </c>
      <c r="AN99" s="327">
        <f t="shared" ref="AN99:AN114" si="86">AK99+AL99</f>
        <v>13</v>
      </c>
      <c r="AO99" s="327">
        <f t="shared" ref="AO99:AO112" si="87">COUNTIF(E99:AI99,"p")+COUNTIF(E99:AI99,"P2")/2+COUNTIF(E99:AI99,"P1")/2</f>
        <v>0</v>
      </c>
      <c r="AP99" s="327">
        <f t="shared" ref="AP99:AP112" si="88">COUNTIF(E99:AI99,"k")</f>
        <v>0</v>
      </c>
      <c r="AQ99" s="327">
        <f t="shared" ref="AQ99:AQ112" si="89">COUNTIF(E99:AI99,"KL")+COUNTIF(E99:AI99,"O")+COUNTIF(E99:AI99,"O/")/2+COUNTIF(E99:AI99,"TN")+COUNTIF(E99:AI99,"4P4KL")/2+COUNTIF(E99:AI99,"P1")*0.5+COUNTIF(E99:AI99,"Ro")+COUNTIF(E99:AI99,"Ro1")*7/8+COUNTIF(E99:AI99,"Ro2")*6/8+COUNTIF(E99:AI99,"Ro3")*5/8+COUNTIF(E99:AI99,"Ro4")*4/8+COUNTIF(E99:AI99,"Ro4.0")*4/8+COUNTIF(E99:AI99,"Ro5")*3/8+COUNTIF(E99:AI99,"Ro6")*2/8+COUNTIF(E99:AI99,"Ro6.5")*1.5/8+COUNTIF(E99:AI99,"Ro7")*1/8+COUNTIF(E99:AI99,"Ro7.3")*0.7/8+COUNTIF(E99:AI99,"Ro7.5")*0.5/8+COUNTIF(E99:AI99,"Ro7.8")*0.2/8+COUNTIF(E99:AI99,"N7")*1/8+COUNTIF(E99:AI99,"N6")*2/8+COUNTIF(E99:AI99,"N5")*3/8+COUNTIF(E99:AI99,"N4")*4/8+COUNTIF(E99:AI99,"N3")*5/8+COUNTIF(E99:AI99,"N2")*6/8+COUNTIF(E99:AI99,"N1")*7/8</f>
        <v>0</v>
      </c>
      <c r="AR99" s="327">
        <f t="shared" ref="AR99:AR112" si="90">COUNTIF(E99:AI99,"*R")</f>
        <v>0</v>
      </c>
      <c r="AS99" s="327">
        <f t="shared" ref="AS99:AS112" si="91">COUNTIF(E99:AI99,"L")*1+COUNTIF(E99:AI99,"0.5L")*0.5</f>
        <v>0</v>
      </c>
      <c r="AT99" s="327"/>
      <c r="AU99" s="327"/>
      <c r="AV99" s="327"/>
      <c r="AW99" s="327"/>
      <c r="AX99" s="327"/>
      <c r="AY99" s="327"/>
      <c r="AZ99" s="327">
        <f t="shared" ref="AZ99:AZ111" si="92">AN99+AO99+AS99+AR99</f>
        <v>13</v>
      </c>
      <c r="BA99" s="347"/>
      <c r="BB99" s="27">
        <v>8</v>
      </c>
      <c r="BC99" s="27" t="str">
        <f>VLOOKUP(B99,'[2]Bang luong_06'!$B$10:$C$333,2,0)</f>
        <v>Nguyễn Tuấn Hiệp</v>
      </c>
      <c r="BE99" s="151" t="str">
        <f>VLOOKUP($B99,'[2]Bang luong_06'!$B$10:$C$333,2,0)</f>
        <v>Nguyễn Tuấn Hiệp</v>
      </c>
      <c r="BF99" s="27" t="b">
        <f t="shared" ref="BF99:BF110" si="93">BE99=C99</f>
        <v>1</v>
      </c>
      <c r="BH99" s="349">
        <f>+VLOOKUP(B99,'[2]Thưởng Lễ 2-9'!$B$5:$G$294,6,0)</f>
        <v>0</v>
      </c>
      <c r="BI99" s="27" t="s">
        <v>705</v>
      </c>
      <c r="BK99" s="27" t="s">
        <v>705</v>
      </c>
      <c r="BN99" s="350">
        <v>2</v>
      </c>
      <c r="BGJ99" s="27" t="e">
        <v>#N/A</v>
      </c>
    </row>
    <row r="100" spans="1:66 1544:1544" s="145" customFormat="1" ht="16.5" customHeight="1" outlineLevel="1" x14ac:dyDescent="0.25">
      <c r="A100" s="88">
        <f t="shared" si="62"/>
        <v>77</v>
      </c>
      <c r="B100" s="320" t="s">
        <v>706</v>
      </c>
      <c r="C100" s="321" t="s">
        <v>707</v>
      </c>
      <c r="D100" s="334">
        <v>39387</v>
      </c>
      <c r="E100" s="323" t="s">
        <v>38</v>
      </c>
      <c r="F100" s="323" t="s">
        <v>38</v>
      </c>
      <c r="G100" s="323" t="s">
        <v>38</v>
      </c>
      <c r="H100" s="323" t="s">
        <v>38</v>
      </c>
      <c r="I100" s="323" t="s">
        <v>38</v>
      </c>
      <c r="J100" s="323" t="s">
        <v>38</v>
      </c>
      <c r="K100" s="323"/>
      <c r="L100" s="323" t="s">
        <v>38</v>
      </c>
      <c r="M100" s="323" t="s">
        <v>38</v>
      </c>
      <c r="N100" s="323" t="s">
        <v>38</v>
      </c>
      <c r="O100" s="323" t="s">
        <v>38</v>
      </c>
      <c r="P100" s="323" t="s">
        <v>38</v>
      </c>
      <c r="Q100" s="323" t="s">
        <v>38</v>
      </c>
      <c r="R100" s="323"/>
      <c r="S100" s="323" t="s">
        <v>38</v>
      </c>
      <c r="T100" s="323"/>
      <c r="U100" s="323"/>
      <c r="V100" s="323"/>
      <c r="W100" s="323"/>
      <c r="X100" s="323"/>
      <c r="Y100" s="323"/>
      <c r="Z100" s="323"/>
      <c r="AA100" s="323"/>
      <c r="AB100" s="323"/>
      <c r="AC100" s="323"/>
      <c r="AD100" s="323"/>
      <c r="AE100" s="323"/>
      <c r="AF100" s="323"/>
      <c r="AG100" s="323"/>
      <c r="AH100" s="323"/>
      <c r="AI100" s="323"/>
      <c r="AJ100" s="69">
        <f>VLOOKUP($B100,[1]NV!$B$9:$DL$219,114,0)</f>
        <v>2</v>
      </c>
      <c r="AK100" s="325">
        <f t="shared" si="83"/>
        <v>13</v>
      </c>
      <c r="AL100" s="325">
        <f t="shared" si="84"/>
        <v>0</v>
      </c>
      <c r="AM100" s="326">
        <f t="shared" si="85"/>
        <v>26</v>
      </c>
      <c r="AN100" s="327">
        <f t="shared" si="86"/>
        <v>13</v>
      </c>
      <c r="AO100" s="327">
        <f t="shared" si="87"/>
        <v>0</v>
      </c>
      <c r="AP100" s="327">
        <f t="shared" si="88"/>
        <v>0</v>
      </c>
      <c r="AQ100" s="327">
        <f t="shared" si="89"/>
        <v>0</v>
      </c>
      <c r="AR100" s="327">
        <f t="shared" si="90"/>
        <v>0</v>
      </c>
      <c r="AS100" s="327">
        <f t="shared" si="91"/>
        <v>0</v>
      </c>
      <c r="AT100" s="327"/>
      <c r="AU100" s="354"/>
      <c r="AV100" s="327"/>
      <c r="AW100" s="354"/>
      <c r="AX100" s="327"/>
      <c r="AY100" s="355"/>
      <c r="AZ100" s="327">
        <f t="shared" si="92"/>
        <v>13</v>
      </c>
      <c r="BA100" s="347"/>
      <c r="BB100" s="27">
        <v>8</v>
      </c>
      <c r="BC100" s="27" t="str">
        <f>VLOOKUP(B100,'[2]Bang luong_06'!$B$10:$C$333,2,0)</f>
        <v>Huỳnh Ngọc Đến</v>
      </c>
      <c r="BE100" s="151" t="str">
        <f>VLOOKUP($B100,'[2]Bang luong_06'!$B$10:$C$333,2,0)</f>
        <v>Huỳnh Ngọc Đến</v>
      </c>
      <c r="BF100" s="27" t="b">
        <f t="shared" si="93"/>
        <v>1</v>
      </c>
      <c r="BH100" s="349">
        <f>+VLOOKUP(B100,'[2]Thưởng Lễ 2-9'!$B$5:$G$294,6,0)</f>
        <v>0</v>
      </c>
      <c r="BI100" s="27" t="s">
        <v>707</v>
      </c>
      <c r="BK100" s="27" t="s">
        <v>707</v>
      </c>
      <c r="BN100" s="350">
        <v>6.5</v>
      </c>
      <c r="BGJ100" s="145" t="s">
        <v>707</v>
      </c>
    </row>
    <row r="101" spans="1:66 1544:1544" s="145" customFormat="1" ht="24" customHeight="1" outlineLevel="1" x14ac:dyDescent="0.25">
      <c r="A101" s="88">
        <f t="shared" si="62"/>
        <v>78</v>
      </c>
      <c r="B101" s="320" t="s">
        <v>708</v>
      </c>
      <c r="C101" s="321" t="s">
        <v>709</v>
      </c>
      <c r="D101" s="334">
        <v>39024</v>
      </c>
      <c r="E101" s="323" t="s">
        <v>38</v>
      </c>
      <c r="F101" s="323" t="s">
        <v>38</v>
      </c>
      <c r="G101" s="323" t="s">
        <v>38</v>
      </c>
      <c r="H101" s="323" t="s">
        <v>38</v>
      </c>
      <c r="I101" s="323" t="s">
        <v>38</v>
      </c>
      <c r="J101" s="323" t="s">
        <v>38</v>
      </c>
      <c r="K101" s="323"/>
      <c r="L101" s="323" t="s">
        <v>38</v>
      </c>
      <c r="M101" s="323" t="s">
        <v>38</v>
      </c>
      <c r="N101" s="323" t="s">
        <v>38</v>
      </c>
      <c r="O101" s="323" t="s">
        <v>38</v>
      </c>
      <c r="P101" s="323" t="s">
        <v>38</v>
      </c>
      <c r="Q101" s="323" t="s">
        <v>38</v>
      </c>
      <c r="R101" s="323"/>
      <c r="S101" s="323" t="s">
        <v>38</v>
      </c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323"/>
      <c r="AI101" s="323"/>
      <c r="AJ101" s="69">
        <f>VLOOKUP($B101,[1]NV!$B$9:$DL$219,114,0)</f>
        <v>4</v>
      </c>
      <c r="AK101" s="325">
        <f t="shared" si="83"/>
        <v>13</v>
      </c>
      <c r="AL101" s="325">
        <f t="shared" si="84"/>
        <v>0</v>
      </c>
      <c r="AM101" s="326">
        <f t="shared" si="85"/>
        <v>26</v>
      </c>
      <c r="AN101" s="327">
        <f t="shared" si="86"/>
        <v>13</v>
      </c>
      <c r="AO101" s="327">
        <f t="shared" si="87"/>
        <v>0</v>
      </c>
      <c r="AP101" s="327">
        <f t="shared" si="88"/>
        <v>0</v>
      </c>
      <c r="AQ101" s="327">
        <f t="shared" si="89"/>
        <v>0</v>
      </c>
      <c r="AR101" s="327">
        <f t="shared" si="90"/>
        <v>0</v>
      </c>
      <c r="AS101" s="327">
        <f t="shared" si="91"/>
        <v>0</v>
      </c>
      <c r="AT101" s="327"/>
      <c r="AU101" s="327"/>
      <c r="AV101" s="327"/>
      <c r="AW101" s="327"/>
      <c r="AX101" s="327"/>
      <c r="AY101" s="338"/>
      <c r="AZ101" s="327">
        <f t="shared" si="92"/>
        <v>13</v>
      </c>
      <c r="BA101" s="356" t="s">
        <v>685</v>
      </c>
      <c r="BB101" s="27">
        <v>8</v>
      </c>
      <c r="BC101" s="27" t="str">
        <f>VLOOKUP(B101,'[2]Bang luong_06'!$B$10:$C$333,2,0)</f>
        <v>Huỳnh Ngọc Khánh</v>
      </c>
      <c r="BE101" s="151" t="str">
        <f>VLOOKUP($B101,'[2]Bang luong_06'!$B$10:$C$333,2,0)</f>
        <v>Huỳnh Ngọc Khánh</v>
      </c>
      <c r="BF101" s="27" t="b">
        <f t="shared" si="93"/>
        <v>1</v>
      </c>
      <c r="BH101" s="349">
        <f>+VLOOKUP(B101,'[2]Thưởng Lễ 2-9'!$B$5:$G$294,6,0)</f>
        <v>0</v>
      </c>
      <c r="BI101" s="27" t="s">
        <v>709</v>
      </c>
      <c r="BK101" s="27" t="s">
        <v>709</v>
      </c>
      <c r="BN101" s="350">
        <v>0</v>
      </c>
      <c r="BGJ101" s="145" t="s">
        <v>709</v>
      </c>
    </row>
    <row r="102" spans="1:66 1544:1544" s="145" customFormat="1" ht="16.5" customHeight="1" outlineLevel="1" x14ac:dyDescent="0.25">
      <c r="A102" s="88">
        <f t="shared" si="62"/>
        <v>79</v>
      </c>
      <c r="B102" s="320" t="s">
        <v>710</v>
      </c>
      <c r="C102" s="321" t="s">
        <v>711</v>
      </c>
      <c r="D102" s="334">
        <v>40765</v>
      </c>
      <c r="E102" s="323" t="s">
        <v>38</v>
      </c>
      <c r="F102" s="323" t="s">
        <v>38</v>
      </c>
      <c r="G102" s="323" t="s">
        <v>38</v>
      </c>
      <c r="H102" s="323" t="s">
        <v>38</v>
      </c>
      <c r="I102" s="323" t="s">
        <v>38</v>
      </c>
      <c r="J102" s="323" t="s">
        <v>107</v>
      </c>
      <c r="K102" s="323"/>
      <c r="L102" s="323" t="s">
        <v>38</v>
      </c>
      <c r="M102" s="323" t="s">
        <v>38</v>
      </c>
      <c r="N102" s="323" t="s">
        <v>38</v>
      </c>
      <c r="O102" s="323" t="s">
        <v>38</v>
      </c>
      <c r="P102" s="323" t="s">
        <v>38</v>
      </c>
      <c r="Q102" s="323" t="s">
        <v>38</v>
      </c>
      <c r="R102" s="323"/>
      <c r="S102" s="323" t="s">
        <v>38</v>
      </c>
      <c r="T102" s="323"/>
      <c r="U102" s="323"/>
      <c r="V102" s="323"/>
      <c r="W102" s="323"/>
      <c r="X102" s="323"/>
      <c r="Y102" s="323"/>
      <c r="Z102" s="323"/>
      <c r="AA102" s="323"/>
      <c r="AB102" s="323"/>
      <c r="AC102" s="323"/>
      <c r="AD102" s="323"/>
      <c r="AE102" s="323"/>
      <c r="AF102" s="323"/>
      <c r="AG102" s="323"/>
      <c r="AH102" s="323"/>
      <c r="AI102" s="323"/>
      <c r="AJ102" s="69">
        <f>VLOOKUP($B102,[1]NV!$B$9:$DL$219,114,0)</f>
        <v>2</v>
      </c>
      <c r="AK102" s="325">
        <f t="shared" si="83"/>
        <v>12</v>
      </c>
      <c r="AL102" s="325">
        <f t="shared" si="84"/>
        <v>0</v>
      </c>
      <c r="AM102" s="326">
        <f t="shared" si="85"/>
        <v>26</v>
      </c>
      <c r="AN102" s="327">
        <f t="shared" si="86"/>
        <v>12</v>
      </c>
      <c r="AO102" s="327">
        <f t="shared" si="87"/>
        <v>1</v>
      </c>
      <c r="AP102" s="327">
        <f t="shared" si="88"/>
        <v>0</v>
      </c>
      <c r="AQ102" s="327">
        <f t="shared" si="89"/>
        <v>0</v>
      </c>
      <c r="AR102" s="327">
        <f t="shared" si="90"/>
        <v>0</v>
      </c>
      <c r="AS102" s="327">
        <f t="shared" si="91"/>
        <v>0</v>
      </c>
      <c r="AT102" s="327"/>
      <c r="AU102" s="327"/>
      <c r="AV102" s="327"/>
      <c r="AW102" s="327"/>
      <c r="AX102" s="327"/>
      <c r="AY102" s="338"/>
      <c r="AZ102" s="327">
        <f t="shared" si="92"/>
        <v>13</v>
      </c>
      <c r="BA102" s="347"/>
      <c r="BB102" s="27">
        <v>8</v>
      </c>
      <c r="BC102" s="27" t="str">
        <f>VLOOKUP(B102,'[2]Bang luong_06'!$B$10:$C$333,2,0)</f>
        <v>Phạm Quốc Tuấn</v>
      </c>
      <c r="BE102" s="151" t="str">
        <f>VLOOKUP($B102,'[2]Bang luong_06'!$B$10:$C$333,2,0)</f>
        <v>Phạm Quốc Tuấn</v>
      </c>
      <c r="BF102" s="27" t="b">
        <f t="shared" si="93"/>
        <v>1</v>
      </c>
      <c r="BH102" s="349">
        <f>+VLOOKUP(B102,'[2]Thưởng Lễ 2-9'!$B$5:$G$294,6,0)</f>
        <v>0</v>
      </c>
      <c r="BI102" s="27" t="s">
        <v>711</v>
      </c>
      <c r="BK102" s="27" t="s">
        <v>711</v>
      </c>
      <c r="BN102" s="350">
        <v>7.5</v>
      </c>
      <c r="BGJ102" s="145" t="s">
        <v>711</v>
      </c>
    </row>
    <row r="103" spans="1:66 1544:1544" s="145" customFormat="1" ht="16.5" customHeight="1" outlineLevel="1" x14ac:dyDescent="0.25">
      <c r="A103" s="88">
        <f t="shared" si="62"/>
        <v>80</v>
      </c>
      <c r="B103" s="320" t="s">
        <v>712</v>
      </c>
      <c r="C103" s="321" t="s">
        <v>713</v>
      </c>
      <c r="D103" s="334">
        <v>41863</v>
      </c>
      <c r="E103" s="323" t="s">
        <v>38</v>
      </c>
      <c r="F103" s="323" t="s">
        <v>38</v>
      </c>
      <c r="G103" s="323" t="s">
        <v>38</v>
      </c>
      <c r="H103" s="323" t="s">
        <v>38</v>
      </c>
      <c r="I103" s="323" t="s">
        <v>38</v>
      </c>
      <c r="J103" s="323" t="s">
        <v>38</v>
      </c>
      <c r="K103" s="323"/>
      <c r="L103" s="323" t="s">
        <v>38</v>
      </c>
      <c r="M103" s="323" t="s">
        <v>38</v>
      </c>
      <c r="N103" s="323" t="s">
        <v>38</v>
      </c>
      <c r="O103" s="323" t="s">
        <v>38</v>
      </c>
      <c r="P103" s="323" t="s">
        <v>38</v>
      </c>
      <c r="Q103" s="323" t="s">
        <v>38</v>
      </c>
      <c r="R103" s="323"/>
      <c r="S103" s="323" t="s">
        <v>107</v>
      </c>
      <c r="T103" s="323"/>
      <c r="U103" s="323"/>
      <c r="V103" s="323"/>
      <c r="W103" s="323"/>
      <c r="X103" s="323"/>
      <c r="Y103" s="323"/>
      <c r="Z103" s="323"/>
      <c r="AA103" s="323"/>
      <c r="AB103" s="323"/>
      <c r="AC103" s="323"/>
      <c r="AD103" s="323"/>
      <c r="AE103" s="323"/>
      <c r="AF103" s="323"/>
      <c r="AG103" s="323"/>
      <c r="AH103" s="323"/>
      <c r="AI103" s="323"/>
      <c r="AJ103" s="69">
        <f>VLOOKUP($B103,[1]NV!$B$9:$DL$219,114,0)</f>
        <v>3</v>
      </c>
      <c r="AK103" s="325">
        <f>COUNTIF(E103:AI103,"H4")+COUNTIF(E103:AI103,"H")+COUNTIF(E103:AI103,"Bu")+COUNTIF(E103:AI103,"N")+COUNTIF(E103:AI103,"N1")*1/8+COUNTIF(E103:AI103,"N2")*2/8+COUNTIF(E103:AI103,"N3")*3/8+COUNTIF(E103:AI103,"N4")*4/8+COUNTIF(E103:AI103,"N5")*5/8+COUNTIF(E103:AI103,"N6")*6/8+COUNTIF(E103:AI103,"N7")*7/8+COUNTIF(E103:AI103,"N8")*8/8+COUNTIF(E103:AI103,"C")+COUNTIF(E103:AI103,"C1")+COUNTIF(E103:AI103,"C2")+COUNTIF(E103:AI103,"C2.9")+COUNTIF(E103:AI103,"C3")+COUNTIF(E103:AI103,"C3.8")+COUNTIF(E103:AI103,"C4")+COUNTIF(E103:AI103,"C4.0")+COUNTIF(E103:AI103,"C4.1")+COUNTIF(E103:AI103,"C4.4")+COUNTIF(E103:AI103,"C4.6")+COUNTIF(E103:AI103,"C4.9")+COUNTIF(E103:AI103,"C5")+COUNTIF(E103:AI103,"C6")+COUNTIF(E103:AI103,"C6.5")+COUNTIF(E103:AI103,"C6.0")+COUNTIF(E103:AI103,"C7")+COUNTIF(E103:AI103,"C7.6")+COUNTIF(E103:AI103,"C7.7")+COUNTIF(E103:AI103,"N6.4")*6.4/8+COUNTIF(E103:AI103,"Ro1")*1/8+COUNTIF(E103:AI103,"Ro2")*2/8+COUNTIF(E103:AI103,"Ro3")*3/8+COUNTIF(E103:AI103,"Ro4")*4/8+COUNTIF(E103:AI103,"Ro4.0")*4/8+COUNTIF(E103:AI103,"Ro5")*5/8+COUNTIF(E103:AI103,"Ro6")*6/8+COUNTIF(E103:AI103,"Ro6.5")*6.5/8+COUNTIF(E103:AI103,"Ro7")*7/8+COUNTIF(E103:AI103,"Ro7.3")*7.3/8+COUNTIF(E103:AI103,"Ro7.5")*7.5/8+COUNTIF(E103:AI103,"Ro7.8")*7.8/8+COUNTIF(E103:AI103,"Bu1")+COUNTIF(E103:AI103,"Bu2")+COUNTIF(E103:AI103,"Bu3")+COUNTIF(E103:AI103,"Bu4")+COUNTIF(E103:AI103,"Bu5")+COUNTIF(E103:AI103,"Bu6")+COUNTIF(E103:AI103,"Bu7")+COUNTIF(E103:AI103,"P2")*4/8</f>
        <v>12</v>
      </c>
      <c r="AL103" s="325">
        <f>COUNTIF(E103:AI103,"D")+COUNTIF(E103:AI103,"D1")*1/BB103+COUNTIF(E103:AI103,"D2")*2/BB103+COUNTIF(E103:AI103,"D3")*3/BB103+COUNTIF(E103:AI103,"D4")*4/BB103+COUNTIF(E103:AI103,"D5")*5/BB103+COUNTIF(E103:AI103,"D6")*6/BB103+COUNTIF(E103:AI103,"D7")*7/BB103+COUNTIF(E103:AI103,"D8")*8/BB103</f>
        <v>0</v>
      </c>
      <c r="AM103" s="326">
        <f t="shared" si="85"/>
        <v>26</v>
      </c>
      <c r="AN103" s="327">
        <f t="shared" si="86"/>
        <v>12</v>
      </c>
      <c r="AO103" s="327">
        <f t="shared" si="87"/>
        <v>1</v>
      </c>
      <c r="AP103" s="327">
        <f t="shared" si="88"/>
        <v>0</v>
      </c>
      <c r="AQ103" s="327">
        <f t="shared" si="89"/>
        <v>0</v>
      </c>
      <c r="AR103" s="327">
        <f t="shared" si="90"/>
        <v>0</v>
      </c>
      <c r="AS103" s="327">
        <f t="shared" si="91"/>
        <v>0</v>
      </c>
      <c r="AT103" s="327"/>
      <c r="AU103" s="327"/>
      <c r="AV103" s="327"/>
      <c r="AW103" s="327"/>
      <c r="AX103" s="327"/>
      <c r="AY103" s="338"/>
      <c r="AZ103" s="327">
        <f t="shared" si="92"/>
        <v>13</v>
      </c>
      <c r="BA103" s="347"/>
      <c r="BB103" s="27">
        <v>8</v>
      </c>
      <c r="BC103" s="27" t="str">
        <f>VLOOKUP(B103,'[2]Bang luong_06'!$B$10:$C$333,2,0)</f>
        <v>Lê Hoàng Việt</v>
      </c>
      <c r="BE103" s="151" t="str">
        <f>VLOOKUP($B103,'[2]Bang luong_06'!$B$10:$C$333,2,0)</f>
        <v>Lê Hoàng Việt</v>
      </c>
      <c r="BF103" s="27" t="b">
        <f t="shared" si="93"/>
        <v>1</v>
      </c>
      <c r="BH103" s="349">
        <f>+VLOOKUP(B103,'[2]Thưởng Lễ 2-9'!$B$5:$G$294,6,0)</f>
        <v>0</v>
      </c>
      <c r="BI103" s="27" t="s">
        <v>713</v>
      </c>
      <c r="BK103" s="27" t="s">
        <v>713</v>
      </c>
      <c r="BN103" s="350">
        <v>1.5</v>
      </c>
      <c r="BGJ103" s="145" t="s">
        <v>713</v>
      </c>
    </row>
    <row r="104" spans="1:66 1544:1544" s="145" customFormat="1" ht="16.5" customHeight="1" outlineLevel="1" x14ac:dyDescent="0.25">
      <c r="A104" s="88">
        <f t="shared" si="62"/>
        <v>81</v>
      </c>
      <c r="B104" s="320" t="s">
        <v>714</v>
      </c>
      <c r="C104" s="321" t="s">
        <v>715</v>
      </c>
      <c r="D104" s="334">
        <v>43923</v>
      </c>
      <c r="E104" s="323" t="s">
        <v>38</v>
      </c>
      <c r="F104" s="323" t="s">
        <v>38</v>
      </c>
      <c r="G104" s="323" t="s">
        <v>38</v>
      </c>
      <c r="H104" s="323" t="s">
        <v>38</v>
      </c>
      <c r="I104" s="323" t="s">
        <v>38</v>
      </c>
      <c r="J104" s="323" t="s">
        <v>38</v>
      </c>
      <c r="K104" s="323"/>
      <c r="L104" s="323" t="s">
        <v>38</v>
      </c>
      <c r="M104" s="323" t="s">
        <v>38</v>
      </c>
      <c r="N104" s="323" t="s">
        <v>38</v>
      </c>
      <c r="O104" s="323" t="s">
        <v>38</v>
      </c>
      <c r="P104" s="323" t="s">
        <v>38</v>
      </c>
      <c r="Q104" s="323" t="s">
        <v>38</v>
      </c>
      <c r="R104" s="323"/>
      <c r="S104" s="323" t="s">
        <v>38</v>
      </c>
      <c r="T104" s="323" t="s">
        <v>107</v>
      </c>
      <c r="U104" s="323" t="s">
        <v>107</v>
      </c>
      <c r="V104" s="323" t="s">
        <v>107</v>
      </c>
      <c r="W104" s="323" t="s">
        <v>107</v>
      </c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323"/>
      <c r="AH104" s="323"/>
      <c r="AI104" s="323"/>
      <c r="AJ104" s="69">
        <f>VLOOKUP($B104,[1]NV!$B$9:$DL$219,114,0)</f>
        <v>5</v>
      </c>
      <c r="AK104" s="325">
        <f t="shared" si="83"/>
        <v>13</v>
      </c>
      <c r="AL104" s="325">
        <f t="shared" si="84"/>
        <v>0</v>
      </c>
      <c r="AM104" s="326">
        <f t="shared" si="85"/>
        <v>26</v>
      </c>
      <c r="AN104" s="327">
        <f t="shared" si="86"/>
        <v>13</v>
      </c>
      <c r="AO104" s="327">
        <f t="shared" si="87"/>
        <v>4</v>
      </c>
      <c r="AP104" s="327">
        <f t="shared" si="88"/>
        <v>0</v>
      </c>
      <c r="AQ104" s="327">
        <f t="shared" si="89"/>
        <v>0</v>
      </c>
      <c r="AR104" s="327">
        <f t="shared" si="90"/>
        <v>0</v>
      </c>
      <c r="AS104" s="327">
        <f t="shared" si="91"/>
        <v>0</v>
      </c>
      <c r="AT104" s="327"/>
      <c r="AU104" s="327"/>
      <c r="AV104" s="327"/>
      <c r="AW104" s="327"/>
      <c r="AX104" s="327"/>
      <c r="AY104" s="338"/>
      <c r="AZ104" s="327">
        <f t="shared" si="92"/>
        <v>17</v>
      </c>
      <c r="BA104" s="347"/>
      <c r="BB104" s="27">
        <v>8</v>
      </c>
      <c r="BC104" s="27" t="str">
        <f>VLOOKUP(B104,'[2]Bang luong_06'!$B$10:$C$333,2,0)</f>
        <v>Phùng Văn Quyền</v>
      </c>
      <c r="BE104" s="151" t="str">
        <f>VLOOKUP($B104,'[2]Bang luong_06'!$B$10:$C$333,2,0)</f>
        <v>Phùng Văn Quyền</v>
      </c>
      <c r="BF104" s="27" t="b">
        <f t="shared" si="93"/>
        <v>1</v>
      </c>
      <c r="BH104" s="349">
        <f>+VLOOKUP(B104,'[2]Thưởng Lễ 2-9'!$B$5:$G$294,6,0)</f>
        <v>0</v>
      </c>
      <c r="BI104" s="27" t="s">
        <v>715</v>
      </c>
      <c r="BK104" s="27" t="s">
        <v>715</v>
      </c>
      <c r="BN104" s="350">
        <v>4.5</v>
      </c>
      <c r="BGJ104" s="145" t="e">
        <v>#N/A</v>
      </c>
    </row>
    <row r="105" spans="1:66 1544:1544" s="145" customFormat="1" ht="16.5" customHeight="1" outlineLevel="1" x14ac:dyDescent="0.25">
      <c r="A105" s="88">
        <f t="shared" si="62"/>
        <v>82</v>
      </c>
      <c r="B105" s="320" t="s">
        <v>716</v>
      </c>
      <c r="C105" s="321" t="s">
        <v>717</v>
      </c>
      <c r="D105" s="334">
        <v>43969</v>
      </c>
      <c r="E105" s="323" t="s">
        <v>38</v>
      </c>
      <c r="F105" s="323" t="s">
        <v>38</v>
      </c>
      <c r="G105" s="323" t="s">
        <v>38</v>
      </c>
      <c r="H105" s="323" t="s">
        <v>38</v>
      </c>
      <c r="I105" s="323" t="s">
        <v>38</v>
      </c>
      <c r="J105" s="323" t="s">
        <v>516</v>
      </c>
      <c r="K105" s="323"/>
      <c r="L105" s="323" t="s">
        <v>38</v>
      </c>
      <c r="M105" s="323" t="s">
        <v>38</v>
      </c>
      <c r="N105" s="323" t="s">
        <v>38</v>
      </c>
      <c r="O105" s="323" t="s">
        <v>38</v>
      </c>
      <c r="P105" s="323" t="s">
        <v>38</v>
      </c>
      <c r="Q105" s="323" t="s">
        <v>38</v>
      </c>
      <c r="R105" s="323"/>
      <c r="S105" s="323" t="s">
        <v>38</v>
      </c>
      <c r="T105" s="323"/>
      <c r="U105" s="323"/>
      <c r="V105" s="323"/>
      <c r="W105" s="323"/>
      <c r="X105" s="323"/>
      <c r="Y105" s="323"/>
      <c r="Z105" s="323"/>
      <c r="AA105" s="323"/>
      <c r="AB105" s="323"/>
      <c r="AC105" s="323"/>
      <c r="AD105" s="323"/>
      <c r="AE105" s="323"/>
      <c r="AF105" s="323"/>
      <c r="AG105" s="323"/>
      <c r="AH105" s="323"/>
      <c r="AI105" s="323"/>
      <c r="AJ105" s="69">
        <f>VLOOKUP($B105,[1]NV!$B$9:$DL$219,114,0)</f>
        <v>2</v>
      </c>
      <c r="AK105" s="325">
        <f t="shared" si="83"/>
        <v>12.5</v>
      </c>
      <c r="AL105" s="325">
        <f t="shared" si="84"/>
        <v>0</v>
      </c>
      <c r="AM105" s="326">
        <f t="shared" si="85"/>
        <v>26</v>
      </c>
      <c r="AN105" s="327">
        <f t="shared" si="86"/>
        <v>12.5</v>
      </c>
      <c r="AO105" s="327">
        <f t="shared" si="87"/>
        <v>0.5</v>
      </c>
      <c r="AP105" s="327">
        <f t="shared" si="88"/>
        <v>0</v>
      </c>
      <c r="AQ105" s="327">
        <f t="shared" si="89"/>
        <v>0</v>
      </c>
      <c r="AR105" s="327">
        <f t="shared" si="90"/>
        <v>0</v>
      </c>
      <c r="AS105" s="327">
        <f t="shared" si="91"/>
        <v>0</v>
      </c>
      <c r="AT105" s="327"/>
      <c r="AU105" s="327"/>
      <c r="AV105" s="327"/>
      <c r="AW105" s="327"/>
      <c r="AX105" s="327"/>
      <c r="AY105" s="338"/>
      <c r="AZ105" s="327">
        <f t="shared" si="92"/>
        <v>13</v>
      </c>
      <c r="BA105" s="347"/>
      <c r="BB105" s="27">
        <v>8</v>
      </c>
      <c r="BC105" s="27" t="str">
        <f>VLOOKUP(B105,'[2]Bang luong_06'!$B$10:$C$333,2,0)</f>
        <v>Hoàng Phi Hải</v>
      </c>
      <c r="BE105" s="151" t="str">
        <f>VLOOKUP($B105,'[2]Bang luong_06'!$B$10:$C$333,2,0)</f>
        <v>Hoàng Phi Hải</v>
      </c>
      <c r="BF105" s="27" t="b">
        <f t="shared" si="93"/>
        <v>1</v>
      </c>
      <c r="BH105" s="349">
        <f>+VLOOKUP(B105,'[2]Thưởng Lễ 2-9'!$B$5:$G$294,6,0)</f>
        <v>0</v>
      </c>
      <c r="BI105" s="27" t="s">
        <v>718</v>
      </c>
      <c r="BK105" s="27" t="s">
        <v>717</v>
      </c>
      <c r="BN105" s="350">
        <v>3</v>
      </c>
    </row>
    <row r="106" spans="1:66 1544:1544" s="145" customFormat="1" ht="16.5" customHeight="1" outlineLevel="1" x14ac:dyDescent="0.25">
      <c r="A106" s="88">
        <f t="shared" si="62"/>
        <v>83</v>
      </c>
      <c r="B106" s="320" t="s">
        <v>719</v>
      </c>
      <c r="C106" s="321" t="s">
        <v>720</v>
      </c>
      <c r="D106" s="334">
        <v>44053</v>
      </c>
      <c r="E106" s="323" t="s">
        <v>38</v>
      </c>
      <c r="F106" s="323" t="s">
        <v>38</v>
      </c>
      <c r="G106" s="323" t="s">
        <v>38</v>
      </c>
      <c r="H106" s="323" t="s">
        <v>38</v>
      </c>
      <c r="I106" s="323" t="s">
        <v>38</v>
      </c>
      <c r="J106" s="323" t="s">
        <v>38</v>
      </c>
      <c r="K106" s="323"/>
      <c r="L106" s="323" t="s">
        <v>38</v>
      </c>
      <c r="M106" s="323" t="s">
        <v>38</v>
      </c>
      <c r="N106" s="323" t="s">
        <v>38</v>
      </c>
      <c r="O106" s="323" t="s">
        <v>38</v>
      </c>
      <c r="P106" s="323" t="s">
        <v>516</v>
      </c>
      <c r="Q106" s="323" t="s">
        <v>107</v>
      </c>
      <c r="R106" s="323"/>
      <c r="S106" s="323" t="s">
        <v>38</v>
      </c>
      <c r="T106" s="323"/>
      <c r="U106" s="323"/>
      <c r="V106" s="323"/>
      <c r="W106" s="323"/>
      <c r="X106" s="323"/>
      <c r="Y106" s="323"/>
      <c r="Z106" s="323"/>
      <c r="AA106" s="323"/>
      <c r="AB106" s="323"/>
      <c r="AC106" s="323"/>
      <c r="AD106" s="323"/>
      <c r="AE106" s="323"/>
      <c r="AF106" s="323"/>
      <c r="AG106" s="323"/>
      <c r="AH106" s="323"/>
      <c r="AI106" s="323"/>
      <c r="AJ106" s="69">
        <f>VLOOKUP($B106,[1]NV!$B$9:$DL$219,114,0)</f>
        <v>1</v>
      </c>
      <c r="AK106" s="325">
        <f t="shared" si="83"/>
        <v>11.5</v>
      </c>
      <c r="AL106" s="325">
        <f t="shared" si="84"/>
        <v>0</v>
      </c>
      <c r="AM106" s="326">
        <f t="shared" si="85"/>
        <v>26</v>
      </c>
      <c r="AN106" s="327">
        <f t="shared" si="86"/>
        <v>11.5</v>
      </c>
      <c r="AO106" s="327">
        <f t="shared" si="87"/>
        <v>1.5</v>
      </c>
      <c r="AP106" s="327">
        <f t="shared" si="88"/>
        <v>0</v>
      </c>
      <c r="AQ106" s="327">
        <f t="shared" si="89"/>
        <v>0</v>
      </c>
      <c r="AR106" s="327">
        <f t="shared" si="90"/>
        <v>0</v>
      </c>
      <c r="AS106" s="327">
        <f t="shared" si="91"/>
        <v>0</v>
      </c>
      <c r="AT106" s="327"/>
      <c r="AU106" s="327"/>
      <c r="AV106" s="327"/>
      <c r="AW106" s="327"/>
      <c r="AX106" s="327"/>
      <c r="AY106" s="338"/>
      <c r="AZ106" s="327">
        <f t="shared" si="92"/>
        <v>13</v>
      </c>
      <c r="BA106" s="347"/>
      <c r="BB106" s="27">
        <v>8</v>
      </c>
      <c r="BC106" s="27" t="str">
        <f>VLOOKUP(B106,'[2]Bang luong_06'!$B$10:$C$333,2,0)</f>
        <v>Nguyễn Văn Trắng</v>
      </c>
      <c r="BE106" s="151" t="str">
        <f>VLOOKUP($B106,'[2]Bang luong_06'!$B$10:$C$333,2,0)</f>
        <v>Nguyễn Văn Trắng</v>
      </c>
      <c r="BF106" s="27" t="b">
        <f t="shared" si="93"/>
        <v>1</v>
      </c>
      <c r="BH106" s="349">
        <f>+VLOOKUP(B106,'[2]Thưởng Lễ 2-9'!$B$5:$G$294,6,0)</f>
        <v>0</v>
      </c>
      <c r="BI106" s="27" t="s">
        <v>721</v>
      </c>
      <c r="BK106" s="27" t="s">
        <v>720</v>
      </c>
      <c r="BN106" s="350">
        <v>2</v>
      </c>
    </row>
    <row r="107" spans="1:66 1544:1544" s="145" customFormat="1" ht="16.5" customHeight="1" outlineLevel="1" x14ac:dyDescent="0.25">
      <c r="A107" s="88">
        <f t="shared" si="62"/>
        <v>84</v>
      </c>
      <c r="B107" s="320" t="s">
        <v>722</v>
      </c>
      <c r="C107" s="321" t="s">
        <v>723</v>
      </c>
      <c r="D107" s="334">
        <v>44984</v>
      </c>
      <c r="E107" s="323" t="s">
        <v>38</v>
      </c>
      <c r="F107" s="323" t="s">
        <v>38</v>
      </c>
      <c r="G107" s="323" t="s">
        <v>38</v>
      </c>
      <c r="H107" s="323" t="s">
        <v>38</v>
      </c>
      <c r="I107" s="323" t="s">
        <v>38</v>
      </c>
      <c r="J107" s="323" t="s">
        <v>38</v>
      </c>
      <c r="K107" s="323"/>
      <c r="L107" s="323" t="s">
        <v>38</v>
      </c>
      <c r="M107" s="323" t="s">
        <v>38</v>
      </c>
      <c r="N107" s="323" t="s">
        <v>38</v>
      </c>
      <c r="O107" s="323" t="s">
        <v>38</v>
      </c>
      <c r="P107" s="323" t="s">
        <v>38</v>
      </c>
      <c r="Q107" s="323" t="s">
        <v>38</v>
      </c>
      <c r="R107" s="323"/>
      <c r="S107" s="323" t="s">
        <v>38</v>
      </c>
      <c r="T107" s="323"/>
      <c r="U107" s="323"/>
      <c r="V107" s="323"/>
      <c r="W107" s="323"/>
      <c r="X107" s="323"/>
      <c r="Y107" s="323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69">
        <f>VLOOKUP($B107,[1]NV!$B$9:$DL$219,114,0)</f>
        <v>3</v>
      </c>
      <c r="AK107" s="325">
        <f t="shared" si="83"/>
        <v>13</v>
      </c>
      <c r="AL107" s="325">
        <f t="shared" si="84"/>
        <v>0</v>
      </c>
      <c r="AM107" s="326">
        <f t="shared" si="85"/>
        <v>26</v>
      </c>
      <c r="AN107" s="327">
        <f t="shared" si="86"/>
        <v>13</v>
      </c>
      <c r="AO107" s="327">
        <f t="shared" si="87"/>
        <v>0</v>
      </c>
      <c r="AP107" s="327">
        <f t="shared" si="88"/>
        <v>0</v>
      </c>
      <c r="AQ107" s="327">
        <f t="shared" si="89"/>
        <v>0</v>
      </c>
      <c r="AR107" s="327">
        <f t="shared" si="90"/>
        <v>0</v>
      </c>
      <c r="AS107" s="327">
        <f t="shared" si="91"/>
        <v>0</v>
      </c>
      <c r="AT107" s="327"/>
      <c r="AU107" s="327"/>
      <c r="AV107" s="327"/>
      <c r="AW107" s="327"/>
      <c r="AX107" s="327"/>
      <c r="AY107" s="338"/>
      <c r="AZ107" s="327">
        <f t="shared" si="92"/>
        <v>13</v>
      </c>
      <c r="BA107" s="347"/>
      <c r="BB107" s="27">
        <v>8</v>
      </c>
      <c r="BC107" s="27" t="str">
        <f>VLOOKUP(B107,'[2]Bang luong_06'!$B$10:$C$333,2,0)</f>
        <v>Hà Công Hậu</v>
      </c>
      <c r="BE107" s="151" t="str">
        <f>VLOOKUP($B107,'[2]Bang luong_06'!$B$10:$C$333,2,0)</f>
        <v>Hà Công Hậu</v>
      </c>
      <c r="BF107" s="27" t="b">
        <f t="shared" si="93"/>
        <v>1</v>
      </c>
      <c r="BH107" s="349">
        <f>+VLOOKUP(B107,'[2]Thưởng Lễ 2-9'!$B$5:$G$294,6,0)</f>
        <v>0</v>
      </c>
      <c r="BI107" s="27" t="s">
        <v>723</v>
      </c>
      <c r="BK107" s="27" t="s">
        <v>723</v>
      </c>
      <c r="BN107" s="350">
        <v>1</v>
      </c>
    </row>
    <row r="108" spans="1:66 1544:1544" s="145" customFormat="1" ht="18.75" customHeight="1" outlineLevel="1" x14ac:dyDescent="0.25">
      <c r="A108" s="88">
        <f t="shared" si="62"/>
        <v>85</v>
      </c>
      <c r="B108" s="357" t="s">
        <v>724</v>
      </c>
      <c r="C108" s="358" t="s">
        <v>725</v>
      </c>
      <c r="D108" s="334">
        <v>45139</v>
      </c>
      <c r="E108" s="323" t="s">
        <v>38</v>
      </c>
      <c r="F108" s="323" t="s">
        <v>38</v>
      </c>
      <c r="G108" s="323" t="s">
        <v>38</v>
      </c>
      <c r="H108" s="323" t="s">
        <v>38</v>
      </c>
      <c r="I108" s="323" t="s">
        <v>38</v>
      </c>
      <c r="J108" s="323" t="s">
        <v>38</v>
      </c>
      <c r="K108" s="323"/>
      <c r="L108" s="323" t="s">
        <v>38</v>
      </c>
      <c r="M108" s="323" t="s">
        <v>38</v>
      </c>
      <c r="N108" s="323" t="s">
        <v>38</v>
      </c>
      <c r="O108" s="323" t="s">
        <v>38</v>
      </c>
      <c r="P108" s="323" t="s">
        <v>38</v>
      </c>
      <c r="Q108" s="323" t="s">
        <v>38</v>
      </c>
      <c r="R108" s="323"/>
      <c r="S108" s="323" t="s">
        <v>38</v>
      </c>
      <c r="T108" s="323"/>
      <c r="U108" s="323"/>
      <c r="V108" s="323"/>
      <c r="W108" s="323"/>
      <c r="X108" s="323"/>
      <c r="Y108" s="323"/>
      <c r="Z108" s="323"/>
      <c r="AA108" s="323"/>
      <c r="AB108" s="323"/>
      <c r="AC108" s="323"/>
      <c r="AD108" s="323"/>
      <c r="AE108" s="323"/>
      <c r="AF108" s="323"/>
      <c r="AG108" s="323"/>
      <c r="AH108" s="323"/>
      <c r="AI108" s="323"/>
      <c r="AJ108" s="69">
        <f>VLOOKUP($B108,[1]NV!$B$9:$DL$219,114,0)</f>
        <v>0</v>
      </c>
      <c r="AK108" s="325">
        <f>COUNTIF(E108:AI108,"H4")+COUNTIF(E108:AI108,"H")+COUNTIF(E108:AI108,"Bu")+COUNTIF(E108:AI108,"N")+COUNTIF(E108:AI108,"N1")*1/8+COUNTIF(E108:AI108,"N2")*2/8+COUNTIF(E108:AI108,"N3")*3/8+COUNTIF(E108:AI108,"N4")*4/8+COUNTIF(E108:AI108,"N5")*5/8+COUNTIF(E108:AI108,"N6")*6/8+COUNTIF(E108:AI108,"N7")*7/8+COUNTIF(E108:AI108,"N8")*8/8+COUNTIF(E108:AI108,"C")+COUNTIF(E108:AI108,"C1")+COUNTIF(E108:AI108,"C2")+COUNTIF(E108:AI108,"C2.9")+COUNTIF(E108:AI108,"C3")+COUNTIF(E108:AI108,"C3.8")+COUNTIF(E108:AI108,"C4")+COUNTIF(E108:AI108,"C4.0")+COUNTIF(E108:AI108,"C4.1")+COUNTIF(E108:AI108,"C4.4")+COUNTIF(E108:AI108,"C4.6")+COUNTIF(E108:AI108,"C4.9")+COUNTIF(E108:AI108,"C5")+COUNTIF(E108:AI108,"C6")+COUNTIF(E108:AI108,"C6.5")+COUNTIF(E108:AI108,"C6.0")+COUNTIF(E108:AI108,"C7")+COUNTIF(E108:AI108,"C7.6")+COUNTIF(E108:AI108,"C7.7")+COUNTIF(E108:AI108,"N6.4")*6.4/8+COUNTIF(E108:AI108,"Ro1")*1/8+COUNTIF(E108:AI108,"Ro2")*2/8+COUNTIF(E108:AI108,"Ro3")*3/8+COUNTIF(E108:AI108,"Ro4")*4/8+COUNTIF(E108:AI108,"Ro4.0")*4/8+COUNTIF(E108:AI108,"Ro5")*5/8+COUNTIF(E108:AI108,"Ro6")*6/8+COUNTIF(E108:AI108,"Ro6.5")*6.5/8+COUNTIF(E108:AI108,"Ro7")*7/8+COUNTIF(E108:AI108,"Ro7.3")*7.3/8+COUNTIF(E108:AI108,"Ro7.5")*7.5/8+COUNTIF(E108:AI108,"Ro7.8")*7.8/8+COUNTIF(E108:AI108,"Bu1")+COUNTIF(E108:AI108,"Bu2")+COUNTIF(E108:AI108,"Bu3")+COUNTIF(E108:AI108,"Bu4")+COUNTIF(E108:AI108,"Bu5")+COUNTIF(E108:AI108,"Bu6")+COUNTIF(E108:AI108,"Bu7")+COUNTIF(E108:AI108,"P2")*4/8</f>
        <v>13</v>
      </c>
      <c r="AL108" s="325">
        <f>COUNTIF(E108:AI108,"D")+COUNTIF(E108:AI108,"D1")*1/BB108+COUNTIF(E108:AI108,"D2")*2/BB108+COUNTIF(E108:AI108,"D3")*3/BB108+COUNTIF(E108:AI108,"D4")*4/BB108+COUNTIF(E108:AI108,"D5")*5/BB108+COUNTIF(E108:AI108,"D6")*6/BB108+COUNTIF(E108:AI108,"D7")*7/BB108+COUNTIF(E108:AI108,"D8")*8/BB108</f>
        <v>0</v>
      </c>
      <c r="AM108" s="326">
        <f t="shared" si="85"/>
        <v>26</v>
      </c>
      <c r="AN108" s="327">
        <f t="shared" si="86"/>
        <v>13</v>
      </c>
      <c r="AO108" s="327">
        <f t="shared" si="87"/>
        <v>0</v>
      </c>
      <c r="AP108" s="327">
        <f t="shared" si="88"/>
        <v>0</v>
      </c>
      <c r="AQ108" s="327">
        <f t="shared" si="89"/>
        <v>0</v>
      </c>
      <c r="AR108" s="327">
        <f t="shared" si="90"/>
        <v>0</v>
      </c>
      <c r="AS108" s="327">
        <f t="shared" si="91"/>
        <v>0</v>
      </c>
      <c r="AT108" s="327"/>
      <c r="AU108" s="327"/>
      <c r="AV108" s="327"/>
      <c r="AW108" s="327"/>
      <c r="AX108" s="327"/>
      <c r="AY108" s="338"/>
      <c r="AZ108" s="327">
        <f t="shared" si="92"/>
        <v>13</v>
      </c>
      <c r="BA108" s="347"/>
      <c r="BB108" s="27">
        <v>8</v>
      </c>
      <c r="BC108" s="27" t="str">
        <f>VLOOKUP(B108,'[2]Bang luong_06'!$B$10:$C$333,2,0)</f>
        <v>Nguyễn Văn Doãn</v>
      </c>
      <c r="BE108" s="151" t="str">
        <f>VLOOKUP($B108,'[2]Bang luong_06'!$B$10:$C$333,2,0)</f>
        <v>Nguyễn Văn Doãn</v>
      </c>
      <c r="BF108" s="27" t="b">
        <f>BE108=C108</f>
        <v>1</v>
      </c>
      <c r="BH108" s="349">
        <f>+VLOOKUP(B108,'[2]Thưởng Lễ 2-9'!$B$5:$G$294,6,0)</f>
        <v>0</v>
      </c>
      <c r="BI108" s="27" t="s">
        <v>725</v>
      </c>
      <c r="BK108" s="27" t="s">
        <v>725</v>
      </c>
      <c r="BN108" s="350">
        <v>2</v>
      </c>
    </row>
    <row r="109" spans="1:66 1544:1544" s="145" customFormat="1" ht="16.5" customHeight="1" outlineLevel="1" x14ac:dyDescent="0.25">
      <c r="A109" s="88">
        <f t="shared" si="62"/>
        <v>86</v>
      </c>
      <c r="B109" s="357" t="s">
        <v>726</v>
      </c>
      <c r="C109" s="358" t="s">
        <v>727</v>
      </c>
      <c r="D109" s="334">
        <v>45369</v>
      </c>
      <c r="E109" s="323" t="s">
        <v>38</v>
      </c>
      <c r="F109" s="323" t="s">
        <v>38</v>
      </c>
      <c r="G109" s="323" t="s">
        <v>38</v>
      </c>
      <c r="H109" s="323" t="s">
        <v>38</v>
      </c>
      <c r="I109" s="323" t="s">
        <v>38</v>
      </c>
      <c r="J109" s="323" t="s">
        <v>38</v>
      </c>
      <c r="K109" s="323"/>
      <c r="L109" s="323" t="s">
        <v>38</v>
      </c>
      <c r="M109" s="323" t="s">
        <v>38</v>
      </c>
      <c r="N109" s="323" t="s">
        <v>38</v>
      </c>
      <c r="O109" s="323" t="s">
        <v>38</v>
      </c>
      <c r="P109" s="323" t="s">
        <v>38</v>
      </c>
      <c r="Q109" s="323" t="s">
        <v>38</v>
      </c>
      <c r="R109" s="323"/>
      <c r="S109" s="323" t="s">
        <v>38</v>
      </c>
      <c r="T109" s="323"/>
      <c r="U109" s="323"/>
      <c r="V109" s="323"/>
      <c r="W109" s="323"/>
      <c r="X109" s="323"/>
      <c r="Y109" s="323"/>
      <c r="Z109" s="323"/>
      <c r="AA109" s="323"/>
      <c r="AB109" s="323"/>
      <c r="AC109" s="323"/>
      <c r="AD109" s="323"/>
      <c r="AE109" s="323"/>
      <c r="AF109" s="323"/>
      <c r="AG109" s="323"/>
      <c r="AH109" s="323"/>
      <c r="AI109" s="323"/>
      <c r="AJ109" s="69">
        <f>VLOOKUP($B109,[1]NV!$B$9:$DL$219,114,0)</f>
        <v>4</v>
      </c>
      <c r="AK109" s="325">
        <f t="shared" si="83"/>
        <v>13</v>
      </c>
      <c r="AL109" s="325">
        <f t="shared" si="84"/>
        <v>0</v>
      </c>
      <c r="AM109" s="326">
        <f t="shared" si="85"/>
        <v>26</v>
      </c>
      <c r="AN109" s="327">
        <f t="shared" si="86"/>
        <v>13</v>
      </c>
      <c r="AO109" s="327">
        <f t="shared" si="87"/>
        <v>0</v>
      </c>
      <c r="AP109" s="327">
        <f t="shared" si="88"/>
        <v>0</v>
      </c>
      <c r="AQ109" s="327">
        <f t="shared" si="89"/>
        <v>0</v>
      </c>
      <c r="AR109" s="327">
        <f t="shared" si="90"/>
        <v>0</v>
      </c>
      <c r="AS109" s="327">
        <f t="shared" si="91"/>
        <v>0</v>
      </c>
      <c r="AT109" s="327"/>
      <c r="AU109" s="327"/>
      <c r="AV109" s="327"/>
      <c r="AW109" s="327"/>
      <c r="AX109" s="327"/>
      <c r="AY109" s="338"/>
      <c r="AZ109" s="327">
        <f t="shared" si="92"/>
        <v>13</v>
      </c>
      <c r="BA109" s="347"/>
      <c r="BB109" s="27">
        <v>8</v>
      </c>
      <c r="BC109" s="27" t="str">
        <f>VLOOKUP(B109,'[2]Bang luong_06'!$B$10:$C$333,2,0)</f>
        <v>Trương Quang Phơn</v>
      </c>
      <c r="BE109" s="151" t="str">
        <f>VLOOKUP($B109,'[2]Bang luong_06'!$B$10:$C$333,2,0)</f>
        <v>Trương Quang Phơn</v>
      </c>
      <c r="BF109" s="27" t="b">
        <f t="shared" si="93"/>
        <v>1</v>
      </c>
      <c r="BH109" s="359">
        <v>0</v>
      </c>
      <c r="BI109" s="27" t="s">
        <v>727</v>
      </c>
      <c r="BK109" s="27" t="s">
        <v>727</v>
      </c>
      <c r="BN109" s="350">
        <v>2</v>
      </c>
    </row>
    <row r="110" spans="1:66 1544:1544" s="145" customFormat="1" ht="16.5" customHeight="1" outlineLevel="1" x14ac:dyDescent="0.25">
      <c r="A110" s="88">
        <f t="shared" si="62"/>
        <v>87</v>
      </c>
      <c r="B110" s="357" t="s">
        <v>728</v>
      </c>
      <c r="C110" s="358" t="s">
        <v>729</v>
      </c>
      <c r="D110" s="334">
        <v>45552</v>
      </c>
      <c r="E110" s="323" t="s">
        <v>38</v>
      </c>
      <c r="F110" s="323" t="s">
        <v>38</v>
      </c>
      <c r="G110" s="323" t="s">
        <v>38</v>
      </c>
      <c r="H110" s="323" t="s">
        <v>38</v>
      </c>
      <c r="I110" s="323" t="s">
        <v>38</v>
      </c>
      <c r="J110" s="323" t="s">
        <v>38</v>
      </c>
      <c r="K110" s="323"/>
      <c r="L110" s="323" t="s">
        <v>38</v>
      </c>
      <c r="M110" s="323" t="s">
        <v>38</v>
      </c>
      <c r="N110" s="323" t="s">
        <v>38</v>
      </c>
      <c r="O110" s="323" t="s">
        <v>38</v>
      </c>
      <c r="P110" s="323" t="s">
        <v>38</v>
      </c>
      <c r="Q110" s="323" t="s">
        <v>38</v>
      </c>
      <c r="R110" s="323"/>
      <c r="S110" s="323" t="s">
        <v>38</v>
      </c>
      <c r="T110" s="323"/>
      <c r="U110" s="323"/>
      <c r="V110" s="323"/>
      <c r="W110" s="323"/>
      <c r="X110" s="323"/>
      <c r="Y110" s="323"/>
      <c r="Z110" s="323"/>
      <c r="AA110" s="323"/>
      <c r="AB110" s="323"/>
      <c r="AC110" s="323"/>
      <c r="AD110" s="323"/>
      <c r="AE110" s="323"/>
      <c r="AF110" s="323"/>
      <c r="AG110" s="323"/>
      <c r="AH110" s="323"/>
      <c r="AI110" s="323"/>
      <c r="AJ110" s="69">
        <f>VLOOKUP($B110,[1]NV!$B$9:$DL$219,114,0)</f>
        <v>3</v>
      </c>
      <c r="AK110" s="325">
        <f t="shared" si="83"/>
        <v>13</v>
      </c>
      <c r="AL110" s="325">
        <f t="shared" si="84"/>
        <v>0</v>
      </c>
      <c r="AM110" s="326">
        <f t="shared" si="85"/>
        <v>26</v>
      </c>
      <c r="AN110" s="327">
        <f t="shared" si="86"/>
        <v>13</v>
      </c>
      <c r="AO110" s="327">
        <f t="shared" si="87"/>
        <v>0</v>
      </c>
      <c r="AP110" s="327">
        <f t="shared" si="88"/>
        <v>0</v>
      </c>
      <c r="AQ110" s="327">
        <f t="shared" si="89"/>
        <v>0</v>
      </c>
      <c r="AR110" s="327">
        <f t="shared" si="90"/>
        <v>0</v>
      </c>
      <c r="AS110" s="327">
        <f t="shared" si="91"/>
        <v>0</v>
      </c>
      <c r="AT110" s="327"/>
      <c r="AU110" s="327"/>
      <c r="AV110" s="327"/>
      <c r="AW110" s="327"/>
      <c r="AX110" s="327"/>
      <c r="AY110" s="338"/>
      <c r="AZ110" s="327">
        <f t="shared" si="92"/>
        <v>13</v>
      </c>
      <c r="BA110" s="360">
        <f t="shared" ref="BA110:BA112" si="94">COUNTIF(E110:AI110,"D")+COUNTIF(E110:AI110,"D1")*1/12+COUNTIF(E110:AI110,"D2")*2/12+COUNTIF(E110:AI110,"D3")*3/12+COUNTIF(E110:AI110,"D4")*4/12+COUNTIF(E110:AI110,"D5")*5/12+COUNTIF(E110:AI110,"D6")*6/12+COUNTIF(E110:AI110,"D7")*7/12+COUNTIF(E110:AI110,"D8")*8/12+COUNTIF(E110:AI110,"D9")*9/12+COUNTIF(E110:AI110,"D9")*10/12+COUNTIF(E110:AI110,"D11")*11/12</f>
        <v>0</v>
      </c>
      <c r="BB110" s="27">
        <v>8</v>
      </c>
      <c r="BC110" s="27" t="str">
        <f>VLOOKUP(B110,'[2]Bang luong_06'!$B$10:$C$333,2,0)</f>
        <v>Bùi Minh Toàn</v>
      </c>
      <c r="BE110" s="151" t="str">
        <f>VLOOKUP($B110,'[2]Bang luong_06'!$B$10:$C$333,2,0)</f>
        <v>Bùi Minh Toàn</v>
      </c>
      <c r="BF110" s="27" t="b">
        <f t="shared" si="93"/>
        <v>1</v>
      </c>
      <c r="BH110" s="329">
        <v>0</v>
      </c>
      <c r="BI110" s="27" t="s">
        <v>729</v>
      </c>
      <c r="BK110" s="27" t="e">
        <v>#N/A</v>
      </c>
      <c r="BN110" s="330">
        <v>0.5</v>
      </c>
    </row>
    <row r="111" spans="1:66 1544:1544" s="145" customFormat="1" ht="16.5" customHeight="1" outlineLevel="1" x14ac:dyDescent="0.25">
      <c r="A111" s="88">
        <f t="shared" si="62"/>
        <v>88</v>
      </c>
      <c r="B111" s="357" t="s">
        <v>730</v>
      </c>
      <c r="C111" s="358" t="s">
        <v>731</v>
      </c>
      <c r="D111" s="334">
        <v>45594</v>
      </c>
      <c r="E111" s="323" t="s">
        <v>38</v>
      </c>
      <c r="F111" s="323" t="s">
        <v>38</v>
      </c>
      <c r="G111" s="323" t="s">
        <v>38</v>
      </c>
      <c r="H111" s="323" t="s">
        <v>38</v>
      </c>
      <c r="I111" s="323" t="s">
        <v>38</v>
      </c>
      <c r="J111" s="323" t="s">
        <v>38</v>
      </c>
      <c r="K111" s="323"/>
      <c r="L111" s="323" t="s">
        <v>38</v>
      </c>
      <c r="M111" s="323" t="s">
        <v>38</v>
      </c>
      <c r="N111" s="323" t="s">
        <v>38</v>
      </c>
      <c r="O111" s="323" t="s">
        <v>38</v>
      </c>
      <c r="P111" s="323" t="s">
        <v>38</v>
      </c>
      <c r="Q111" s="323" t="s">
        <v>38</v>
      </c>
      <c r="R111" s="323"/>
      <c r="S111" s="323" t="s">
        <v>38</v>
      </c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69">
        <f>VLOOKUP($B111,[1]NV!$B$9:$DL$219,114,0)</f>
        <v>2.5</v>
      </c>
      <c r="AK111" s="325">
        <f>COUNTIF(E111:AI111,"H4")+COUNTIF(E111:AI111,"H")+COUNTIF(E111:AI111,"Bu")+COUNTIF(E111:AI111,"N")+COUNTIF(E111:AI111,"N1")*1/8+COUNTIF(E111:AI111,"N2")*2/8+COUNTIF(E111:AI111,"N3")*3/8+COUNTIF(E111:AI111,"N4")*4/8+COUNTIF(E111:AI111,"N5")*5/8+COUNTIF(E111:AI111,"N6")*6/8+COUNTIF(E111:AI111,"N7")*7/8+COUNTIF(E111:AI111,"N8")*8/8+COUNTIF(E111:AI111,"C")+COUNTIF(E111:AI111,"C1")+COUNTIF(E111:AI111,"C2")+COUNTIF(E111:AI111,"C2.9")+COUNTIF(E111:AI111,"C3")+COUNTIF(E111:AI111,"C3.8")+COUNTIF(E111:AI111,"C4")+COUNTIF(E111:AI111,"C4.0")+COUNTIF(E111:AI111,"C4.1")+COUNTIF(E111:AI111,"C4.4")+COUNTIF(E111:AI111,"C4.6")+COUNTIF(E111:AI111,"C4.9")+COUNTIF(E111:AI111,"C5")+COUNTIF(E111:AI111,"C6")+COUNTIF(E111:AI111,"C6.5")+COUNTIF(E111:AI111,"C6.0")+COUNTIF(E111:AI111,"C7")+COUNTIF(E111:AI111,"C7.6")+COUNTIF(E111:AI111,"C7.7")+COUNTIF(E111:AI111,"N6.4")*6.4/8+COUNTIF(E111:AI111,"Ro1")*1/8+COUNTIF(E111:AI111,"Ro2")*2/8+COUNTIF(E111:AI111,"Ro3")*3/8+COUNTIF(E111:AI111,"Ro4")*4/8+COUNTIF(E111:AI111,"Ro4.0")*4/8+COUNTIF(E111:AI111,"Ro5")*5/8+COUNTIF(E111:AI111,"Ro6")*6/8+COUNTIF(E111:AI111,"Ro6.5")*6.5/8+COUNTIF(E111:AI111,"Ro7")*7/8+COUNTIF(E111:AI111,"Ro7.3")*7.3/8+COUNTIF(E111:AI111,"Ro7.5")*7.5/8+COUNTIF(E111:AI111,"Ro7.8")*7.8/8+COUNTIF(E111:AI111,"Bu1")+COUNTIF(E111:AI111,"Bu2")+COUNTIF(E111:AI111,"Bu3")+COUNTIF(E111:AI111,"Bu4")+COUNTIF(E111:AI111,"Bu5")+COUNTIF(E111:AI111,"Bu6")+COUNTIF(E111:AI111,"Bu7")+COUNTIF(E111:AI111,"P2")*4/8</f>
        <v>13</v>
      </c>
      <c r="AL111" s="325">
        <f>COUNTIF(E111:AI111,"D")+COUNTIF(E111:AI111,"D1")*1/BB111+COUNTIF(E111:AI111,"D2")*2/BB111+COUNTIF(E111:AI111,"D3")*3/BB111+COUNTIF(E111:AI111,"D4")*4/BB111+COUNTIF(E111:AI111,"D5")*5/BB111+COUNTIF(E111:AI111,"D6")*6/BB111+COUNTIF(E111:AI111,"D7")*7/BB111+COUNTIF(E111:AI111,"D8")*8/BB111</f>
        <v>0</v>
      </c>
      <c r="AM111" s="326">
        <f t="shared" si="85"/>
        <v>26</v>
      </c>
      <c r="AN111" s="327">
        <f t="shared" si="86"/>
        <v>13</v>
      </c>
      <c r="AO111" s="327">
        <f t="shared" si="87"/>
        <v>0</v>
      </c>
      <c r="AP111" s="327">
        <f t="shared" si="88"/>
        <v>0</v>
      </c>
      <c r="AQ111" s="327">
        <f t="shared" si="89"/>
        <v>0</v>
      </c>
      <c r="AR111" s="327">
        <f t="shared" si="90"/>
        <v>0</v>
      </c>
      <c r="AS111" s="327">
        <f t="shared" si="91"/>
        <v>0</v>
      </c>
      <c r="AT111" s="327"/>
      <c r="AU111" s="327"/>
      <c r="AV111" s="327"/>
      <c r="AW111" s="327"/>
      <c r="AX111" s="327"/>
      <c r="AY111" s="338"/>
      <c r="AZ111" s="327">
        <f t="shared" si="92"/>
        <v>13</v>
      </c>
      <c r="BA111" s="360">
        <f t="shared" si="94"/>
        <v>0</v>
      </c>
      <c r="BB111" s="27">
        <v>8</v>
      </c>
      <c r="BC111" s="27" t="str">
        <f>VLOOKUP(B111,'[2]Bang luong_06'!$B$10:$C$333,2,0)</f>
        <v>Võ Thị Thùy Linh</v>
      </c>
      <c r="BE111" s="151" t="str">
        <f>VLOOKUP($B111,'[2]Bang luong_06'!$B$10:$C$333,2,0)</f>
        <v>Võ Thị Thùy Linh</v>
      </c>
      <c r="BF111" s="27" t="b">
        <f>BE111=C111</f>
        <v>1</v>
      </c>
      <c r="BH111" s="329">
        <v>0</v>
      </c>
      <c r="BI111" s="27" t="s">
        <v>731</v>
      </c>
      <c r="BK111" s="27" t="e">
        <v>#N/A</v>
      </c>
      <c r="BN111" s="330">
        <v>0</v>
      </c>
    </row>
    <row r="112" spans="1:66 1544:1544" s="145" customFormat="1" ht="16.5" customHeight="1" outlineLevel="1" x14ac:dyDescent="0.25">
      <c r="A112" s="88">
        <f t="shared" si="62"/>
        <v>89</v>
      </c>
      <c r="B112" s="357" t="s">
        <v>732</v>
      </c>
      <c r="C112" s="358" t="s">
        <v>733</v>
      </c>
      <c r="D112" s="334">
        <v>45831</v>
      </c>
      <c r="E112" s="323" t="s">
        <v>38</v>
      </c>
      <c r="F112" s="323" t="s">
        <v>38</v>
      </c>
      <c r="G112" s="323" t="s">
        <v>38</v>
      </c>
      <c r="H112" s="323" t="s">
        <v>38</v>
      </c>
      <c r="I112" s="323" t="s">
        <v>38</v>
      </c>
      <c r="J112" s="323" t="s">
        <v>38</v>
      </c>
      <c r="K112" s="323"/>
      <c r="L112" s="323" t="s">
        <v>38</v>
      </c>
      <c r="M112" s="323" t="s">
        <v>38</v>
      </c>
      <c r="N112" s="323" t="s">
        <v>38</v>
      </c>
      <c r="O112" s="323" t="s">
        <v>38</v>
      </c>
      <c r="P112" s="323" t="s">
        <v>38</v>
      </c>
      <c r="Q112" s="323" t="s">
        <v>38</v>
      </c>
      <c r="R112" s="323"/>
      <c r="S112" s="323" t="s">
        <v>38</v>
      </c>
      <c r="T112" s="323"/>
      <c r="U112" s="323"/>
      <c r="V112" s="323"/>
      <c r="W112" s="323"/>
      <c r="X112" s="323"/>
      <c r="Y112" s="323"/>
      <c r="Z112" s="323"/>
      <c r="AA112" s="323"/>
      <c r="AB112" s="323"/>
      <c r="AC112" s="323"/>
      <c r="AD112" s="323"/>
      <c r="AE112" s="323"/>
      <c r="AF112" s="323"/>
      <c r="AG112" s="323"/>
      <c r="AH112" s="323"/>
      <c r="AI112" s="323"/>
      <c r="AJ112" s="69">
        <f>VLOOKUP($B112,[1]NV!$B$9:$DL$219,114,0)</f>
        <v>4</v>
      </c>
      <c r="AK112" s="325">
        <f>COUNTIF(E112:AI112,"H4")+COUNTIF(E112:AI112,"H")+COUNTIF(E112:AI112,"Bu")+COUNTIF(E112:AI112,"N")+COUNTIF(E112:AI112,"N1")*1/8+COUNTIF(E112:AI112,"N2")*2/8+COUNTIF(E112:AI112,"N3")*3/8+COUNTIF(E112:AI112,"N4")*4/8+COUNTIF(E112:AI112,"N5")*5/8+COUNTIF(E112:AI112,"N6")*6/8+COUNTIF(E112:AI112,"N7")*7/8+COUNTIF(E112:AI112,"N8")*8/8+COUNTIF(E112:AI112,"C")+COUNTIF(E112:AI112,"C1")+COUNTIF(E112:AI112,"C2")+COUNTIF(E112:AI112,"C2.9")+COUNTIF(E112:AI112,"C3")+COUNTIF(E112:AI112,"C3.8")+COUNTIF(E112:AI112,"C4")+COUNTIF(E112:AI112,"C4.0")+COUNTIF(E112:AI112,"C4.1")+COUNTIF(E112:AI112,"C4.4")+COUNTIF(E112:AI112,"C4.6")+COUNTIF(E112:AI112,"C4.9")+COUNTIF(E112:AI112,"C5")+COUNTIF(E112:AI112,"C6")+COUNTIF(E112:AI112,"C6.5")+COUNTIF(E112:AI112,"C6.0")+COUNTIF(E112:AI112,"C7")+COUNTIF(E112:AI112,"C7.6")+COUNTIF(E112:AI112,"C7.7")+COUNTIF(E112:AI112,"N6.4")*6.4/8+COUNTIF(E112:AI112,"Ro1")*1/8+COUNTIF(E112:AI112,"Ro2")*2/8+COUNTIF(E112:AI112,"Ro3")*3/8+COUNTIF(E112:AI112,"Ro4")*4/8+COUNTIF(E112:AI112,"Ro4.0")*4/8+COUNTIF(E112:AI112,"Ro5")*5/8+COUNTIF(E112:AI112,"Ro6")*6/8+COUNTIF(E112:AI112,"Ro6.5")*6.5/8+COUNTIF(E112:AI112,"Ro7")*7/8+COUNTIF(E112:AI112,"Ro7.3")*7.3/8+COUNTIF(E112:AI112,"Ro7.5")*7.5/8+COUNTIF(E112:AI112,"Ro7.8")*7.8/8+COUNTIF(E112:AI112,"Bu1")+COUNTIF(E112:AI112,"Bu2")+COUNTIF(E112:AI112,"Bu3")+COUNTIF(E112:AI112,"Bu4")+COUNTIF(E112:AI112,"Bu5")+COUNTIF(E112:AI112,"Bu6")+COUNTIF(E112:AI112,"Bu7")+COUNTIF(E112:AI112,"P2")*4/8</f>
        <v>13</v>
      </c>
      <c r="AL112" s="325">
        <f>COUNTIF(E112:AI112,"D")+COUNTIF(E112:AI112,"D1")*1/BB112+COUNTIF(E112:AI112,"D2")*2/BB112+COUNTIF(E112:AI112,"D3")*3/BB112+COUNTIF(E112:AI112,"D4")*4/BB112+COUNTIF(E112:AI112,"D5")*5/BB112+COUNTIF(E112:AI112,"D6")*6/BB112+COUNTIF(E112:AI112,"D7")*7/BB112+COUNTIF(E112:AI112,"D8")*8/BB112</f>
        <v>0</v>
      </c>
      <c r="AM112" s="326">
        <f t="shared" si="85"/>
        <v>26</v>
      </c>
      <c r="AN112" s="327">
        <f t="shared" si="86"/>
        <v>13</v>
      </c>
      <c r="AO112" s="327">
        <f t="shared" si="87"/>
        <v>0</v>
      </c>
      <c r="AP112" s="327">
        <f t="shared" si="88"/>
        <v>0</v>
      </c>
      <c r="AQ112" s="327">
        <f t="shared" si="89"/>
        <v>0</v>
      </c>
      <c r="AR112" s="327">
        <f t="shared" si="90"/>
        <v>0</v>
      </c>
      <c r="AS112" s="327">
        <f t="shared" si="91"/>
        <v>0</v>
      </c>
      <c r="AT112" s="327"/>
      <c r="AU112" s="327"/>
      <c r="AV112" s="327"/>
      <c r="AW112" s="327"/>
      <c r="AX112" s="327"/>
      <c r="AY112" s="338"/>
      <c r="AZ112" s="327">
        <f>AN112+AO112+AS112+AR112</f>
        <v>13</v>
      </c>
      <c r="BA112" s="360">
        <f t="shared" si="94"/>
        <v>0</v>
      </c>
      <c r="BB112" s="27">
        <v>8</v>
      </c>
      <c r="BC112" s="27" t="str">
        <f>VLOOKUP(B112,'[2]Bang luong_06'!$B$10:$C$333,2,0)</f>
        <v>Huỳnh Minh Đồng</v>
      </c>
      <c r="BE112" s="151" t="str">
        <f>VLOOKUP($B112,'[2]Bang luong_06'!$B$10:$C$333,2,0)</f>
        <v>Huỳnh Minh Đồng</v>
      </c>
      <c r="BF112" s="27" t="b">
        <f>BE112=C112</f>
        <v>1</v>
      </c>
      <c r="BH112" s="329">
        <v>0</v>
      </c>
      <c r="BI112" s="27" t="s">
        <v>731</v>
      </c>
      <c r="BK112" s="27" t="e">
        <v>#N/A</v>
      </c>
      <c r="BN112" s="330">
        <v>0</v>
      </c>
    </row>
    <row r="113" spans="1:66" s="145" customFormat="1" ht="16.5" customHeight="1" outlineLevel="1" x14ac:dyDescent="0.25">
      <c r="A113" s="88">
        <f t="shared" si="62"/>
        <v>90</v>
      </c>
      <c r="B113" s="357" t="s">
        <v>734</v>
      </c>
      <c r="C113" s="358" t="s">
        <v>735</v>
      </c>
      <c r="D113" s="334">
        <v>45916</v>
      </c>
      <c r="E113" s="323" t="s">
        <v>38</v>
      </c>
      <c r="F113" s="323" t="s">
        <v>38</v>
      </c>
      <c r="G113" s="323" t="s">
        <v>38</v>
      </c>
      <c r="H113" s="323" t="s">
        <v>38</v>
      </c>
      <c r="I113" s="323" t="s">
        <v>38</v>
      </c>
      <c r="J113" s="323" t="s">
        <v>38</v>
      </c>
      <c r="K113" s="323"/>
      <c r="L113" s="323" t="s">
        <v>38</v>
      </c>
      <c r="M113" s="323" t="s">
        <v>38</v>
      </c>
      <c r="N113" s="323" t="s">
        <v>107</v>
      </c>
      <c r="O113" s="323" t="s">
        <v>107</v>
      </c>
      <c r="P113" s="323" t="s">
        <v>107</v>
      </c>
      <c r="Q113" s="323" t="s">
        <v>38</v>
      </c>
      <c r="R113" s="323"/>
      <c r="S113" s="323" t="s">
        <v>38</v>
      </c>
      <c r="T113" s="323"/>
      <c r="U113" s="323"/>
      <c r="V113" s="323"/>
      <c r="W113" s="323"/>
      <c r="X113" s="323"/>
      <c r="Y113" s="323"/>
      <c r="Z113" s="323"/>
      <c r="AA113" s="323"/>
      <c r="AB113" s="323"/>
      <c r="AC113" s="323"/>
      <c r="AD113" s="323"/>
      <c r="AE113" s="323"/>
      <c r="AF113" s="323"/>
      <c r="AG113" s="323"/>
      <c r="AH113" s="323"/>
      <c r="AI113" s="323"/>
      <c r="AJ113" s="69">
        <f>VLOOKUP($B113,[1]NV!$B$9:$DL$219,114,0)</f>
        <v>-2</v>
      </c>
      <c r="AK113" s="325">
        <f>COUNTIF(E113:AI113,"H4")+COUNTIF(E113:AI113,"H")+COUNTIF(E113:AI113,"Bu")+COUNTIF(E113:AI113,"N")+COUNTIF(E113:AI113,"N1")*1/8+COUNTIF(E113:AI113,"N2")*2/8+COUNTIF(E113:AI113,"N3")*3/8+COUNTIF(E113:AI113,"N4")*4/8+COUNTIF(E113:AI113,"N5")*5/8+COUNTIF(E113:AI113,"N6")*6/8+COUNTIF(E113:AI113,"N7")*7/8+COUNTIF(E113:AI113,"N8")*8/8+COUNTIF(E113:AI113,"C")+COUNTIF(E113:AI113,"C1")+COUNTIF(E113:AI113,"C2")+COUNTIF(E113:AI113,"C2.9")+COUNTIF(E113:AI113,"C3")+COUNTIF(E113:AI113,"C3.8")+COUNTIF(E113:AI113,"C4")+COUNTIF(E113:AI113,"C4.0")+COUNTIF(E113:AI113,"C4.1")+COUNTIF(E113:AI113,"C4.4")+COUNTIF(E113:AI113,"C4.6")+COUNTIF(E113:AI113,"C4.9")+COUNTIF(E113:AI113,"C5")+COUNTIF(E113:AI113,"C6")+COUNTIF(E113:AI113,"C6.5")+COUNTIF(E113:AI113,"C6.0")+COUNTIF(E113:AI113,"C7")+COUNTIF(E113:AI113,"C7.6")+COUNTIF(E113:AI113,"C7.7")+COUNTIF(E113:AI113,"N6.4")*6.4/8+COUNTIF(E113:AI113,"Ro1")*1/8+COUNTIF(E113:AI113,"Ro2")*2/8+COUNTIF(E113:AI113,"Ro3")*3/8+COUNTIF(E113:AI113,"Ro4")*4/8+COUNTIF(E113:AI113,"Ro4.0")*4/8+COUNTIF(E113:AI113,"Ro5")*5/8+COUNTIF(E113:AI113,"Ro6")*6/8+COUNTIF(E113:AI113,"Ro6.5")*6.5/8+COUNTIF(E113:AI113,"Ro7")*7/8+COUNTIF(E113:AI113,"Ro7.3")*7.3/8+COUNTIF(E113:AI113,"Ro7.5")*7.5/8+COUNTIF(E113:AI113,"Ro7.8")*7.8/8+COUNTIF(E113:AI113,"Bu1")+COUNTIF(E113:AI113,"Bu2")+COUNTIF(E113:AI113,"Bu3")+COUNTIF(E113:AI113,"Bu4")+COUNTIF(E113:AI113,"Bu5")+COUNTIF(E113:AI113,"Bu6")+COUNTIF(E113:AI113,"Bu7")+COUNTIF(E113:AI113,"P2")*4/8</f>
        <v>10</v>
      </c>
      <c r="AL113" s="325">
        <f>COUNTIF(E113:AI113,"D")+COUNTIF(E113:AI113,"D1")*1/BB113+COUNTIF(E113:AI113,"D2")*2/BB113+COUNTIF(E113:AI113,"D3")*3/BB113+COUNTIF(E113:AI113,"D4")*4/BB113+COUNTIF(E113:AI113,"D5")*5/BB113+COUNTIF(E113:AI113,"D6")*6/BB113+COUNTIF(E113:AI113,"D7")*7/BB113+COUNTIF(E113:AI113,"D8")*8/BB113</f>
        <v>0</v>
      </c>
      <c r="AM113" s="326">
        <f t="shared" si="85"/>
        <v>26</v>
      </c>
      <c r="AN113" s="327">
        <f>AK113+AL113</f>
        <v>10</v>
      </c>
      <c r="AO113" s="327">
        <f>COUNTIF(E113:AI113,"p")+COUNTIF(E113:AI113,"P2")/2+COUNTIF(E113:AI113,"P1")/2</f>
        <v>3</v>
      </c>
      <c r="AP113" s="327">
        <f>COUNTIF(E113:AI113,"k")</f>
        <v>0</v>
      </c>
      <c r="AQ113" s="327">
        <f>COUNTIF(E113:AI113,"KL")+COUNTIF(E113:AI113,"O")+COUNTIF(E113:AI113,"O/")/2+COUNTIF(E113:AI113,"TN")+COUNTIF(E113:AI113,"4P4KL")/2+COUNTIF(E113:AI113,"P1")*0.5+COUNTIF(E113:AI113,"Ro")+COUNTIF(E113:AI113,"Ro1")*7/8+COUNTIF(E113:AI113,"Ro2")*6/8+COUNTIF(E113:AI113,"Ro3")*5/8+COUNTIF(E113:AI113,"Ro4")*4/8+COUNTIF(E113:AI113,"Ro4.0")*4/8+COUNTIF(E113:AI113,"Ro5")*3/8+COUNTIF(E113:AI113,"Ro6")*2/8+COUNTIF(E113:AI113,"Ro6.5")*1.5/8+COUNTIF(E113:AI113,"Ro7")*1/8+COUNTIF(E113:AI113,"Ro7.3")*0.7/8+COUNTIF(E113:AI113,"Ro7.5")*0.5/8+COUNTIF(E113:AI113,"Ro7.8")*0.2/8+COUNTIF(E113:AI113,"N7")*1/8+COUNTIF(E113:AI113,"N6")*2/8+COUNTIF(E113:AI113,"N5")*3/8+COUNTIF(E113:AI113,"N4")*4/8+COUNTIF(E113:AI113,"N3")*5/8+COUNTIF(E113:AI113,"N2")*6/8+COUNTIF(E113:AI113,"N1")*7/8</f>
        <v>0</v>
      </c>
      <c r="AR113" s="327">
        <f>COUNTIF(E113:AI113,"*R")</f>
        <v>0</v>
      </c>
      <c r="AS113" s="327">
        <f>COUNTIF(E113:AI113,"L")*1+COUNTIF(E113:AI113,"0.5L")*0.5</f>
        <v>0</v>
      </c>
      <c r="AT113" s="327"/>
      <c r="AU113" s="327"/>
      <c r="AV113" s="327"/>
      <c r="AW113" s="327"/>
      <c r="AX113" s="327"/>
      <c r="AY113" s="338"/>
      <c r="AZ113" s="327">
        <f>AN113+AO113+AS113+AR113</f>
        <v>13</v>
      </c>
      <c r="BA113" s="360">
        <f>COUNTIF(E113:AI113,"D")+COUNTIF(E113:AI113,"D1")*1/12+COUNTIF(E113:AI113,"D2")*2/12+COUNTIF(E113:AI113,"D3")*3/12+COUNTIF(E113:AI113,"D4")*4/12+COUNTIF(E113:AI113,"D5")*5/12+COUNTIF(E113:AI113,"D6")*6/12+COUNTIF(E113:AI113,"D7")*7/12+COUNTIF(E113:AI113,"D8")*8/12+COUNTIF(E113:AI113,"D9")*9/12+COUNTIF(E113:AI113,"D9")*10/12+COUNTIF(E113:AI113,"D11")*11/12</f>
        <v>0</v>
      </c>
      <c r="BB113" s="27">
        <v>8</v>
      </c>
      <c r="BC113" s="27" t="str">
        <f>VLOOKUP(B113,'[2]Bang luong_06'!$B$10:$C$333,2,0)</f>
        <v>Đặng Văn Bình</v>
      </c>
      <c r="BE113" s="151" t="str">
        <f>VLOOKUP($B113,'[2]Bang luong_06'!$B$10:$C$333,2,0)</f>
        <v>Đặng Văn Bình</v>
      </c>
      <c r="BF113" s="27" t="b">
        <f>BE113=C113</f>
        <v>1</v>
      </c>
      <c r="BH113" s="329">
        <v>0</v>
      </c>
      <c r="BI113" s="27" t="s">
        <v>731</v>
      </c>
      <c r="BK113" s="27" t="e">
        <v>#N/A</v>
      </c>
      <c r="BN113" s="330">
        <v>0</v>
      </c>
    </row>
    <row r="114" spans="1:66" s="145" customFormat="1" ht="16.5" customHeight="1" outlineLevel="1" x14ac:dyDescent="0.25">
      <c r="A114" s="88">
        <f>IF(B114="","",MAX(A113:A113)+1)</f>
        <v>91</v>
      </c>
      <c r="B114" s="357" t="s">
        <v>736</v>
      </c>
      <c r="C114" s="358" t="s">
        <v>737</v>
      </c>
      <c r="D114" s="334">
        <v>46120</v>
      </c>
      <c r="E114" s="323" t="s">
        <v>38</v>
      </c>
      <c r="F114" s="323" t="s">
        <v>38</v>
      </c>
      <c r="G114" s="323" t="s">
        <v>38</v>
      </c>
      <c r="H114" s="323" t="s">
        <v>38</v>
      </c>
      <c r="I114" s="323" t="s">
        <v>38</v>
      </c>
      <c r="J114" s="323" t="s">
        <v>38</v>
      </c>
      <c r="K114" s="323"/>
      <c r="L114" s="323" t="s">
        <v>38</v>
      </c>
      <c r="M114" s="323" t="s">
        <v>38</v>
      </c>
      <c r="N114" s="323" t="s">
        <v>38</v>
      </c>
      <c r="O114" s="323" t="s">
        <v>38</v>
      </c>
      <c r="P114" s="323" t="s">
        <v>38</v>
      </c>
      <c r="Q114" s="323" t="s">
        <v>38</v>
      </c>
      <c r="R114" s="323"/>
      <c r="S114" s="323" t="s">
        <v>38</v>
      </c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323"/>
      <c r="AI114" s="323"/>
      <c r="AJ114" s="69"/>
      <c r="AK114" s="325">
        <f>COUNTIF(E114:AI114,"H4")+COUNTIF(E114:AI114,"H")+COUNTIF(E114:AI114,"Bu")+COUNTIF(E114:AI114,"N")+COUNTIF(E114:AI114,"N1")*1/8+COUNTIF(E114:AI114,"N2")*2/8+COUNTIF(E114:AI114,"N3")*3/8+COUNTIF(E114:AI114,"N4")*4/8+COUNTIF(E114:AI114,"N5")*5/8+COUNTIF(E114:AI114,"N6")*6/8+COUNTIF(E114:AI114,"N7")*7/8+COUNTIF(E114:AI114,"N8")*8/8+COUNTIF(E114:AI114,"C")+COUNTIF(E114:AI114,"C1")+COUNTIF(E114:AI114,"C2")+COUNTIF(E114:AI114,"C2.9")+COUNTIF(E114:AI114,"C3")+COUNTIF(E114:AI114,"C3.8")+COUNTIF(E114:AI114,"C4")+COUNTIF(E114:AI114,"C4.0")+COUNTIF(E114:AI114,"C4.1")+COUNTIF(E114:AI114,"C4.4")+COUNTIF(E114:AI114,"C4.6")+COUNTIF(E114:AI114,"C4.9")+COUNTIF(E114:AI114,"C5")+COUNTIF(E114:AI114,"C6")+COUNTIF(E114:AI114,"C6.5")+COUNTIF(E114:AI114,"C6.0")+COUNTIF(E114:AI114,"C7")+COUNTIF(E114:AI114,"C7.6")+COUNTIF(E114:AI114,"C7.7")+COUNTIF(E114:AI114,"N6.4")*6.4/8+COUNTIF(E114:AI114,"Ro1")*1/8+COUNTIF(E114:AI114,"Ro2")*2/8+COUNTIF(E114:AI114,"Ro3")*3/8+COUNTIF(E114:AI114,"Ro4")*4/8+COUNTIF(E114:AI114,"Ro4.0")*4/8+COUNTIF(E114:AI114,"Ro5")*5/8+COUNTIF(E114:AI114,"Ro6")*6/8+COUNTIF(E114:AI114,"Ro6.5")*6.5/8+COUNTIF(E114:AI114,"Ro7")*7/8+COUNTIF(E114:AI114,"Ro7.3")*7.3/8+COUNTIF(E114:AI114,"Ro7.5")*7.5/8+COUNTIF(E114:AI114,"Ro7.8")*7.8/8+COUNTIF(E114:AI114,"Bu1")+COUNTIF(E114:AI114,"Bu2")+COUNTIF(E114:AI114,"Bu3")+COUNTIF(E114:AI114,"Bu4")+COUNTIF(E114:AI114,"Bu5")+COUNTIF(E114:AI114,"Bu6")+COUNTIF(E114:AI114,"Bu7")+COUNTIF(E114:AI114,"P2")*4/8</f>
        <v>13</v>
      </c>
      <c r="AL114" s="325">
        <f>COUNTIF(E114:AI114,"D")+COUNTIF(E114:AI114,"D1")*1/BB114+COUNTIF(E114:AI114,"D2")*2/BB114+COUNTIF(E114:AI114,"D3")*3/BB114+COUNTIF(E114:AI114,"D4")*4/BB114+COUNTIF(E114:AI114,"D5")*5/BB114+COUNTIF(E114:AI114,"D6")*6/BB114+COUNTIF(E114:AI114,"D7")*7/BB114+COUNTIF(E114:AI114,"D8")*8/BB114</f>
        <v>0</v>
      </c>
      <c r="AM114" s="326">
        <f t="shared" si="85"/>
        <v>26</v>
      </c>
      <c r="AN114" s="327">
        <f t="shared" si="86"/>
        <v>13</v>
      </c>
      <c r="AO114" s="327">
        <f>COUNTIF(E114:AI114,"p")+COUNTIF(E114:AI114,"P2")/2+COUNTIF(E114:AI114,"P1")/2</f>
        <v>0</v>
      </c>
      <c r="AP114" s="327">
        <f>COUNTIF(E114:AI114,"k")</f>
        <v>0</v>
      </c>
      <c r="AQ114" s="327">
        <f>COUNTIF(E114:AI114,"KL")+COUNTIF(E114:AI114,"O")+COUNTIF(E114:AI114,"O/")/2+COUNTIF(E114:AI114,"TN")+COUNTIF(E114:AI114,"4P4KL")/2+COUNTIF(E114:AI114,"P1")*0.5+COUNTIF(E114:AI114,"Ro")+COUNTIF(E114:AI114,"Ro1")*7/8+COUNTIF(E114:AI114,"Ro2")*6/8+COUNTIF(E114:AI114,"Ro3")*5/8+COUNTIF(E114:AI114,"Ro4")*4/8+COUNTIF(E114:AI114,"Ro4.0")*4/8+COUNTIF(E114:AI114,"Ro5")*3/8+COUNTIF(E114:AI114,"Ro6")*2/8+COUNTIF(E114:AI114,"Ro6.5")*1.5/8+COUNTIF(E114:AI114,"Ro7")*1/8+COUNTIF(E114:AI114,"Ro7.3")*0.7/8+COUNTIF(E114:AI114,"Ro7.5")*0.5/8+COUNTIF(E114:AI114,"Ro7.8")*0.2/8+COUNTIF(E114:AI114,"N7")*1/8+COUNTIF(E114:AI114,"N6")*2/8+COUNTIF(E114:AI114,"N5")*3/8+COUNTIF(E114:AI114,"N4")*4/8+COUNTIF(E114:AI114,"N3")*5/8+COUNTIF(E114:AI114,"N2")*6/8+COUNTIF(E114:AI114,"N1")*7/8</f>
        <v>0</v>
      </c>
      <c r="AR114" s="327">
        <f>COUNTIF(E114:AI114,"*R")</f>
        <v>0</v>
      </c>
      <c r="AS114" s="327">
        <f>COUNTIF(E114:AI114,"L")*1+COUNTIF(E114:AI114,"0.5L")*0.5</f>
        <v>0</v>
      </c>
      <c r="AT114" s="327"/>
      <c r="AU114" s="327"/>
      <c r="AV114" s="327"/>
      <c r="AW114" s="327"/>
      <c r="AX114" s="327"/>
      <c r="AY114" s="338"/>
      <c r="AZ114" s="327">
        <f>AN114+AO114+AS114+AR114</f>
        <v>13</v>
      </c>
      <c r="BA114" s="360">
        <f>COUNTIF(E114:AI114,"D")+COUNTIF(E114:AI114,"D1")*1/12+COUNTIF(E114:AI114,"D2")*2/12+COUNTIF(E114:AI114,"D3")*3/12+COUNTIF(E114:AI114,"D4")*4/12+COUNTIF(E114:AI114,"D5")*5/12+COUNTIF(E114:AI114,"D6")*6/12+COUNTIF(E114:AI114,"D7")*7/12+COUNTIF(E114:AI114,"D8")*8/12+COUNTIF(E114:AI114,"D9")*9/12+COUNTIF(E114:AI114,"D9")*10/12+COUNTIF(E114:AI114,"D11")*11/12</f>
        <v>0</v>
      </c>
      <c r="BB114" s="27">
        <v>8</v>
      </c>
      <c r="BC114" s="27" t="str">
        <f>VLOOKUP(B114,'[2]Bang luong_06'!$B$10:$C$333,2,0)</f>
        <v>Trần Minh Khoa</v>
      </c>
      <c r="BE114" s="151" t="str">
        <f>VLOOKUP($B114,'[2]Bang luong_06'!$B$10:$C$333,2,0)</f>
        <v>Trần Minh Khoa</v>
      </c>
      <c r="BF114" s="27" t="b">
        <f>BE114=C114</f>
        <v>1</v>
      </c>
      <c r="BH114" s="329">
        <v>0</v>
      </c>
      <c r="BI114" s="27" t="s">
        <v>731</v>
      </c>
      <c r="BK114" s="27" t="e">
        <v>#N/A</v>
      </c>
      <c r="BN114" s="330">
        <v>0</v>
      </c>
    </row>
    <row r="115" spans="1:66" ht="24" customHeight="1" x14ac:dyDescent="0.25">
      <c r="A115" s="361"/>
      <c r="B115" s="361">
        <f>SUBTOTAL(3,B13:B114)</f>
        <v>91</v>
      </c>
      <c r="C115" s="361"/>
      <c r="D115" s="361"/>
      <c r="E115" s="361"/>
      <c r="F115" s="361"/>
      <c r="G115" s="361"/>
      <c r="H115" s="361"/>
      <c r="I115" s="361"/>
      <c r="J115" s="361"/>
      <c r="K115" s="361"/>
      <c r="L115" s="361"/>
      <c r="M115" s="361"/>
      <c r="N115" s="361"/>
      <c r="O115" s="361"/>
      <c r="P115" s="361"/>
      <c r="Q115" s="361"/>
      <c r="R115" s="361"/>
      <c r="S115" s="361"/>
      <c r="T115" s="361"/>
      <c r="U115" s="361"/>
      <c r="V115" s="361"/>
      <c r="W115" s="361"/>
      <c r="X115" s="361"/>
      <c r="Y115" s="361"/>
      <c r="Z115" s="361"/>
      <c r="AA115" s="361"/>
      <c r="AB115" s="361"/>
      <c r="AC115" s="361"/>
      <c r="AD115" s="361"/>
      <c r="AE115" s="361"/>
      <c r="AF115" s="361"/>
      <c r="AG115" s="361"/>
      <c r="AH115" s="361"/>
      <c r="AI115" s="361"/>
      <c r="AJ115" s="362" t="e">
        <f t="shared" ref="AJ115:AZ115" si="95">SUBTOTAL(9,AJ14:AJ114)</f>
        <v>#N/A</v>
      </c>
      <c r="AK115" s="363">
        <f t="shared" si="95"/>
        <v>1150.5</v>
      </c>
      <c r="AL115" s="363">
        <f t="shared" si="95"/>
        <v>0</v>
      </c>
      <c r="AM115" s="363">
        <f t="shared" si="95"/>
        <v>2367</v>
      </c>
      <c r="AN115" s="363">
        <f t="shared" si="95"/>
        <v>1150.5</v>
      </c>
      <c r="AO115" s="363">
        <f t="shared" si="95"/>
        <v>33.5</v>
      </c>
      <c r="AP115" s="363">
        <f t="shared" si="95"/>
        <v>0</v>
      </c>
      <c r="AQ115" s="363">
        <f t="shared" si="95"/>
        <v>0</v>
      </c>
      <c r="AR115" s="363">
        <f t="shared" si="95"/>
        <v>0</v>
      </c>
      <c r="AS115" s="363">
        <f t="shared" si="95"/>
        <v>0</v>
      </c>
      <c r="AT115" s="363">
        <f t="shared" si="95"/>
        <v>0</v>
      </c>
      <c r="AU115" s="363">
        <f t="shared" si="95"/>
        <v>0</v>
      </c>
      <c r="AV115" s="363">
        <f t="shared" si="95"/>
        <v>0</v>
      </c>
      <c r="AW115" s="363">
        <f t="shared" si="95"/>
        <v>0</v>
      </c>
      <c r="AX115" s="363">
        <f t="shared" si="95"/>
        <v>0</v>
      </c>
      <c r="AY115" s="363">
        <f t="shared" si="95"/>
        <v>0</v>
      </c>
      <c r="AZ115" s="363">
        <f t="shared" si="95"/>
        <v>1184</v>
      </c>
      <c r="BA115" s="361">
        <f>SUM(BA14:BA114)</f>
        <v>0</v>
      </c>
    </row>
    <row r="116" spans="1:66" ht="22.5" customHeight="1" x14ac:dyDescent="0.25">
      <c r="C116" s="365"/>
      <c r="D116" s="366"/>
      <c r="E116" s="367"/>
      <c r="F116" s="367"/>
      <c r="G116" s="367"/>
      <c r="H116" s="367"/>
      <c r="I116" s="367"/>
      <c r="J116" s="367"/>
      <c r="K116" s="367"/>
      <c r="L116" s="367"/>
      <c r="M116" s="367"/>
      <c r="N116" s="367"/>
      <c r="O116" s="367"/>
      <c r="P116" s="367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  <c r="AA116" s="367"/>
      <c r="AB116" s="367"/>
      <c r="AC116" s="367"/>
      <c r="AD116" s="367"/>
      <c r="AE116" s="367"/>
      <c r="AF116" s="367"/>
      <c r="AG116" s="367"/>
      <c r="AH116" s="367"/>
      <c r="AJ116" s="368"/>
      <c r="AK116" s="369"/>
      <c r="AL116" s="369"/>
      <c r="AM116" s="369"/>
      <c r="AN116" s="370">
        <f>AN115+'[2]Cong CN_1'!AN231</f>
        <v>4573.1666666666661</v>
      </c>
      <c r="AO116" s="370"/>
      <c r="AP116" s="370"/>
      <c r="AQ116" s="370"/>
      <c r="AR116" s="370"/>
      <c r="AS116" s="370"/>
      <c r="AT116" s="370"/>
      <c r="AU116" s="370"/>
      <c r="AV116" s="370"/>
      <c r="AW116" s="370"/>
      <c r="AX116" s="370"/>
      <c r="AY116" s="370"/>
      <c r="AZ116" s="370"/>
      <c r="BA116" s="370"/>
    </row>
    <row r="117" spans="1:66" ht="15" customHeight="1" x14ac:dyDescent="0.25">
      <c r="B117" s="371"/>
      <c r="C117" s="372" t="str">
        <f>" TP. HCM,"&amp;" Ngày "&amp;DAY(AI10)&amp;"/"&amp;MONTH(AI10)&amp;"/"&amp;YEAR(AI10)</f>
        <v xml:space="preserve"> TP. HCM, Ngày 1/7/2026</v>
      </c>
      <c r="D117" s="158"/>
      <c r="Z117" s="146"/>
      <c r="AA117" s="146"/>
      <c r="AB117" s="146"/>
      <c r="AC117" s="146"/>
      <c r="AD117" s="146"/>
      <c r="AE117" s="146"/>
      <c r="AF117" s="146"/>
      <c r="AG117" s="146"/>
      <c r="AH117" s="146"/>
      <c r="AJ117" s="373"/>
      <c r="AK117" s="159"/>
      <c r="AL117" s="159"/>
      <c r="AM117" s="159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</row>
    <row r="118" spans="1:66" ht="15" customHeight="1" x14ac:dyDescent="0.25">
      <c r="B118" s="374"/>
      <c r="C118" s="372"/>
      <c r="D118" s="158"/>
      <c r="Z118" s="146"/>
      <c r="AA118" s="146"/>
      <c r="AB118" s="146"/>
      <c r="AC118" s="146"/>
      <c r="AD118" s="146"/>
      <c r="AE118" s="146"/>
      <c r="AF118" s="146"/>
      <c r="AG118" s="146"/>
      <c r="AH118" s="146"/>
      <c r="AJ118" s="373"/>
      <c r="AK118" s="159"/>
      <c r="AL118" s="159"/>
      <c r="AM118" s="159"/>
      <c r="AN118" s="160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C118" s="150"/>
    </row>
    <row r="119" spans="1:66" s="150" customFormat="1" ht="15" x14ac:dyDescent="0.25">
      <c r="A119" s="375" t="s">
        <v>738</v>
      </c>
      <c r="B119" s="375"/>
      <c r="C119" s="375"/>
      <c r="D119" s="375"/>
      <c r="E119" s="375"/>
      <c r="F119" s="376" t="s">
        <v>739</v>
      </c>
      <c r="G119" s="376"/>
      <c r="H119" s="376"/>
      <c r="I119" s="376"/>
      <c r="J119" s="376"/>
      <c r="K119" s="376"/>
      <c r="L119" s="376"/>
      <c r="M119" s="376"/>
      <c r="N119" s="376"/>
      <c r="O119" s="376"/>
      <c r="P119" s="376"/>
      <c r="Q119" s="376"/>
      <c r="R119" s="376"/>
      <c r="S119" s="376"/>
      <c r="T119" s="376"/>
      <c r="U119" s="376"/>
      <c r="V119" s="376"/>
      <c r="W119" s="376"/>
      <c r="X119" s="376"/>
      <c r="Y119" s="376"/>
      <c r="Z119" s="376"/>
      <c r="AA119" s="376"/>
      <c r="AB119" s="376"/>
      <c r="AC119" s="376"/>
      <c r="AD119" s="376"/>
      <c r="AE119" s="376"/>
      <c r="AF119" s="376"/>
      <c r="AG119" s="376"/>
      <c r="AH119" s="376"/>
      <c r="AI119" s="377"/>
      <c r="AJ119" s="378"/>
      <c r="AK119" s="379"/>
      <c r="AL119" s="379"/>
      <c r="AM119" s="376" t="s">
        <v>740</v>
      </c>
      <c r="AN119" s="376"/>
      <c r="AO119" s="376"/>
      <c r="AP119" s="376"/>
      <c r="AQ119" s="376"/>
      <c r="AR119" s="376"/>
      <c r="AS119" s="376"/>
      <c r="AT119" s="376"/>
      <c r="AU119" s="376"/>
      <c r="AV119" s="376"/>
      <c r="AW119" s="376"/>
      <c r="AX119" s="376"/>
      <c r="AY119" s="376"/>
      <c r="AZ119" s="376"/>
      <c r="BA119" s="376"/>
    </row>
    <row r="120" spans="1:66" s="150" customFormat="1" ht="15" x14ac:dyDescent="0.25">
      <c r="A120" s="380"/>
      <c r="B120" s="380"/>
      <c r="C120" s="381"/>
      <c r="D120" s="382"/>
      <c r="E120" s="383"/>
      <c r="F120" s="383"/>
      <c r="G120" s="383"/>
      <c r="H120" s="383"/>
      <c r="I120" s="383"/>
      <c r="J120" s="383"/>
      <c r="K120" s="377"/>
      <c r="L120" s="377"/>
      <c r="N120" s="377"/>
      <c r="O120" s="377"/>
      <c r="P120" s="377"/>
      <c r="Q120" s="377"/>
      <c r="R120" s="377"/>
      <c r="S120" s="377"/>
      <c r="T120" s="377"/>
      <c r="Z120" s="377"/>
      <c r="AA120" s="377"/>
      <c r="AB120" s="377"/>
      <c r="AC120" s="377"/>
      <c r="AD120" s="377"/>
      <c r="AE120" s="377"/>
      <c r="AF120" s="377"/>
      <c r="AG120" s="377"/>
      <c r="AH120" s="377"/>
      <c r="AI120" s="383"/>
      <c r="AJ120" s="378"/>
      <c r="AK120" s="379"/>
      <c r="AL120" s="379"/>
      <c r="AM120" s="379"/>
      <c r="AN120" s="384"/>
      <c r="AO120" s="384"/>
      <c r="AP120" s="384"/>
      <c r="AQ120" s="377"/>
      <c r="AR120" s="377"/>
      <c r="AS120" s="377"/>
      <c r="AT120" s="377"/>
      <c r="AU120" s="377"/>
      <c r="AV120" s="377"/>
      <c r="AW120" s="384"/>
      <c r="AX120" s="384"/>
      <c r="AY120" s="384"/>
      <c r="AZ120" s="384"/>
      <c r="BA120" s="385"/>
    </row>
    <row r="121" spans="1:66" s="150" customFormat="1" ht="15" x14ac:dyDescent="0.25">
      <c r="A121" s="380"/>
      <c r="B121" s="380"/>
      <c r="C121" s="381"/>
      <c r="D121" s="382"/>
      <c r="E121" s="383"/>
      <c r="F121" s="383"/>
      <c r="G121" s="383"/>
      <c r="H121" s="383"/>
      <c r="I121" s="383"/>
      <c r="J121" s="383"/>
      <c r="K121" s="377"/>
      <c r="L121" s="377"/>
      <c r="N121" s="377"/>
      <c r="O121" s="377"/>
      <c r="P121" s="377"/>
      <c r="Q121" s="377"/>
      <c r="R121" s="377"/>
      <c r="S121" s="377"/>
      <c r="T121" s="377"/>
      <c r="Z121" s="377"/>
      <c r="AA121" s="377"/>
      <c r="AB121" s="377"/>
      <c r="AC121" s="377"/>
      <c r="AD121" s="377"/>
      <c r="AE121" s="377"/>
      <c r="AF121" s="377"/>
      <c r="AG121" s="377"/>
      <c r="AH121" s="377"/>
      <c r="AI121" s="383"/>
      <c r="AJ121" s="378"/>
      <c r="AK121" s="379"/>
      <c r="AL121" s="379"/>
      <c r="AM121" s="379"/>
      <c r="AN121" s="384"/>
      <c r="AO121" s="384"/>
      <c r="AP121" s="384"/>
      <c r="AQ121" s="377"/>
      <c r="AR121" s="377"/>
      <c r="AS121" s="377"/>
      <c r="AT121" s="377"/>
      <c r="AU121" s="377"/>
      <c r="AV121" s="377"/>
      <c r="AW121" s="384"/>
      <c r="AX121" s="384"/>
      <c r="AY121" s="384"/>
      <c r="AZ121" s="384"/>
      <c r="BA121" s="385"/>
    </row>
    <row r="122" spans="1:66" s="389" customFormat="1" ht="14.25" x14ac:dyDescent="0.25">
      <c r="A122" s="386"/>
      <c r="B122" s="386"/>
      <c r="C122" s="387"/>
      <c r="D122" s="388"/>
      <c r="E122" s="383"/>
      <c r="F122" s="383"/>
      <c r="G122" s="383"/>
      <c r="H122" s="383"/>
      <c r="I122" s="383"/>
      <c r="J122" s="383"/>
      <c r="K122" s="383"/>
      <c r="L122" s="383"/>
      <c r="N122" s="383"/>
      <c r="O122" s="383"/>
      <c r="P122" s="383"/>
      <c r="Q122" s="383"/>
      <c r="R122" s="383"/>
      <c r="S122" s="383"/>
      <c r="T122" s="383"/>
      <c r="Z122" s="383"/>
      <c r="AA122" s="383"/>
      <c r="AB122" s="383"/>
      <c r="AC122" s="383"/>
      <c r="AD122" s="383"/>
      <c r="AE122" s="383"/>
      <c r="AF122" s="383"/>
      <c r="AG122" s="383"/>
      <c r="AH122" s="383"/>
      <c r="AI122" s="383"/>
      <c r="AJ122" s="390"/>
      <c r="AK122" s="391"/>
      <c r="AL122" s="391"/>
      <c r="AM122" s="391"/>
      <c r="AN122" s="392"/>
      <c r="AO122" s="392"/>
      <c r="AP122" s="392"/>
      <c r="AQ122" s="383"/>
      <c r="AR122" s="383"/>
      <c r="AS122" s="383"/>
      <c r="AT122" s="383"/>
      <c r="AU122" s="383"/>
      <c r="AV122" s="383"/>
      <c r="AW122" s="392"/>
      <c r="AX122" s="392"/>
      <c r="AY122" s="392"/>
      <c r="AZ122" s="392"/>
      <c r="BA122" s="393"/>
    </row>
    <row r="123" spans="1:66" s="389" customFormat="1" ht="14.25" x14ac:dyDescent="0.25">
      <c r="A123" s="386"/>
      <c r="B123" s="386"/>
      <c r="C123" s="387"/>
      <c r="D123" s="388"/>
      <c r="E123" s="383"/>
      <c r="F123" s="383"/>
      <c r="G123" s="383"/>
      <c r="H123" s="383"/>
      <c r="I123" s="383"/>
      <c r="J123" s="383"/>
      <c r="K123" s="383"/>
      <c r="L123" s="383"/>
      <c r="N123" s="383"/>
      <c r="O123" s="383"/>
      <c r="P123" s="383"/>
      <c r="Q123" s="383"/>
      <c r="R123" s="383"/>
      <c r="S123" s="383"/>
      <c r="T123" s="383"/>
      <c r="Z123" s="383"/>
      <c r="AA123" s="383"/>
      <c r="AB123" s="383"/>
      <c r="AC123" s="383"/>
      <c r="AD123" s="383"/>
      <c r="AE123" s="383"/>
      <c r="AF123" s="383"/>
      <c r="AG123" s="383"/>
      <c r="AH123" s="383"/>
      <c r="AI123" s="383"/>
      <c r="AJ123" s="390"/>
      <c r="AK123" s="391"/>
      <c r="AL123" s="391"/>
      <c r="AM123" s="391"/>
      <c r="AN123" s="392"/>
      <c r="AO123" s="392"/>
      <c r="AP123" s="392"/>
      <c r="AQ123" s="383"/>
      <c r="AR123" s="383"/>
      <c r="AS123" s="383"/>
      <c r="AT123" s="383"/>
      <c r="AU123" s="383"/>
      <c r="AV123" s="383"/>
      <c r="AW123" s="392"/>
      <c r="AX123" s="392"/>
      <c r="AY123" s="392"/>
      <c r="AZ123" s="392"/>
      <c r="BA123" s="393"/>
    </row>
    <row r="124" spans="1:66" s="389" customFormat="1" ht="14.25" x14ac:dyDescent="0.25">
      <c r="A124" s="386"/>
      <c r="B124" s="386"/>
      <c r="C124" s="387"/>
      <c r="D124" s="388"/>
      <c r="E124" s="383"/>
      <c r="F124" s="383"/>
      <c r="G124" s="383"/>
      <c r="H124" s="383"/>
      <c r="I124" s="383"/>
      <c r="J124" s="383"/>
      <c r="K124" s="383"/>
      <c r="L124" s="383"/>
      <c r="N124" s="383"/>
      <c r="O124" s="383"/>
      <c r="P124" s="383"/>
      <c r="Q124" s="383"/>
      <c r="R124" s="383"/>
      <c r="S124" s="383"/>
      <c r="T124" s="383"/>
      <c r="Z124" s="383"/>
      <c r="AA124" s="383"/>
      <c r="AB124" s="383"/>
      <c r="AC124" s="383"/>
      <c r="AD124" s="383"/>
      <c r="AE124" s="383"/>
      <c r="AF124" s="383"/>
      <c r="AG124" s="383"/>
      <c r="AH124" s="383"/>
      <c r="AI124" s="383"/>
      <c r="AJ124" s="390"/>
      <c r="AK124" s="391"/>
      <c r="AL124" s="391"/>
      <c r="AM124" s="391"/>
      <c r="AN124" s="392"/>
      <c r="AO124" s="392"/>
      <c r="AP124" s="392"/>
      <c r="AQ124" s="383"/>
      <c r="AR124" s="383"/>
      <c r="AS124" s="383"/>
      <c r="AT124" s="383"/>
      <c r="AU124" s="383"/>
      <c r="AV124" s="383"/>
      <c r="AW124" s="392"/>
      <c r="AX124" s="392"/>
      <c r="AY124" s="392"/>
      <c r="AZ124" s="392"/>
      <c r="BA124" s="393"/>
    </row>
    <row r="125" spans="1:66" s="383" customFormat="1" ht="15" customHeight="1" x14ac:dyDescent="0.25">
      <c r="A125" s="376" t="s">
        <v>556</v>
      </c>
      <c r="B125" s="376"/>
      <c r="C125" s="376"/>
      <c r="D125" s="376"/>
      <c r="E125" s="376"/>
      <c r="F125" s="376"/>
      <c r="G125" s="376"/>
      <c r="H125" s="376"/>
      <c r="I125" s="376"/>
      <c r="J125" s="376"/>
      <c r="K125" s="376"/>
      <c r="L125" s="376"/>
      <c r="M125" s="376"/>
      <c r="N125" s="376"/>
      <c r="O125" s="376"/>
      <c r="P125" s="376"/>
      <c r="Q125" s="376"/>
      <c r="R125" s="376"/>
      <c r="S125" s="376"/>
      <c r="T125" s="376"/>
      <c r="U125" s="376"/>
      <c r="V125" s="376"/>
      <c r="W125" s="376"/>
      <c r="X125" s="376"/>
      <c r="Y125" s="376"/>
      <c r="Z125" s="376"/>
      <c r="AA125" s="376"/>
      <c r="AB125" s="376"/>
      <c r="AC125" s="376"/>
      <c r="AD125" s="376"/>
      <c r="AE125" s="376"/>
      <c r="AF125" s="376"/>
      <c r="AG125" s="376"/>
      <c r="AH125" s="376"/>
      <c r="AI125" s="377"/>
      <c r="AJ125" s="394"/>
      <c r="AK125" s="395"/>
      <c r="AL125" s="395"/>
      <c r="AM125" s="376" t="s">
        <v>503</v>
      </c>
      <c r="AN125" s="376"/>
      <c r="AO125" s="376"/>
      <c r="AP125" s="376"/>
      <c r="AQ125" s="376"/>
      <c r="AR125" s="376"/>
      <c r="AS125" s="376"/>
      <c r="AT125" s="376"/>
      <c r="AU125" s="376"/>
      <c r="AV125" s="376"/>
      <c r="AW125" s="376"/>
      <c r="AX125" s="376"/>
      <c r="AY125" s="376"/>
      <c r="AZ125" s="376"/>
      <c r="BA125" s="376"/>
    </row>
    <row r="126" spans="1:66" x14ac:dyDescent="0.25">
      <c r="AJ126" s="396"/>
    </row>
    <row r="127" spans="1:66" x14ac:dyDescent="0.25">
      <c r="AJ127" s="396"/>
    </row>
    <row r="128" spans="1:66" x14ac:dyDescent="0.25">
      <c r="AJ128" s="396"/>
    </row>
    <row r="129" spans="14:49" x14ac:dyDescent="0.25">
      <c r="AJ129" s="396"/>
    </row>
    <row r="130" spans="14:49" x14ac:dyDescent="0.25">
      <c r="AJ130" s="396"/>
    </row>
    <row r="131" spans="14:49" x14ac:dyDescent="0.25"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396"/>
      <c r="Y131" s="149"/>
      <c r="Z131" s="149"/>
      <c r="AA131" s="397"/>
      <c r="AB131" s="397"/>
      <c r="AC131" s="397"/>
      <c r="AD131" s="397"/>
      <c r="AE131" s="397"/>
      <c r="AF131" s="397"/>
      <c r="AG131" s="397"/>
      <c r="AH131" s="397"/>
      <c r="AI131" s="397"/>
      <c r="AJ131" s="397"/>
      <c r="AK131" s="39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</row>
    <row r="132" spans="14:49" x14ac:dyDescent="0.25"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396"/>
      <c r="Y132" s="149"/>
      <c r="Z132" s="149"/>
      <c r="AA132" s="397"/>
      <c r="AB132" s="397"/>
      <c r="AC132" s="397"/>
      <c r="AD132" s="397"/>
      <c r="AE132" s="397"/>
      <c r="AF132" s="397"/>
      <c r="AG132" s="397"/>
      <c r="AH132" s="397"/>
      <c r="AI132" s="397"/>
      <c r="AJ132" s="397"/>
      <c r="AK132" s="39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</row>
    <row r="133" spans="14:49" x14ac:dyDescent="0.25"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396"/>
      <c r="Y133" s="149"/>
      <c r="Z133" s="149"/>
      <c r="AA133" s="397"/>
      <c r="AB133" s="397"/>
      <c r="AC133" s="397"/>
      <c r="AD133" s="397"/>
      <c r="AE133" s="397"/>
      <c r="AF133" s="397"/>
      <c r="AG133" s="397"/>
      <c r="AH133" s="397"/>
      <c r="AI133" s="397"/>
      <c r="AJ133" s="397"/>
      <c r="AK133" s="39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</row>
    <row r="134" spans="14:49" x14ac:dyDescent="0.25"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396"/>
      <c r="Y134" s="149"/>
      <c r="Z134" s="149"/>
      <c r="AA134" s="397"/>
      <c r="AB134" s="397"/>
      <c r="AC134" s="397"/>
      <c r="AD134" s="397"/>
      <c r="AE134" s="397"/>
      <c r="AF134" s="397"/>
      <c r="AG134" s="397"/>
      <c r="AH134" s="397"/>
      <c r="AI134" s="397"/>
      <c r="AJ134" s="397"/>
      <c r="AK134" s="39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</row>
    <row r="135" spans="14:49" x14ac:dyDescent="0.25"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9"/>
      <c r="Y135" s="149"/>
      <c r="Z135" s="149"/>
      <c r="AA135" s="397"/>
      <c r="AB135" s="397"/>
      <c r="AC135" s="397"/>
      <c r="AD135" s="397"/>
      <c r="AE135" s="397"/>
      <c r="AF135" s="397"/>
      <c r="AG135" s="397"/>
      <c r="AH135" s="397"/>
      <c r="AI135" s="397"/>
      <c r="AJ135" s="397"/>
      <c r="AK135" s="39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</row>
    <row r="136" spans="14:49" x14ac:dyDescent="0.25"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9"/>
      <c r="Y136" s="149"/>
      <c r="Z136" s="149"/>
      <c r="AA136" s="397"/>
      <c r="AB136" s="397"/>
      <c r="AC136" s="397"/>
      <c r="AD136" s="397"/>
      <c r="AE136" s="397"/>
      <c r="AF136" s="397"/>
      <c r="AG136" s="397"/>
      <c r="AH136" s="397"/>
      <c r="AI136" s="397"/>
      <c r="AJ136" s="397"/>
      <c r="AK136" s="39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</row>
    <row r="167" spans="46:46" s="397" customFormat="1" x14ac:dyDescent="0.25">
      <c r="AT167" s="397" t="s">
        <v>741</v>
      </c>
    </row>
  </sheetData>
  <mergeCells count="28">
    <mergeCell ref="AR10:AR11"/>
    <mergeCell ref="AS10:AS11"/>
    <mergeCell ref="A119:E119"/>
    <mergeCell ref="F119:AH119"/>
    <mergeCell ref="AM119:BA119"/>
    <mergeCell ref="A125:E125"/>
    <mergeCell ref="F125:AH125"/>
    <mergeCell ref="AM125:BA125"/>
    <mergeCell ref="AL9:AL11"/>
    <mergeCell ref="AM9:AM11"/>
    <mergeCell ref="AN9:AY9"/>
    <mergeCell ref="AZ9:AZ11"/>
    <mergeCell ref="BA9:BA11"/>
    <mergeCell ref="BB9:BB11"/>
    <mergeCell ref="AN10:AN11"/>
    <mergeCell ref="AO10:AO11"/>
    <mergeCell ref="AP10:AP11"/>
    <mergeCell ref="AQ10:AQ11"/>
    <mergeCell ref="A1:C3"/>
    <mergeCell ref="D1:BA3"/>
    <mergeCell ref="A4:AX4"/>
    <mergeCell ref="A9:A11"/>
    <mergeCell ref="B9:B11"/>
    <mergeCell ref="C9:C11"/>
    <mergeCell ref="D9:D11"/>
    <mergeCell ref="E9:AI9"/>
    <mergeCell ref="AJ9:AJ11"/>
    <mergeCell ref="AK9:AK11"/>
  </mergeCells>
  <conditionalFormatting sqref="A116 A1:A13 A126:A1048576">
    <cfRule type="duplicateValues" dxfId="159" priority="160"/>
  </conditionalFormatting>
  <conditionalFormatting sqref="A116">
    <cfRule type="duplicateValues" dxfId="158" priority="156"/>
    <cfRule type="duplicateValues" dxfId="157" priority="157"/>
    <cfRule type="duplicateValues" dxfId="156" priority="158"/>
    <cfRule type="duplicateValues" dxfId="155" priority="159"/>
  </conditionalFormatting>
  <conditionalFormatting sqref="A120:A124">
    <cfRule type="duplicateValues" dxfId="154" priority="151"/>
    <cfRule type="duplicateValues" dxfId="153" priority="152"/>
    <cfRule type="duplicateValues" dxfId="152" priority="153"/>
    <cfRule type="duplicateValues" dxfId="151" priority="154"/>
    <cfRule type="duplicateValues" dxfId="150" priority="155"/>
  </conditionalFormatting>
  <conditionalFormatting sqref="A126:A1048576 A1:A13">
    <cfRule type="duplicateValues" dxfId="149" priority="150"/>
  </conditionalFormatting>
  <conditionalFormatting sqref="B14">
    <cfRule type="duplicateValues" dxfId="148" priority="149"/>
  </conditionalFormatting>
  <conditionalFormatting sqref="B14:B15">
    <cfRule type="duplicateValues" dxfId="147" priority="148"/>
  </conditionalFormatting>
  <conditionalFormatting sqref="B15">
    <cfRule type="duplicateValues" dxfId="146" priority="147"/>
  </conditionalFormatting>
  <conditionalFormatting sqref="B16:B17">
    <cfRule type="duplicateValues" dxfId="145" priority="146"/>
  </conditionalFormatting>
  <conditionalFormatting sqref="B19:B27">
    <cfRule type="duplicateValues" dxfId="144" priority="145"/>
  </conditionalFormatting>
  <conditionalFormatting sqref="B41">
    <cfRule type="duplicateValues" dxfId="143" priority="143"/>
    <cfRule type="duplicateValues" dxfId="142" priority="144"/>
  </conditionalFormatting>
  <conditionalFormatting sqref="B42">
    <cfRule type="duplicateValues" dxfId="141" priority="142"/>
  </conditionalFormatting>
  <conditionalFormatting sqref="B44:B45">
    <cfRule type="duplicateValues" dxfId="140" priority="141"/>
  </conditionalFormatting>
  <conditionalFormatting sqref="B46">
    <cfRule type="duplicateValues" dxfId="139" priority="140"/>
  </conditionalFormatting>
  <conditionalFormatting sqref="B47 B43 B41">
    <cfRule type="duplicateValues" dxfId="138" priority="139"/>
  </conditionalFormatting>
  <conditionalFormatting sqref="B47">
    <cfRule type="duplicateValues" dxfId="137" priority="137"/>
    <cfRule type="duplicateValues" dxfId="136" priority="138"/>
  </conditionalFormatting>
  <conditionalFormatting sqref="B49:B53">
    <cfRule type="duplicateValues" dxfId="135" priority="136"/>
  </conditionalFormatting>
  <conditionalFormatting sqref="B65:B69">
    <cfRule type="duplicateValues" dxfId="134" priority="135"/>
  </conditionalFormatting>
  <conditionalFormatting sqref="B71">
    <cfRule type="duplicateValues" dxfId="133" priority="134"/>
  </conditionalFormatting>
  <conditionalFormatting sqref="B72:B85">
    <cfRule type="duplicateValues" dxfId="132" priority="133"/>
  </conditionalFormatting>
  <conditionalFormatting sqref="B99">
    <cfRule type="duplicateValues" dxfId="131" priority="132"/>
  </conditionalFormatting>
  <conditionalFormatting sqref="B99:B114">
    <cfRule type="duplicateValues" dxfId="130" priority="130"/>
    <cfRule type="duplicateValues" dxfId="129" priority="131"/>
  </conditionalFormatting>
  <conditionalFormatting sqref="B100:B104">
    <cfRule type="duplicateValues" dxfId="128" priority="129"/>
  </conditionalFormatting>
  <conditionalFormatting sqref="B105">
    <cfRule type="duplicateValues" dxfId="127" priority="128"/>
  </conditionalFormatting>
  <conditionalFormatting sqref="B106">
    <cfRule type="duplicateValues" dxfId="126" priority="127"/>
  </conditionalFormatting>
  <conditionalFormatting sqref="B107">
    <cfRule type="duplicateValues" dxfId="125" priority="126"/>
  </conditionalFormatting>
  <conditionalFormatting sqref="B108:B114">
    <cfRule type="expression" dxfId="124" priority="124" stopIfTrue="1">
      <formula>AND(COUNTIF($C$862:$C$65541,B108)+COUNTIF($C$717:$C$717,B108)+COUNTIF($C$614:$C$614,B108)+COUNTIF($C$1:$C$359,B108)+COUNTIF($C$407:$C$442,B108)+COUNTIF($C$445:$C$457,B108)+COUNTIF($C$472:$C$570,B108)+COUNTIF($C$587:$C$596,B108)+COUNTIF($C$618:$C$634,B108)+COUNTIF($C$636:$C$715,B108)+COUNTIF($C$719:$C$779,B108)+COUNTIF($C$811:$C$855,B108)&gt;1,NOT(ISBLANK(B108)))</formula>
    </cfRule>
    <cfRule type="expression" dxfId="123" priority="125" stopIfTrue="1">
      <formula>AND(COUNTIF($C$862:$C$65541,B108)+COUNTIF($C$717:$C$717,B108)+COUNTIF($C$614:$C$614,B108)+COUNTIF($C$1:$C$289,B108)+COUNTIF($C$297:$C$359,B108)+COUNTIF($C$407:$C$442,B108)+COUNTIF($C$445:$C$457,B108)+COUNTIF($C$472:$C$570,B108)+COUNTIF($C$587:$C$596,B108)+COUNTIF($C$618:$C$634,B108)+COUNTIF($C$636:$C$715,B108)+COUNTIF($C$719:$C$779,B108)+COUNTIF($C$811:$C$855,B108)&gt;1,NOT(ISBLANK(B108)))</formula>
    </cfRule>
  </conditionalFormatting>
  <conditionalFormatting sqref="B110">
    <cfRule type="duplicateValues" dxfId="122" priority="123"/>
  </conditionalFormatting>
  <conditionalFormatting sqref="B115:B1048576 B48 B54 B64 B70 B86 B98 B1:B15 B18 B28:B40">
    <cfRule type="duplicateValues" dxfId="121" priority="122"/>
  </conditionalFormatting>
  <conditionalFormatting sqref="B116">
    <cfRule type="duplicateValues" dxfId="120" priority="121"/>
  </conditionalFormatting>
  <conditionalFormatting sqref="B120:B124">
    <cfRule type="duplicateValues" dxfId="119" priority="120"/>
  </conditionalFormatting>
  <conditionalFormatting sqref="B99:C99">
    <cfRule type="duplicateValues" dxfId="118" priority="119"/>
  </conditionalFormatting>
  <conditionalFormatting sqref="B100:C107">
    <cfRule type="duplicateValues" dxfId="117" priority="118"/>
  </conditionalFormatting>
  <conditionalFormatting sqref="B108:C108">
    <cfRule type="duplicateValues" dxfId="116" priority="117"/>
  </conditionalFormatting>
  <conditionalFormatting sqref="B109:C109">
    <cfRule type="duplicateValues" dxfId="115" priority="116"/>
  </conditionalFormatting>
  <conditionalFormatting sqref="B110:C110">
    <cfRule type="duplicateValues" dxfId="114" priority="115"/>
  </conditionalFormatting>
  <conditionalFormatting sqref="B111:C111">
    <cfRule type="duplicateValues" dxfId="113" priority="114"/>
  </conditionalFormatting>
  <conditionalFormatting sqref="B112:C112">
    <cfRule type="duplicateValues" dxfId="112" priority="113"/>
  </conditionalFormatting>
  <conditionalFormatting sqref="B113:C113">
    <cfRule type="duplicateValues" dxfId="111" priority="112"/>
  </conditionalFormatting>
  <conditionalFormatting sqref="B114:C114">
    <cfRule type="duplicateValues" dxfId="110" priority="111"/>
  </conditionalFormatting>
  <conditionalFormatting sqref="C108 C110:C114">
    <cfRule type="duplicateValues" dxfId="109" priority="110" stopIfTrue="1"/>
  </conditionalFormatting>
  <conditionalFormatting sqref="C109">
    <cfRule type="duplicateValues" dxfId="108" priority="109" stopIfTrue="1"/>
  </conditionalFormatting>
  <conditionalFormatting sqref="V109:AI114 T110:U114 E87:AI97">
    <cfRule type="expression" dxfId="107" priority="106" stopIfTrue="1">
      <formula>IF(WEEKDAY(E$10)=1,TRUE,FALSE)</formula>
    </cfRule>
    <cfRule type="containsText" dxfId="106" priority="107" operator="containsText" text="P">
      <formula>NOT(ISERROR(SEARCH("P",E87)))</formula>
    </cfRule>
    <cfRule type="containsText" dxfId="105" priority="108" operator="containsText" text="K">
      <formula>NOT(ISERROR(SEARCH("K",E87)))</formula>
    </cfRule>
  </conditionalFormatting>
  <conditionalFormatting sqref="U108:U109">
    <cfRule type="expression" dxfId="104" priority="103" stopIfTrue="1">
      <formula>IF(WEEKDAY(U$10)=1,TRUE,FALSE)</formula>
    </cfRule>
    <cfRule type="containsText" dxfId="103" priority="104" operator="containsText" text="P">
      <formula>NOT(ISERROR(SEARCH("P",U108)))</formula>
    </cfRule>
    <cfRule type="containsText" dxfId="102" priority="105" operator="containsText" text="K">
      <formula>NOT(ISERROR(SEARCH("K",U108)))</formula>
    </cfRule>
  </conditionalFormatting>
  <conditionalFormatting sqref="E13:H13 AG13:AI13">
    <cfRule type="cellIs" dxfId="101" priority="101" stopIfTrue="1" operator="equal">
      <formula>"K"</formula>
    </cfRule>
    <cfRule type="expression" dxfId="100" priority="102">
      <formula>IF(WEEKDAY(E$10)=1,TRUE,FALSE)</formula>
    </cfRule>
  </conditionalFormatting>
  <conditionalFormatting sqref="T109">
    <cfRule type="expression" dxfId="99" priority="98" stopIfTrue="1">
      <formula>IF(WEEKDAY(T$10)=1,TRUE,FALSE)</formula>
    </cfRule>
    <cfRule type="containsText" dxfId="98" priority="99" operator="containsText" text="P">
      <formula>NOT(ISERROR(SEARCH("P",T109)))</formula>
    </cfRule>
    <cfRule type="containsText" dxfId="97" priority="100" operator="containsText" text="K">
      <formula>NOT(ISERROR(SEARCH("K",T109)))</formula>
    </cfRule>
  </conditionalFormatting>
  <conditionalFormatting sqref="T41:AH41">
    <cfRule type="expression" dxfId="96" priority="95" stopIfTrue="1">
      <formula>IF(WEEKDAY(T$10)=1,TRUE,FALSE)</formula>
    </cfRule>
    <cfRule type="containsText" dxfId="95" priority="96" operator="containsText" text="P">
      <formula>NOT(ISERROR(SEARCH("P",T41)))</formula>
    </cfRule>
    <cfRule type="containsText" dxfId="94" priority="97" operator="containsText" text="K">
      <formula>NOT(ISERROR(SEARCH("K",T41)))</formula>
    </cfRule>
  </conditionalFormatting>
  <conditionalFormatting sqref="T44:AH45">
    <cfRule type="expression" dxfId="93" priority="92" stopIfTrue="1">
      <formula>IF(WEEKDAY(T$10)=1,TRUE,FALSE)</formula>
    </cfRule>
    <cfRule type="containsText" dxfId="92" priority="93" operator="containsText" text="P">
      <formula>NOT(ISERROR(SEARCH("P",T44)))</formula>
    </cfRule>
    <cfRule type="containsText" dxfId="91" priority="94" operator="containsText" text="K">
      <formula>NOT(ISERROR(SEARCH("K",T44)))</formula>
    </cfRule>
  </conditionalFormatting>
  <conditionalFormatting sqref="E10:AI10">
    <cfRule type="expression" dxfId="90" priority="91">
      <formula>IF(WEEKDAY(E$10)=1,TRUE,FALSE)</formula>
    </cfRule>
  </conditionalFormatting>
  <conditionalFormatting sqref="E11:AI11">
    <cfRule type="cellIs" dxfId="89" priority="90" operator="equal">
      <formula>$E$11:$AI$11="C.Nhật"</formula>
    </cfRule>
  </conditionalFormatting>
  <conditionalFormatting sqref="E14:AI17">
    <cfRule type="expression" dxfId="88" priority="87" stopIfTrue="1">
      <formula>IF(WEEKDAY(E$10)=1,TRUE,FALSE)</formula>
    </cfRule>
    <cfRule type="containsText" dxfId="87" priority="88" operator="containsText" text="P">
      <formula>NOT(ISERROR(SEARCH("P",E14)))</formula>
    </cfRule>
    <cfRule type="containsText" dxfId="86" priority="89" operator="containsText" text="K">
      <formula>NOT(ISERROR(SEARCH("K",E14)))</formula>
    </cfRule>
  </conditionalFormatting>
  <conditionalFormatting sqref="T19:AI27">
    <cfRule type="expression" dxfId="85" priority="84" stopIfTrue="1">
      <formula>IF(WEEKDAY(T$10)=1,TRUE,FALSE)</formula>
    </cfRule>
    <cfRule type="containsText" dxfId="84" priority="85" operator="containsText" text="P">
      <formula>NOT(ISERROR(SEARCH("P",T19)))</formula>
    </cfRule>
    <cfRule type="containsText" dxfId="83" priority="86" operator="containsText" text="K">
      <formula>NOT(ISERROR(SEARCH("K",T19)))</formula>
    </cfRule>
  </conditionalFormatting>
  <conditionalFormatting sqref="E33:AI33 T29:AI32 T34:AI34">
    <cfRule type="expression" dxfId="82" priority="81" stopIfTrue="1">
      <formula>IF(WEEKDAY(E$10)=1,TRUE,FALSE)</formula>
    </cfRule>
    <cfRule type="containsText" dxfId="81" priority="82" operator="containsText" text="P">
      <formula>NOT(ISERROR(SEARCH("P",E29)))</formula>
    </cfRule>
    <cfRule type="containsText" dxfId="80" priority="83" operator="containsText" text="K">
      <formula>NOT(ISERROR(SEARCH("K",E29)))</formula>
    </cfRule>
  </conditionalFormatting>
  <conditionalFormatting sqref="T36:AI39">
    <cfRule type="expression" dxfId="79" priority="78" stopIfTrue="1">
      <formula>IF(WEEKDAY(T$10)=1,TRUE,FALSE)</formula>
    </cfRule>
    <cfRule type="containsText" dxfId="78" priority="79" operator="containsText" text="P">
      <formula>NOT(ISERROR(SEARCH("P",T36)))</formula>
    </cfRule>
    <cfRule type="containsText" dxfId="77" priority="80" operator="containsText" text="K">
      <formula>NOT(ISERROR(SEARCH("K",T36)))</formula>
    </cfRule>
  </conditionalFormatting>
  <conditionalFormatting sqref="T49:AI53">
    <cfRule type="expression" dxfId="76" priority="75" stopIfTrue="1">
      <formula>IF(WEEKDAY(T$10)=1,TRUE,FALSE)</formula>
    </cfRule>
    <cfRule type="containsText" dxfId="75" priority="76" operator="containsText" text="P">
      <formula>NOT(ISERROR(SEARCH("P",T49)))</formula>
    </cfRule>
    <cfRule type="containsText" dxfId="74" priority="77" operator="containsText" text="K">
      <formula>NOT(ISERROR(SEARCH("K",T49)))</formula>
    </cfRule>
  </conditionalFormatting>
  <conditionalFormatting sqref="T55:AI63">
    <cfRule type="expression" dxfId="73" priority="72" stopIfTrue="1">
      <formula>IF(WEEKDAY(T$10)=1,TRUE,FALSE)</formula>
    </cfRule>
    <cfRule type="containsText" dxfId="72" priority="73" operator="containsText" text="P">
      <formula>NOT(ISERROR(SEARCH("P",T55)))</formula>
    </cfRule>
    <cfRule type="containsText" dxfId="71" priority="74" operator="containsText" text="K">
      <formula>NOT(ISERROR(SEARCH("K",T55)))</formula>
    </cfRule>
  </conditionalFormatting>
  <conditionalFormatting sqref="T65:AI69">
    <cfRule type="expression" dxfId="70" priority="69" stopIfTrue="1">
      <formula>IF(WEEKDAY(T$10)=1,TRUE,FALSE)</formula>
    </cfRule>
    <cfRule type="containsText" dxfId="69" priority="70" operator="containsText" text="P">
      <formula>NOT(ISERROR(SEARCH("P",T65)))</formula>
    </cfRule>
    <cfRule type="containsText" dxfId="68" priority="71" operator="containsText" text="K">
      <formula>NOT(ISERROR(SEARCH("K",T65)))</formula>
    </cfRule>
  </conditionalFormatting>
  <conditionalFormatting sqref="T71:AI85">
    <cfRule type="expression" dxfId="67" priority="66" stopIfTrue="1">
      <formula>IF(WEEKDAY(T$10)=1,TRUE,FALSE)</formula>
    </cfRule>
    <cfRule type="containsText" dxfId="66" priority="67" operator="containsText" text="P">
      <formula>NOT(ISERROR(SEARCH("P",T71)))</formula>
    </cfRule>
    <cfRule type="containsText" dxfId="65" priority="68" operator="containsText" text="K">
      <formula>NOT(ISERROR(SEARCH("K",T71)))</formula>
    </cfRule>
  </conditionalFormatting>
  <conditionalFormatting sqref="T99:AI105">
    <cfRule type="expression" dxfId="64" priority="63" stopIfTrue="1">
      <formula>IF(WEEKDAY(T$10)=1,TRUE,FALSE)</formula>
    </cfRule>
    <cfRule type="containsText" dxfId="63" priority="64" operator="containsText" text="P">
      <formula>NOT(ISERROR(SEARCH("P",T99)))</formula>
    </cfRule>
    <cfRule type="containsText" dxfId="62" priority="65" operator="containsText" text="K">
      <formula>NOT(ISERROR(SEARCH("K",T99)))</formula>
    </cfRule>
  </conditionalFormatting>
  <conditionalFormatting sqref="T108">
    <cfRule type="expression" dxfId="61" priority="60" stopIfTrue="1">
      <formula>IF(WEEKDAY(T$10)=1,TRUE,FALSE)</formula>
    </cfRule>
    <cfRule type="containsText" dxfId="60" priority="61" operator="containsText" text="P">
      <formula>NOT(ISERROR(SEARCH("P",T108)))</formula>
    </cfRule>
    <cfRule type="containsText" dxfId="59" priority="62" operator="containsText" text="K">
      <formula>NOT(ISERROR(SEARCH("K",T108)))</formula>
    </cfRule>
  </conditionalFormatting>
  <conditionalFormatting sqref="T106:AB107">
    <cfRule type="expression" dxfId="58" priority="57" stopIfTrue="1">
      <formula>IF(WEEKDAY(T$10)=1,TRUE,FALSE)</formula>
    </cfRule>
    <cfRule type="containsText" dxfId="57" priority="58" operator="containsText" text="P">
      <formula>NOT(ISERROR(SEARCH("P",T106)))</formula>
    </cfRule>
    <cfRule type="containsText" dxfId="56" priority="59" operator="containsText" text="K">
      <formula>NOT(ISERROR(SEARCH("K",T106)))</formula>
    </cfRule>
  </conditionalFormatting>
  <conditionalFormatting sqref="T42:AH42">
    <cfRule type="expression" dxfId="55" priority="54" stopIfTrue="1">
      <formula>IF(WEEKDAY(T$10)=1,TRUE,FALSE)</formula>
    </cfRule>
    <cfRule type="containsText" dxfId="54" priority="55" operator="containsText" text="P">
      <formula>NOT(ISERROR(SEARCH("P",T42)))</formula>
    </cfRule>
    <cfRule type="containsText" dxfId="53" priority="56" operator="containsText" text="K">
      <formula>NOT(ISERROR(SEARCH("K",T42)))</formula>
    </cfRule>
  </conditionalFormatting>
  <conditionalFormatting sqref="T46:AH46">
    <cfRule type="expression" dxfId="52" priority="51" stopIfTrue="1">
      <formula>IF(WEEKDAY(T$10)=1,TRUE,FALSE)</formula>
    </cfRule>
    <cfRule type="containsText" dxfId="51" priority="52" operator="containsText" text="P">
      <formula>NOT(ISERROR(SEARCH("P",T46)))</formula>
    </cfRule>
    <cfRule type="containsText" dxfId="50" priority="53" operator="containsText" text="K">
      <formula>NOT(ISERROR(SEARCH("K",T46)))</formula>
    </cfRule>
  </conditionalFormatting>
  <conditionalFormatting sqref="T43:AI43">
    <cfRule type="expression" dxfId="49" priority="48" stopIfTrue="1">
      <formula>IF(WEEKDAY(T$10)=1,TRUE,FALSE)</formula>
    </cfRule>
    <cfRule type="containsText" dxfId="48" priority="49" operator="containsText" text="P">
      <formula>NOT(ISERROR(SEARCH("P",T43)))</formula>
    </cfRule>
    <cfRule type="containsText" dxfId="47" priority="50" operator="containsText" text="K">
      <formula>NOT(ISERROR(SEARCH("K",T43)))</formula>
    </cfRule>
  </conditionalFormatting>
  <conditionalFormatting sqref="T47:AI47">
    <cfRule type="expression" dxfId="46" priority="45" stopIfTrue="1">
      <formula>IF(WEEKDAY(T$10)=1,TRUE,FALSE)</formula>
    </cfRule>
    <cfRule type="containsText" dxfId="45" priority="46" operator="containsText" text="P">
      <formula>NOT(ISERROR(SEARCH("P",T47)))</formula>
    </cfRule>
    <cfRule type="containsText" dxfId="44" priority="47" operator="containsText" text="K">
      <formula>NOT(ISERROR(SEARCH("K",T47)))</formula>
    </cfRule>
  </conditionalFormatting>
  <conditionalFormatting sqref="V108:AB108">
    <cfRule type="expression" dxfId="43" priority="42" stopIfTrue="1">
      <formula>IF(WEEKDAY(V$10)=1,TRUE,FALSE)</formula>
    </cfRule>
    <cfRule type="containsText" dxfId="42" priority="43" operator="containsText" text="P">
      <formula>NOT(ISERROR(SEARCH("P",V108)))</formula>
    </cfRule>
    <cfRule type="containsText" dxfId="41" priority="44" operator="containsText" text="K">
      <formula>NOT(ISERROR(SEARCH("K",V108)))</formula>
    </cfRule>
  </conditionalFormatting>
  <conditionalFormatting sqref="AC106:AI108">
    <cfRule type="expression" dxfId="40" priority="39" stopIfTrue="1">
      <formula>IF(WEEKDAY(AC$10)=1,TRUE,FALSE)</formula>
    </cfRule>
    <cfRule type="containsText" dxfId="39" priority="40" operator="containsText" text="P">
      <formula>NOT(ISERROR(SEARCH("P",AC106)))</formula>
    </cfRule>
    <cfRule type="containsText" dxfId="38" priority="41" operator="containsText" text="K">
      <formula>NOT(ISERROR(SEARCH("K",AC106)))</formula>
    </cfRule>
  </conditionalFormatting>
  <conditionalFormatting sqref="AI41:AI42 AI44:AI46">
    <cfRule type="expression" dxfId="37" priority="36" stopIfTrue="1">
      <formula>IF(WEEKDAY(AI$10)=1,TRUE,FALSE)</formula>
    </cfRule>
    <cfRule type="containsText" dxfId="36" priority="37" operator="containsText" text="P">
      <formula>NOT(ISERROR(SEARCH("P",AI41)))</formula>
    </cfRule>
    <cfRule type="containsText" dxfId="35" priority="38" operator="containsText" text="K">
      <formula>NOT(ISERROR(SEARCH("K",AI41)))</formula>
    </cfRule>
  </conditionalFormatting>
  <conditionalFormatting sqref="E19:S27">
    <cfRule type="expression" dxfId="34" priority="33" stopIfTrue="1">
      <formula>IF(WEEKDAY(E$10)=1,TRUE,FALSE)</formula>
    </cfRule>
    <cfRule type="containsText" dxfId="33" priority="34" operator="containsText" text="P">
      <formula>NOT(ISERROR(SEARCH("P",E19)))</formula>
    </cfRule>
    <cfRule type="containsText" dxfId="32" priority="35" operator="containsText" text="K">
      <formula>NOT(ISERROR(SEARCH("K",E19)))</formula>
    </cfRule>
  </conditionalFormatting>
  <conditionalFormatting sqref="E29:S32">
    <cfRule type="expression" dxfId="31" priority="30" stopIfTrue="1">
      <formula>IF(WEEKDAY(E$10)=1,TRUE,FALSE)</formula>
    </cfRule>
    <cfRule type="containsText" dxfId="30" priority="31" operator="containsText" text="P">
      <formula>NOT(ISERROR(SEARCH("P",E29)))</formula>
    </cfRule>
    <cfRule type="containsText" dxfId="29" priority="32" operator="containsText" text="K">
      <formula>NOT(ISERROR(SEARCH("K",E29)))</formula>
    </cfRule>
  </conditionalFormatting>
  <conditionalFormatting sqref="E34:S34">
    <cfRule type="expression" dxfId="28" priority="27" stopIfTrue="1">
      <formula>IF(WEEKDAY(E$10)=1,TRUE,FALSE)</formula>
    </cfRule>
    <cfRule type="containsText" dxfId="27" priority="28" operator="containsText" text="P">
      <formula>NOT(ISERROR(SEARCH("P",E34)))</formula>
    </cfRule>
    <cfRule type="containsText" dxfId="26" priority="29" operator="containsText" text="K">
      <formula>NOT(ISERROR(SEARCH("K",E34)))</formula>
    </cfRule>
  </conditionalFormatting>
  <conditionalFormatting sqref="E36:S39">
    <cfRule type="expression" dxfId="25" priority="24" stopIfTrue="1">
      <formula>IF(WEEKDAY(E$10)=1,TRUE,FALSE)</formula>
    </cfRule>
    <cfRule type="containsText" dxfId="24" priority="25" operator="containsText" text="P">
      <formula>NOT(ISERROR(SEARCH("P",E36)))</formula>
    </cfRule>
    <cfRule type="containsText" dxfId="23" priority="26" operator="containsText" text="K">
      <formula>NOT(ISERROR(SEARCH("K",E36)))</formula>
    </cfRule>
  </conditionalFormatting>
  <conditionalFormatting sqref="E41:S47">
    <cfRule type="expression" dxfId="22" priority="21" stopIfTrue="1">
      <formula>IF(WEEKDAY(E$10)=1,TRUE,FALSE)</formula>
    </cfRule>
    <cfRule type="containsText" dxfId="21" priority="22" operator="containsText" text="P">
      <formula>NOT(ISERROR(SEARCH("P",E41)))</formula>
    </cfRule>
    <cfRule type="containsText" dxfId="20" priority="23" operator="containsText" text="K">
      <formula>NOT(ISERROR(SEARCH("K",E41)))</formula>
    </cfRule>
  </conditionalFormatting>
  <conditionalFormatting sqref="E49:S53">
    <cfRule type="expression" dxfId="19" priority="18" stopIfTrue="1">
      <formula>IF(WEEKDAY(E$10)=1,TRUE,FALSE)</formula>
    </cfRule>
    <cfRule type="containsText" dxfId="18" priority="19" operator="containsText" text="P">
      <formula>NOT(ISERROR(SEARCH("P",E49)))</formula>
    </cfRule>
    <cfRule type="containsText" dxfId="17" priority="20" operator="containsText" text="K">
      <formula>NOT(ISERROR(SEARCH("K",E49)))</formula>
    </cfRule>
  </conditionalFormatting>
  <conditionalFormatting sqref="E55:S63">
    <cfRule type="expression" dxfId="16" priority="15" stopIfTrue="1">
      <formula>IF(WEEKDAY(E$10)=1,TRUE,FALSE)</formula>
    </cfRule>
    <cfRule type="containsText" dxfId="15" priority="16" operator="containsText" text="P">
      <formula>NOT(ISERROR(SEARCH("P",E55)))</formula>
    </cfRule>
    <cfRule type="containsText" dxfId="14" priority="17" operator="containsText" text="K">
      <formula>NOT(ISERROR(SEARCH("K",E55)))</formula>
    </cfRule>
  </conditionalFormatting>
  <conditionalFormatting sqref="E65:S69">
    <cfRule type="expression" dxfId="13" priority="12" stopIfTrue="1">
      <formula>IF(WEEKDAY(E$10)=1,TRUE,FALSE)</formula>
    </cfRule>
    <cfRule type="containsText" dxfId="12" priority="13" operator="containsText" text="P">
      <formula>NOT(ISERROR(SEARCH("P",E65)))</formula>
    </cfRule>
    <cfRule type="containsText" dxfId="11" priority="14" operator="containsText" text="K">
      <formula>NOT(ISERROR(SEARCH("K",E65)))</formula>
    </cfRule>
  </conditionalFormatting>
  <conditionalFormatting sqref="E71:S85">
    <cfRule type="expression" dxfId="10" priority="9" stopIfTrue="1">
      <formula>IF(WEEKDAY(E$10)=1,TRUE,FALSE)</formula>
    </cfRule>
    <cfRule type="containsText" dxfId="9" priority="10" operator="containsText" text="P">
      <formula>NOT(ISERROR(SEARCH("P",E71)))</formula>
    </cfRule>
    <cfRule type="containsText" dxfId="8" priority="11" operator="containsText" text="K">
      <formula>NOT(ISERROR(SEARCH("K",E71)))</formula>
    </cfRule>
  </conditionalFormatting>
  <conditionalFormatting sqref="E99:S114">
    <cfRule type="expression" dxfId="7" priority="6" stopIfTrue="1">
      <formula>IF(WEEKDAY(E$10)=1,TRUE,FALSE)</formula>
    </cfRule>
    <cfRule type="containsText" dxfId="6" priority="7" operator="containsText" text="P">
      <formula>NOT(ISERROR(SEARCH("P",E99)))</formula>
    </cfRule>
    <cfRule type="containsText" dxfId="5" priority="8" operator="containsText" text="K">
      <formula>NOT(ISERROR(SEARCH("K",E99)))</formula>
    </cfRule>
  </conditionalFormatting>
  <conditionalFormatting sqref="B87:B97">
    <cfRule type="duplicateValues" dxfId="4" priority="5"/>
  </conditionalFormatting>
  <conditionalFormatting sqref="B55:B63">
    <cfRule type="duplicateValues" dxfId="3" priority="4"/>
  </conditionalFormatting>
  <conditionalFormatting sqref="A14:A11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Vương, Bùi Minh</dc:creator>
  <cp:keywords/>
  <dc:description/>
  <cp:lastModifiedBy>Vương, Bùi Minh</cp:lastModifiedBy>
  <cp:revision/>
  <dcterms:created xsi:type="dcterms:W3CDTF">2026-06-15T06:47:17Z</dcterms:created>
  <dcterms:modified xsi:type="dcterms:W3CDTF">2026-06-17T08:06:39Z</dcterms:modified>
  <cp:category/>
  <cp:contentStatus/>
</cp:coreProperties>
</file>